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tephanedonnet/projets/founderai/"/>
    </mc:Choice>
  </mc:AlternateContent>
  <xr:revisionPtr revIDLastSave="0" documentId="8_{56E13108-E050-F149-9C8E-1385413CBD28}" xr6:coauthVersionLast="47" xr6:coauthVersionMax="47" xr10:uidLastSave="{00000000-0000-0000-0000-000000000000}"/>
  <bookViews>
    <workbookView xWindow="0" yWindow="760" windowWidth="30240" windowHeight="17740" activeTab="1" xr2:uid="{00000000-000D-0000-FFFF-FFFF00000000}"/>
  </bookViews>
  <sheets>
    <sheet name="Plan stratégique  likewatt" sheetId="1" r:id="rId1"/>
    <sheet name="KPI" sheetId="2" r:id="rId2"/>
    <sheet name="Prévisionnel annuel" sheetId="3" r:id="rId3"/>
    <sheet name="Hypothèses" sheetId="4" r:id="rId4"/>
    <sheet name="Ventes" sheetId="5" r:id="rId5"/>
    <sheet name="Couts variables" sheetId="6" r:id="rId6"/>
    <sheet name="Couts fixes" sheetId="7" r:id="rId7"/>
    <sheet name="CAPEX" sheetId="8" r:id="rId8"/>
    <sheet name="Couts RH" sheetId="9" r:id="rId9"/>
    <sheet name="Trésorerie" sheetId="10" r:id="rId10"/>
    <sheet name="Annexe A  Plan RH" sheetId="11" r:id="rId11"/>
    <sheet name="Annexe B  Plan commercial" sheetId="12" r:id="rId12"/>
    <sheet name="Annexe C  Plan produit" sheetId="13" r:id="rId13"/>
    <sheet name="Annexe D  Organisation" sheetId="14" r:id="rId14"/>
    <sheet name="Annexe E  Financement" sheetId="15" r:id="rId15"/>
    <sheet name="Annexe F  TVA" sheetId="16" r:id="rId16"/>
    <sheet name="Annexe G  Evolution Portefeuill" sheetId="17" r:id="rId17"/>
    <sheet name="Annexe H  Métriques Géographiqu" sheetId="18" r:id="rId18"/>
    <sheet name="Annexe I  Scénario investisseme" sheetId="19" r:id="rId1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7" l="1" a="1"/>
  <c r="I22" i="17" s="1"/>
  <c r="I21" i="17" a="1"/>
  <c r="I21" i="17" s="1"/>
  <c r="I20" i="17" a="1"/>
  <c r="I20" i="17" s="1"/>
  <c r="H22" i="17" a="1"/>
  <c r="H22" i="17" s="1"/>
  <c r="H21" i="17" a="1"/>
  <c r="H21" i="17" s="1"/>
  <c r="H20" i="17" a="1"/>
  <c r="H20" i="17" s="1"/>
  <c r="G22" i="17" a="1"/>
  <c r="G22" i="17" s="1"/>
  <c r="G21" i="17" a="1"/>
  <c r="G21" i="17" s="1"/>
  <c r="G20" i="17" a="1"/>
  <c r="G20" i="17" s="1"/>
  <c r="F22" i="17" a="1"/>
  <c r="F22" i="17" s="1"/>
  <c r="F21" i="17" a="1"/>
  <c r="F21" i="17" s="1"/>
  <c r="F20" i="17" a="1"/>
  <c r="F20" i="17" s="1"/>
  <c r="E22" i="17" a="1"/>
  <c r="E22" i="17" s="1"/>
  <c r="E21" i="17" a="1"/>
  <c r="E21" i="17" s="1"/>
  <c r="E20" i="17" a="1"/>
  <c r="E20" i="17" s="1"/>
  <c r="D22" i="17" a="1"/>
  <c r="D22" i="17" s="1"/>
  <c r="D21" i="17" a="1"/>
  <c r="D21" i="17" s="1"/>
  <c r="D20" i="17" a="1"/>
  <c r="D20" i="17" s="1"/>
  <c r="C22" i="17" a="1"/>
  <c r="C22" i="17" s="1"/>
  <c r="C21" i="17" a="1"/>
  <c r="C21" i="17" s="1"/>
  <c r="C20" i="17" a="1"/>
  <c r="C20" i="17" s="1"/>
  <c r="H32" i="4" a="1"/>
  <c r="H32" i="4" s="1"/>
  <c r="G32" i="4" a="1"/>
  <c r="G32" i="4" s="1"/>
  <c r="F32" i="4" a="1"/>
  <c r="F32" i="4" s="1"/>
  <c r="E32" i="4" a="1"/>
  <c r="E32" i="4" s="1"/>
  <c r="D32" i="4" a="1"/>
  <c r="D32" i="4" s="1"/>
  <c r="C32" i="4"/>
  <c r="C32" i="4" a="1"/>
  <c r="H31" i="4"/>
  <c r="H31" i="4" a="1"/>
  <c r="G31" i="4" a="1"/>
  <c r="G31" i="4" s="1"/>
  <c r="F31" i="4" a="1"/>
  <c r="F31" i="4" s="1"/>
  <c r="E31" i="4" a="1"/>
  <c r="E31" i="4" s="1"/>
  <c r="D31" i="4" a="1"/>
  <c r="D31" i="4" s="1"/>
  <c r="C31" i="4"/>
  <c r="C31" i="4" a="1"/>
  <c r="H30" i="4" a="1"/>
  <c r="H30" i="4" s="1"/>
  <c r="G30" i="4" a="1"/>
  <c r="G30" i="4" s="1"/>
  <c r="F30" i="4" a="1"/>
  <c r="F30" i="4" s="1"/>
  <c r="E30" i="4" a="1"/>
  <c r="E30" i="4" s="1"/>
  <c r="D30" i="4"/>
  <c r="D30" i="4" a="1"/>
  <c r="C30" i="4" a="1"/>
  <c r="C30" i="4" s="1"/>
  <c r="H29" i="4" a="1"/>
  <c r="H29" i="4" s="1"/>
  <c r="G29" i="4" a="1"/>
  <c r="G29" i="4" s="1"/>
  <c r="F29" i="4" a="1"/>
  <c r="F29" i="4" s="1"/>
  <c r="E29" i="4" a="1"/>
  <c r="E29" i="4" s="1"/>
  <c r="D29" i="4"/>
  <c r="D29" i="4" a="1"/>
  <c r="C29" i="4" a="1"/>
  <c r="C29" i="4" s="1"/>
  <c r="H28" i="4" a="1"/>
  <c r="H28" i="4" s="1"/>
  <c r="G28" i="4" a="1"/>
  <c r="G28" i="4" s="1"/>
  <c r="F28" i="4" a="1"/>
  <c r="F28" i="4" s="1"/>
  <c r="E28" i="4"/>
  <c r="E28" i="4" a="1"/>
  <c r="D28" i="4" a="1"/>
  <c r="D28" i="4" s="1"/>
  <c r="C28" i="4" a="1"/>
  <c r="C28" i="4" s="1"/>
  <c r="B29" i="4" a="1"/>
  <c r="B29" i="4" s="1"/>
  <c r="B30" i="4" a="1"/>
  <c r="B30" i="4" s="1"/>
  <c r="B31" i="4" a="1"/>
  <c r="B31" i="4"/>
  <c r="B32" i="4" a="1"/>
  <c r="B32" i="4"/>
  <c r="B28" i="4" a="1"/>
  <c r="B28" i="4" s="1"/>
  <c r="H72" i="4" a="1"/>
  <c r="H72" i="4" s="1"/>
  <c r="H71" i="4" a="1"/>
  <c r="H71" i="4" s="1"/>
  <c r="G72" i="4" a="1"/>
  <c r="G72" i="4" s="1"/>
  <c r="G71" i="4" a="1"/>
  <c r="G71" i="4" s="1"/>
  <c r="F72" i="4" a="1"/>
  <c r="F72" i="4" s="1"/>
  <c r="F71" i="4"/>
  <c r="E72" i="4" a="1"/>
  <c r="E72" i="4" s="1"/>
  <c r="E71" i="4" a="1"/>
  <c r="E71" i="4" s="1"/>
  <c r="D72" i="4" a="1"/>
  <c r="D72" i="4" s="1"/>
  <c r="D71" i="4" a="1"/>
  <c r="D71" i="4" s="1"/>
  <c r="C72" i="4" a="1"/>
  <c r="C72" i="4" s="1"/>
  <c r="C71" i="4" a="1"/>
  <c r="C71" i="4" s="1"/>
  <c r="H58" i="4" a="1"/>
  <c r="H58" i="4" s="1"/>
  <c r="H57" i="4" a="1"/>
  <c r="H57" i="4" s="1"/>
  <c r="H56" i="4" a="1"/>
  <c r="H56" i="4" s="1"/>
  <c r="H55" i="4" a="1"/>
  <c r="H55" i="4" s="1"/>
  <c r="H54" i="4" a="1"/>
  <c r="H54" i="4" s="1"/>
  <c r="G58" i="4" a="1"/>
  <c r="G58" i="4" s="1"/>
  <c r="G57" i="4" a="1"/>
  <c r="G57" i="4" s="1"/>
  <c r="G56" i="4" a="1"/>
  <c r="G56" i="4" s="1"/>
  <c r="G55" i="4" a="1"/>
  <c r="G55" i="4" s="1"/>
  <c r="G54" i="4" a="1"/>
  <c r="G54" i="4" s="1"/>
  <c r="F58" i="4" a="1"/>
  <c r="F58" i="4" s="1"/>
  <c r="F57" i="4" a="1"/>
  <c r="F57" i="4" s="1"/>
  <c r="F56" i="4" a="1"/>
  <c r="F56" i="4" s="1"/>
  <c r="F55" i="4" a="1"/>
  <c r="F55" i="4" s="1"/>
  <c r="F54" i="4" a="1"/>
  <c r="F54" i="4" s="1"/>
  <c r="E58" i="4" a="1"/>
  <c r="E58" i="4" s="1"/>
  <c r="E57" i="4" a="1"/>
  <c r="E57" i="4" s="1"/>
  <c r="E56" i="4" a="1"/>
  <c r="E56" i="4" s="1"/>
  <c r="E55" i="4" a="1"/>
  <c r="E55" i="4" s="1"/>
  <c r="E54" i="4" a="1"/>
  <c r="E54" i="4" s="1"/>
  <c r="D55" i="4" a="1"/>
  <c r="D55" i="4" s="1"/>
  <c r="D54" i="4" a="1"/>
  <c r="D54" i="4" s="1"/>
  <c r="C54" i="4" a="1"/>
  <c r="C54" i="4" s="1"/>
  <c r="B60" i="18" l="1"/>
  <c r="B59" i="18"/>
  <c r="B52" i="18"/>
  <c r="C14" i="18"/>
  <c r="C13" i="18"/>
  <c r="C12" i="18"/>
  <c r="C11" i="18"/>
  <c r="B71" i="17"/>
  <c r="B70" i="17"/>
  <c r="B37" i="17"/>
  <c r="B32" i="17"/>
  <c r="B36" i="17" s="1"/>
  <c r="B23" i="17"/>
  <c r="B9" i="17"/>
  <c r="J23" i="15"/>
  <c r="I23" i="15"/>
  <c r="H23" i="15"/>
  <c r="G23" i="15"/>
  <c r="F23" i="15"/>
  <c r="E23" i="15"/>
  <c r="D23" i="15"/>
  <c r="C23" i="15"/>
  <c r="CC22" i="15"/>
  <c r="CB22" i="15"/>
  <c r="CA22" i="15"/>
  <c r="BZ22" i="15"/>
  <c r="BY22" i="15"/>
  <c r="BX22" i="15"/>
  <c r="BW22" i="15"/>
  <c r="BV22" i="15"/>
  <c r="BU22" i="15"/>
  <c r="BT22" i="15"/>
  <c r="BS22" i="15"/>
  <c r="BR22" i="15"/>
  <c r="BQ22" i="15"/>
  <c r="BP22" i="15"/>
  <c r="BO22" i="15"/>
  <c r="BN22" i="15"/>
  <c r="BM22" i="15"/>
  <c r="BL22" i="15"/>
  <c r="BK22" i="15"/>
  <c r="BJ22" i="15"/>
  <c r="BI22" i="15"/>
  <c r="BH22" i="15"/>
  <c r="BG22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CC20" i="15"/>
  <c r="CB20" i="15"/>
  <c r="CA20" i="15"/>
  <c r="BZ20" i="15"/>
  <c r="BY20" i="15"/>
  <c r="BX20" i="15"/>
  <c r="BW20" i="15"/>
  <c r="BV20" i="15"/>
  <c r="BU20" i="15"/>
  <c r="BT20" i="15"/>
  <c r="BS20" i="15"/>
  <c r="BR20" i="15"/>
  <c r="BQ20" i="15"/>
  <c r="BP20" i="15"/>
  <c r="BO20" i="15"/>
  <c r="BN20" i="15"/>
  <c r="BM20" i="15"/>
  <c r="BL20" i="15"/>
  <c r="BK20" i="15"/>
  <c r="BJ20" i="15"/>
  <c r="BI20" i="15"/>
  <c r="BH20" i="15"/>
  <c r="BG20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CC13" i="15"/>
  <c r="CB13" i="15"/>
  <c r="CA13" i="15"/>
  <c r="BZ13" i="15"/>
  <c r="BY13" i="15"/>
  <c r="BX13" i="15"/>
  <c r="BW13" i="15"/>
  <c r="BV13" i="15"/>
  <c r="BU13" i="15"/>
  <c r="BT13" i="15"/>
  <c r="BS13" i="15"/>
  <c r="BR13" i="15"/>
  <c r="BQ13" i="15"/>
  <c r="BP13" i="15"/>
  <c r="BO13" i="15"/>
  <c r="BN13" i="15"/>
  <c r="BM13" i="15"/>
  <c r="BL13" i="15"/>
  <c r="BK13" i="15"/>
  <c r="BJ13" i="15"/>
  <c r="BI13" i="15"/>
  <c r="BH13" i="15"/>
  <c r="BG13" i="15"/>
  <c r="BF13" i="15"/>
  <c r="BE13" i="15"/>
  <c r="BD13" i="15"/>
  <c r="BC13" i="15"/>
  <c r="BB13" i="15"/>
  <c r="BA13" i="15"/>
  <c r="AZ13" i="15"/>
  <c r="AY13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CC7" i="15"/>
  <c r="CB7" i="15"/>
  <c r="CA7" i="15"/>
  <c r="BZ7" i="15"/>
  <c r="BY7" i="15"/>
  <c r="BX7" i="15"/>
  <c r="BW7" i="15"/>
  <c r="BV7" i="15"/>
  <c r="BU7" i="15"/>
  <c r="BT7" i="15"/>
  <c r="BS7" i="15"/>
  <c r="BR7" i="15"/>
  <c r="BQ7" i="15"/>
  <c r="BP7" i="15"/>
  <c r="BO7" i="15"/>
  <c r="BN7" i="15"/>
  <c r="BM7" i="15"/>
  <c r="BL7" i="15"/>
  <c r="BK7" i="15"/>
  <c r="BJ7" i="15"/>
  <c r="BI7" i="15"/>
  <c r="BH7" i="15"/>
  <c r="BG7" i="15"/>
  <c r="BF7" i="15"/>
  <c r="BE7" i="15"/>
  <c r="BD7" i="15"/>
  <c r="BC7" i="15"/>
  <c r="BB7" i="15"/>
  <c r="BA7" i="15"/>
  <c r="AZ7" i="15"/>
  <c r="AY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J54" i="13"/>
  <c r="A54" i="13"/>
  <c r="J53" i="13"/>
  <c r="A53" i="13"/>
  <c r="J52" i="13"/>
  <c r="A52" i="13"/>
  <c r="J40" i="13"/>
  <c r="A40" i="13"/>
  <c r="J39" i="13"/>
  <c r="H39" i="13"/>
  <c r="A39" i="13"/>
  <c r="J38" i="13"/>
  <c r="A38" i="13"/>
  <c r="J21" i="13"/>
  <c r="A21" i="13"/>
  <c r="J20" i="13"/>
  <c r="A20" i="13"/>
  <c r="J19" i="13"/>
  <c r="A19" i="13"/>
  <c r="J18" i="13"/>
  <c r="A18" i="13"/>
  <c r="J17" i="13"/>
  <c r="D17" i="13"/>
  <c r="C17" i="13"/>
  <c r="B17" i="13"/>
  <c r="A17" i="13"/>
  <c r="B31" i="12"/>
  <c r="G30" i="12"/>
  <c r="G29" i="12"/>
  <c r="E29" i="12"/>
  <c r="D29" i="12"/>
  <c r="B25" i="12"/>
  <c r="G24" i="12"/>
  <c r="F24" i="12"/>
  <c r="F30" i="12" s="1"/>
  <c r="C24" i="12"/>
  <c r="C30" i="12" s="1"/>
  <c r="B24" i="12"/>
  <c r="B30" i="12" s="1"/>
  <c r="G23" i="12"/>
  <c r="D23" i="12"/>
  <c r="B23" i="12"/>
  <c r="B29" i="12" s="1"/>
  <c r="F19" i="12"/>
  <c r="F25" i="12" s="1"/>
  <c r="F31" i="12" s="1"/>
  <c r="E19" i="12"/>
  <c r="E25" i="12" s="1"/>
  <c r="E31" i="12" s="1"/>
  <c r="D19" i="12"/>
  <c r="D25" i="12" s="1"/>
  <c r="D31" i="12" s="1"/>
  <c r="C19" i="12"/>
  <c r="C25" i="12" s="1"/>
  <c r="C31" i="12" s="1"/>
  <c r="H18" i="12"/>
  <c r="H24" i="12" s="1"/>
  <c r="H30" i="12" s="1"/>
  <c r="G18" i="12"/>
  <c r="F18" i="12"/>
  <c r="E18" i="12"/>
  <c r="E24" i="12" s="1"/>
  <c r="E30" i="12" s="1"/>
  <c r="D18" i="12"/>
  <c r="D24" i="12" s="1"/>
  <c r="D30" i="12" s="1"/>
  <c r="F17" i="12"/>
  <c r="G17" i="12" s="1"/>
  <c r="E17" i="12"/>
  <c r="E23" i="12" s="1"/>
  <c r="C17" i="12"/>
  <c r="C23" i="12" s="1"/>
  <c r="C29" i="12" s="1"/>
  <c r="F13" i="12"/>
  <c r="D13" i="12"/>
  <c r="H12" i="12"/>
  <c r="G12" i="12"/>
  <c r="F12" i="12"/>
  <c r="E12" i="12"/>
  <c r="D12" i="12"/>
  <c r="F11" i="12"/>
  <c r="G11" i="12" s="1"/>
  <c r="E11" i="12"/>
  <c r="E13" i="12" s="1"/>
  <c r="C11" i="12"/>
  <c r="C13" i="12" s="1"/>
  <c r="C7" i="12"/>
  <c r="H6" i="12"/>
  <c r="G6" i="12"/>
  <c r="F6" i="12"/>
  <c r="E6" i="12"/>
  <c r="D6" i="12"/>
  <c r="D7" i="12" s="1"/>
  <c r="H5" i="12"/>
  <c r="G5" i="12"/>
  <c r="F5" i="12"/>
  <c r="E5" i="12"/>
  <c r="E7" i="12" s="1"/>
  <c r="C5" i="12"/>
  <c r="B112" i="11"/>
  <c r="CS85" i="11"/>
  <c r="L85" i="11"/>
  <c r="M85" i="11" s="1"/>
  <c r="N85" i="11" s="1"/>
  <c r="O85" i="11" s="1"/>
  <c r="K85" i="11"/>
  <c r="O84" i="11"/>
  <c r="L84" i="11"/>
  <c r="M84" i="11" s="1"/>
  <c r="N84" i="11" s="1"/>
  <c r="K84" i="11"/>
  <c r="CS83" i="11"/>
  <c r="M83" i="11"/>
  <c r="N83" i="11" s="1"/>
  <c r="O83" i="11" s="1"/>
  <c r="L83" i="11"/>
  <c r="K83" i="11"/>
  <c r="K82" i="11"/>
  <c r="L82" i="11" s="1"/>
  <c r="M82" i="11" s="1"/>
  <c r="N82" i="11" s="1"/>
  <c r="O82" i="11" s="1"/>
  <c r="CO81" i="11"/>
  <c r="CK81" i="11"/>
  <c r="CA81" i="11"/>
  <c r="BU81" i="11"/>
  <c r="BM81" i="11"/>
  <c r="BH81" i="11"/>
  <c r="AV81" i="11"/>
  <c r="AS81" i="11"/>
  <c r="AI81" i="11"/>
  <c r="X81" i="11"/>
  <c r="V81" i="11"/>
  <c r="L81" i="11"/>
  <c r="M81" i="11" s="1"/>
  <c r="N81" i="11" s="1"/>
  <c r="O81" i="11" s="1"/>
  <c r="K81" i="11"/>
  <c r="F81" i="11"/>
  <c r="BY81" i="11" s="1"/>
  <c r="L80" i="11"/>
  <c r="M80" i="11" s="1"/>
  <c r="K80" i="11"/>
  <c r="F80" i="11"/>
  <c r="BZ80" i="11" s="1"/>
  <c r="K79" i="11"/>
  <c r="L79" i="11" s="1"/>
  <c r="M79" i="11" s="1"/>
  <c r="N79" i="11" s="1"/>
  <c r="O79" i="11" s="1"/>
  <c r="BU78" i="11"/>
  <c r="BK78" i="11"/>
  <c r="BH78" i="11"/>
  <c r="BE78" i="11"/>
  <c r="AY78" i="11"/>
  <c r="AX78" i="11"/>
  <c r="AM78" i="11"/>
  <c r="AK78" i="11"/>
  <c r="AH78" i="11"/>
  <c r="AG78" i="11"/>
  <c r="Z78" i="11"/>
  <c r="U78" i="11"/>
  <c r="L78" i="11"/>
  <c r="M78" i="11" s="1"/>
  <c r="K78" i="11"/>
  <c r="F78" i="11"/>
  <c r="CD78" i="11" s="1"/>
  <c r="CG77" i="11"/>
  <c r="CF77" i="11"/>
  <c r="BX77" i="11"/>
  <c r="BU77" i="11"/>
  <c r="BO77" i="11"/>
  <c r="BN77" i="11"/>
  <c r="BH77" i="11"/>
  <c r="BC77" i="11"/>
  <c r="AY77" i="11"/>
  <c r="AX77" i="11"/>
  <c r="AO77" i="11"/>
  <c r="AM77" i="11"/>
  <c r="AJ77" i="11"/>
  <c r="AH77" i="11"/>
  <c r="Z77" i="11"/>
  <c r="X77" i="11"/>
  <c r="Q77" i="11"/>
  <c r="K77" i="11"/>
  <c r="L77" i="11" s="1"/>
  <c r="M77" i="11" s="1"/>
  <c r="N77" i="11" s="1"/>
  <c r="F77" i="11"/>
  <c r="CA77" i="11" s="1"/>
  <c r="O76" i="11"/>
  <c r="K76" i="11"/>
  <c r="L76" i="11" s="1"/>
  <c r="M76" i="11" s="1"/>
  <c r="N76" i="11" s="1"/>
  <c r="L75" i="11"/>
  <c r="M75" i="11" s="1"/>
  <c r="N75" i="11" s="1"/>
  <c r="O75" i="11" s="1"/>
  <c r="K75" i="11"/>
  <c r="K74" i="11"/>
  <c r="L74" i="11" s="1"/>
  <c r="M74" i="11" s="1"/>
  <c r="N74" i="11" s="1"/>
  <c r="O74" i="11" s="1"/>
  <c r="CO73" i="11"/>
  <c r="CF73" i="11"/>
  <c r="CE73" i="11"/>
  <c r="BZ73" i="11"/>
  <c r="BW73" i="11"/>
  <c r="BT73" i="11"/>
  <c r="BS73" i="11"/>
  <c r="BM73" i="11"/>
  <c r="BK73" i="11"/>
  <c r="BH73" i="11"/>
  <c r="BG73" i="11"/>
  <c r="BA73" i="11"/>
  <c r="AY73" i="11"/>
  <c r="AV73" i="11"/>
  <c r="AU73" i="11"/>
  <c r="AO73" i="11"/>
  <c r="AM73" i="11"/>
  <c r="AJ73" i="11"/>
  <c r="AI73" i="11"/>
  <c r="AC73" i="11"/>
  <c r="AA73" i="11"/>
  <c r="X73" i="11"/>
  <c r="W73" i="11"/>
  <c r="Q73" i="11"/>
  <c r="N73" i="11"/>
  <c r="L73" i="11"/>
  <c r="M73" i="11" s="1"/>
  <c r="K73" i="11"/>
  <c r="F73" i="11"/>
  <c r="CC73" i="11" s="1"/>
  <c r="L72" i="11"/>
  <c r="M72" i="11" s="1"/>
  <c r="N72" i="11" s="1"/>
  <c r="O72" i="11" s="1"/>
  <c r="K72" i="11"/>
  <c r="K71" i="11"/>
  <c r="L71" i="11" s="1"/>
  <c r="M71" i="11" s="1"/>
  <c r="N71" i="11" s="1"/>
  <c r="O71" i="11" s="1"/>
  <c r="O70" i="11"/>
  <c r="K70" i="11"/>
  <c r="L70" i="11" s="1"/>
  <c r="M70" i="11" s="1"/>
  <c r="N70" i="11" s="1"/>
  <c r="BE69" i="11"/>
  <c r="BA69" i="11"/>
  <c r="AW69" i="11"/>
  <c r="AV69" i="11"/>
  <c r="AT69" i="11"/>
  <c r="AS69" i="11"/>
  <c r="AN69" i="11"/>
  <c r="AL69" i="11"/>
  <c r="AJ69" i="11"/>
  <c r="AH69" i="11"/>
  <c r="AG69" i="11"/>
  <c r="AF69" i="11"/>
  <c r="AA69" i="11"/>
  <c r="Y69" i="11"/>
  <c r="V69" i="11"/>
  <c r="U69" i="11"/>
  <c r="T69" i="11"/>
  <c r="R69" i="11"/>
  <c r="K69" i="11"/>
  <c r="F69" i="11"/>
  <c r="AR69" i="11" s="1"/>
  <c r="BF68" i="11"/>
  <c r="BD68" i="11"/>
  <c r="BB68" i="11"/>
  <c r="AZ68" i="11"/>
  <c r="AS68" i="11"/>
  <c r="AR68" i="11"/>
  <c r="AL68" i="11"/>
  <c r="AD68" i="11"/>
  <c r="AB68" i="11"/>
  <c r="Z68" i="11"/>
  <c r="Y68" i="11"/>
  <c r="R68" i="11"/>
  <c r="K68" i="11"/>
  <c r="L68" i="11" s="1"/>
  <c r="F68" i="11"/>
  <c r="AQ68" i="11" s="1"/>
  <c r="K67" i="11"/>
  <c r="L67" i="11" s="1"/>
  <c r="M67" i="11" s="1"/>
  <c r="N67" i="11" s="1"/>
  <c r="O67" i="11" s="1"/>
  <c r="L66" i="11"/>
  <c r="M66" i="11" s="1"/>
  <c r="N66" i="11" s="1"/>
  <c r="O66" i="11" s="1"/>
  <c r="K66" i="11"/>
  <c r="M65" i="11"/>
  <c r="N65" i="11" s="1"/>
  <c r="O65" i="11" s="1"/>
  <c r="L65" i="11"/>
  <c r="K65" i="11"/>
  <c r="K64" i="11"/>
  <c r="L64" i="11" s="1"/>
  <c r="M64" i="11" s="1"/>
  <c r="N64" i="11" s="1"/>
  <c r="O64" i="11" s="1"/>
  <c r="BJ63" i="11"/>
  <c r="BG63" i="11"/>
  <c r="BF63" i="11"/>
  <c r="AV63" i="11"/>
  <c r="AU63" i="11"/>
  <c r="AT63" i="11"/>
  <c r="AI63" i="11"/>
  <c r="X63" i="11"/>
  <c r="W63" i="11"/>
  <c r="V63" i="11"/>
  <c r="U63" i="11"/>
  <c r="K63" i="11"/>
  <c r="L63" i="11" s="1"/>
  <c r="M63" i="11" s="1"/>
  <c r="F63" i="11"/>
  <c r="BR63" i="11" s="1"/>
  <c r="BX62" i="11"/>
  <c r="BV62" i="11"/>
  <c r="BU62" i="11"/>
  <c r="BN62" i="11"/>
  <c r="BM62" i="11"/>
  <c r="BL62" i="11"/>
  <c r="BK62" i="11"/>
  <c r="BA62" i="11"/>
  <c r="AY62" i="11"/>
  <c r="AX62" i="11"/>
  <c r="AV62" i="11"/>
  <c r="AP62" i="11"/>
  <c r="AO62" i="11"/>
  <c r="AN62" i="11"/>
  <c r="AD62" i="11"/>
  <c r="AB62" i="11"/>
  <c r="Z62" i="11"/>
  <c r="Y62" i="11"/>
  <c r="X62" i="11"/>
  <c r="R62" i="11"/>
  <c r="Q62" i="11"/>
  <c r="L62" i="11"/>
  <c r="M62" i="11" s="1"/>
  <c r="N62" i="11" s="1"/>
  <c r="K62" i="11"/>
  <c r="F62" i="11"/>
  <c r="CG62" i="11" s="1"/>
  <c r="BQ61" i="11"/>
  <c r="BO61" i="11"/>
  <c r="BN61" i="11"/>
  <c r="BE61" i="11"/>
  <c r="BD61" i="11"/>
  <c r="BC61" i="11"/>
  <c r="BB61" i="11"/>
  <c r="AS61" i="11"/>
  <c r="AQ61" i="11"/>
  <c r="AP61" i="11"/>
  <c r="AO61" i="11"/>
  <c r="AN61" i="11"/>
  <c r="AM61" i="11"/>
  <c r="AG61" i="11"/>
  <c r="AC61" i="11"/>
  <c r="Z61" i="11"/>
  <c r="U61" i="11"/>
  <c r="T61" i="11"/>
  <c r="S61" i="11"/>
  <c r="R61" i="11"/>
  <c r="Q61" i="11"/>
  <c r="K61" i="11"/>
  <c r="L61" i="11" s="1"/>
  <c r="F61" i="11"/>
  <c r="BA61" i="11" s="1"/>
  <c r="CC60" i="11"/>
  <c r="AU60" i="11"/>
  <c r="AT60" i="11"/>
  <c r="AJ60" i="11"/>
  <c r="AH60" i="11"/>
  <c r="K60" i="11"/>
  <c r="L60" i="11" s="1"/>
  <c r="M60" i="11" s="1"/>
  <c r="N60" i="11" s="1"/>
  <c r="F60" i="11"/>
  <c r="CB60" i="11" s="1"/>
  <c r="L59" i="11"/>
  <c r="M59" i="11" s="1"/>
  <c r="N59" i="11" s="1"/>
  <c r="O59" i="11" s="1"/>
  <c r="K59" i="11"/>
  <c r="O58" i="11"/>
  <c r="K58" i="11"/>
  <c r="L58" i="11" s="1"/>
  <c r="M58" i="11" s="1"/>
  <c r="N58" i="11" s="1"/>
  <c r="BI57" i="11"/>
  <c r="BG57" i="11"/>
  <c r="BF57" i="11"/>
  <c r="BA57" i="11"/>
  <c r="AZ57" i="11"/>
  <c r="AY57" i="11"/>
  <c r="AU57" i="11"/>
  <c r="AO57" i="11"/>
  <c r="AN57" i="11"/>
  <c r="AM57" i="11"/>
  <c r="AL57" i="11"/>
  <c r="AK57" i="11"/>
  <c r="AJ57" i="11"/>
  <c r="AB57" i="11"/>
  <c r="Z57" i="11"/>
  <c r="Y57" i="11"/>
  <c r="T57" i="11"/>
  <c r="S57" i="11"/>
  <c r="R57" i="11"/>
  <c r="Q57" i="11"/>
  <c r="K57" i="11"/>
  <c r="L57" i="11" s="1"/>
  <c r="F57" i="11"/>
  <c r="AX57" i="11" s="1"/>
  <c r="K56" i="11"/>
  <c r="L56" i="11" s="1"/>
  <c r="M56" i="11" s="1"/>
  <c r="N56" i="11" s="1"/>
  <c r="O56" i="11" s="1"/>
  <c r="L55" i="11"/>
  <c r="M55" i="11" s="1"/>
  <c r="N55" i="11" s="1"/>
  <c r="O55" i="11" s="1"/>
  <c r="K55" i="11"/>
  <c r="K54" i="11"/>
  <c r="L54" i="11" s="1"/>
  <c r="M54" i="11" s="1"/>
  <c r="N54" i="11" s="1"/>
  <c r="O54" i="11" s="1"/>
  <c r="K53" i="11"/>
  <c r="L53" i="11" s="1"/>
  <c r="M53" i="11" s="1"/>
  <c r="N53" i="11" s="1"/>
  <c r="O53" i="11" s="1"/>
  <c r="K52" i="11"/>
  <c r="L52" i="11" s="1"/>
  <c r="M52" i="11" s="1"/>
  <c r="N52" i="11" s="1"/>
  <c r="O52" i="11" s="1"/>
  <c r="K51" i="11"/>
  <c r="L51" i="11" s="1"/>
  <c r="M51" i="11" s="1"/>
  <c r="N51" i="11" s="1"/>
  <c r="O51" i="11" s="1"/>
  <c r="L50" i="11"/>
  <c r="M50" i="11" s="1"/>
  <c r="N50" i="11" s="1"/>
  <c r="O50" i="11" s="1"/>
  <c r="K50" i="11"/>
  <c r="BB49" i="11"/>
  <c r="BA49" i="11"/>
  <c r="AE49" i="11"/>
  <c r="Z49" i="11"/>
  <c r="K49" i="11"/>
  <c r="L49" i="11" s="1"/>
  <c r="M49" i="11" s="1"/>
  <c r="F49" i="11"/>
  <c r="BR49" i="11" s="1"/>
  <c r="N48" i="11"/>
  <c r="O48" i="11" s="1"/>
  <c r="K48" i="11"/>
  <c r="L48" i="11" s="1"/>
  <c r="M48" i="11" s="1"/>
  <c r="AY47" i="11"/>
  <c r="AX47" i="11"/>
  <c r="AA47" i="11"/>
  <c r="L47" i="11"/>
  <c r="K47" i="11"/>
  <c r="F47" i="11"/>
  <c r="AG47" i="11" s="1"/>
  <c r="M46" i="11"/>
  <c r="N46" i="11" s="1"/>
  <c r="O46" i="11" s="1"/>
  <c r="K46" i="11"/>
  <c r="L46" i="11" s="1"/>
  <c r="L45" i="11"/>
  <c r="M45" i="11" s="1"/>
  <c r="N45" i="11" s="1"/>
  <c r="O45" i="11" s="1"/>
  <c r="K45" i="11"/>
  <c r="BV44" i="11"/>
  <c r="BA44" i="11"/>
  <c r="AN44" i="11"/>
  <c r="AA44" i="11"/>
  <c r="M44" i="11"/>
  <c r="L44" i="11"/>
  <c r="K44" i="11"/>
  <c r="F44" i="11"/>
  <c r="BL44" i="11" s="1"/>
  <c r="BI43" i="11"/>
  <c r="BA43" i="11"/>
  <c r="AZ43" i="11"/>
  <c r="AX43" i="11"/>
  <c r="AV43" i="11"/>
  <c r="AL43" i="11"/>
  <c r="AF43" i="11"/>
  <c r="AA43" i="11"/>
  <c r="Z43" i="11"/>
  <c r="Y43" i="11"/>
  <c r="R43" i="11"/>
  <c r="K43" i="11"/>
  <c r="L43" i="11" s="1"/>
  <c r="M43" i="11" s="1"/>
  <c r="F43" i="11"/>
  <c r="BL43" i="11" s="1"/>
  <c r="O42" i="11"/>
  <c r="N42" i="11"/>
  <c r="K42" i="11"/>
  <c r="L42" i="11" s="1"/>
  <c r="M42" i="11" s="1"/>
  <c r="K41" i="11"/>
  <c r="L41" i="11" s="1"/>
  <c r="M41" i="11" s="1"/>
  <c r="N41" i="11" s="1"/>
  <c r="O41" i="11" s="1"/>
  <c r="K40" i="11"/>
  <c r="L40" i="11" s="1"/>
  <c r="M40" i="11" s="1"/>
  <c r="N40" i="11" s="1"/>
  <c r="O40" i="11" s="1"/>
  <c r="BA39" i="11"/>
  <c r="AX39" i="11"/>
  <c r="AV39" i="11"/>
  <c r="AP39" i="11"/>
  <c r="AO39" i="11"/>
  <c r="AF39" i="11"/>
  <c r="AC39" i="11"/>
  <c r="AB39" i="11"/>
  <c r="Z39" i="11"/>
  <c r="Y39" i="11"/>
  <c r="Q39" i="11"/>
  <c r="K39" i="11"/>
  <c r="F39" i="11"/>
  <c r="BD39" i="11" s="1"/>
  <c r="AD38" i="11"/>
  <c r="AC38" i="11"/>
  <c r="K38" i="11"/>
  <c r="L38" i="11" s="1"/>
  <c r="M38" i="11" s="1"/>
  <c r="N38" i="11" s="1"/>
  <c r="O38" i="11" s="1"/>
  <c r="F38" i="11"/>
  <c r="BU38" i="11" s="1"/>
  <c r="L37" i="11"/>
  <c r="M37" i="11" s="1"/>
  <c r="N37" i="11" s="1"/>
  <c r="O37" i="11" s="1"/>
  <c r="K37" i="11"/>
  <c r="K36" i="11"/>
  <c r="L36" i="11" s="1"/>
  <c r="M36" i="11" s="1"/>
  <c r="N36" i="11" s="1"/>
  <c r="O36" i="11" s="1"/>
  <c r="BS35" i="11"/>
  <c r="BF35" i="11"/>
  <c r="BE35" i="11"/>
  <c r="AP35" i="11"/>
  <c r="W35" i="11"/>
  <c r="V35" i="11"/>
  <c r="T35" i="11"/>
  <c r="K35" i="11"/>
  <c r="L35" i="11" s="1"/>
  <c r="M35" i="11" s="1"/>
  <c r="N35" i="11" s="1"/>
  <c r="O35" i="11" s="1"/>
  <c r="F35" i="11"/>
  <c r="BB35" i="11" s="1"/>
  <c r="AX34" i="11"/>
  <c r="AU34" i="11"/>
  <c r="AS34" i="11"/>
  <c r="AJ34" i="11"/>
  <c r="AF34" i="11"/>
  <c r="Z34" i="11"/>
  <c r="M34" i="11"/>
  <c r="L34" i="11"/>
  <c r="BR34" i="11" s="1"/>
  <c r="K34" i="11"/>
  <c r="F34" i="11"/>
  <c r="BL34" i="11" s="1"/>
  <c r="O33" i="11"/>
  <c r="K33" i="11"/>
  <c r="L33" i="11" s="1"/>
  <c r="M33" i="11" s="1"/>
  <c r="N33" i="11" s="1"/>
  <c r="BS32" i="11"/>
  <c r="K32" i="11"/>
  <c r="L32" i="11" s="1"/>
  <c r="M32" i="11" s="1"/>
  <c r="N32" i="11" s="1"/>
  <c r="F32" i="11"/>
  <c r="AB32" i="11" s="1"/>
  <c r="K31" i="11"/>
  <c r="L31" i="11" s="1"/>
  <c r="M31" i="11" s="1"/>
  <c r="N31" i="11" s="1"/>
  <c r="O31" i="11" s="1"/>
  <c r="BD30" i="11"/>
  <c r="AL30" i="11"/>
  <c r="AJ30" i="11"/>
  <c r="AI30" i="11"/>
  <c r="AH30" i="11"/>
  <c r="AB30" i="11"/>
  <c r="AA30" i="11"/>
  <c r="Z30" i="11"/>
  <c r="Y30" i="11"/>
  <c r="W30" i="11"/>
  <c r="V30" i="11"/>
  <c r="U30" i="11"/>
  <c r="R30" i="11"/>
  <c r="K30" i="11"/>
  <c r="AQ30" i="11" s="1"/>
  <c r="F30" i="11"/>
  <c r="AG30" i="11" s="1"/>
  <c r="CM29" i="11"/>
  <c r="BP29" i="11"/>
  <c r="AS29" i="11"/>
  <c r="AI29" i="11"/>
  <c r="AH29" i="11"/>
  <c r="AE29" i="11"/>
  <c r="V29" i="11"/>
  <c r="K29" i="11"/>
  <c r="L29" i="11" s="1"/>
  <c r="M29" i="11" s="1"/>
  <c r="N29" i="11" s="1"/>
  <c r="O29" i="11" s="1"/>
  <c r="F29" i="11"/>
  <c r="CQ29" i="11" s="1"/>
  <c r="AU28" i="11"/>
  <c r="X28" i="11"/>
  <c r="L28" i="11"/>
  <c r="M28" i="11" s="1"/>
  <c r="N28" i="11" s="1"/>
  <c r="O28" i="11" s="1"/>
  <c r="K28" i="11"/>
  <c r="F28" i="11"/>
  <c r="CN28" i="11" s="1"/>
  <c r="BA27" i="11"/>
  <c r="AV27" i="11"/>
  <c r="AI27" i="11"/>
  <c r="AH27" i="11"/>
  <c r="AE27" i="11"/>
  <c r="AD27" i="11"/>
  <c r="AC27" i="11"/>
  <c r="AB27" i="11"/>
  <c r="W27" i="11"/>
  <c r="U27" i="11"/>
  <c r="S27" i="11"/>
  <c r="R27" i="11"/>
  <c r="Q27" i="11"/>
  <c r="K27" i="11"/>
  <c r="AZ27" i="11" s="1"/>
  <c r="F27" i="11"/>
  <c r="AL27" i="11" s="1"/>
  <c r="CB26" i="11"/>
  <c r="BR26" i="11"/>
  <c r="AU26" i="11"/>
  <c r="AO26" i="11"/>
  <c r="Q26" i="11"/>
  <c r="L26" i="11"/>
  <c r="M26" i="11" s="1"/>
  <c r="N26" i="11" s="1"/>
  <c r="O26" i="11" s="1"/>
  <c r="K26" i="11"/>
  <c r="F26" i="11"/>
  <c r="CQ26" i="11" s="1"/>
  <c r="O25" i="11"/>
  <c r="M25" i="11"/>
  <c r="N25" i="11" s="1"/>
  <c r="L25" i="11"/>
  <c r="K25" i="11"/>
  <c r="F25" i="11"/>
  <c r="BF25" i="11" s="1"/>
  <c r="N24" i="11"/>
  <c r="O24" i="11" s="1"/>
  <c r="K24" i="11"/>
  <c r="L24" i="11" s="1"/>
  <c r="M24" i="11" s="1"/>
  <c r="K23" i="11"/>
  <c r="L23" i="11" s="1"/>
  <c r="M23" i="11" s="1"/>
  <c r="N23" i="11" s="1"/>
  <c r="O23" i="11" s="1"/>
  <c r="K22" i="11"/>
  <c r="L22" i="11" s="1"/>
  <c r="M22" i="11" s="1"/>
  <c r="N22" i="11" s="1"/>
  <c r="O22" i="11" s="1"/>
  <c r="K21" i="11"/>
  <c r="L21" i="11" s="1"/>
  <c r="M21" i="11" s="1"/>
  <c r="N21" i="11" s="1"/>
  <c r="O21" i="11" s="1"/>
  <c r="H21" i="11"/>
  <c r="O20" i="11"/>
  <c r="N20" i="11"/>
  <c r="M20" i="11"/>
  <c r="L20" i="11"/>
  <c r="K20" i="11"/>
  <c r="H20" i="11"/>
  <c r="CC19" i="11"/>
  <c r="BW19" i="11"/>
  <c r="BU19" i="11"/>
  <c r="BS19" i="11"/>
  <c r="BR19" i="11"/>
  <c r="BM19" i="11"/>
  <c r="BL19" i="11"/>
  <c r="BJ19" i="11"/>
  <c r="BI19" i="11"/>
  <c r="BH19" i="11"/>
  <c r="BG19" i="11"/>
  <c r="BB19" i="11"/>
  <c r="AZ19" i="11"/>
  <c r="AY19" i="11"/>
  <c r="AX19" i="11"/>
  <c r="AW19" i="11"/>
  <c r="AQ19" i="11"/>
  <c r="AP19" i="11"/>
  <c r="AO19" i="11"/>
  <c r="AN19" i="11"/>
  <c r="AM19" i="11"/>
  <c r="AK19" i="11"/>
  <c r="AF19" i="11"/>
  <c r="AE19" i="11"/>
  <c r="AD19" i="11"/>
  <c r="AB19" i="11"/>
  <c r="AA19" i="11"/>
  <c r="Z19" i="11"/>
  <c r="U19" i="11"/>
  <c r="T19" i="11"/>
  <c r="R19" i="11"/>
  <c r="Q19" i="11"/>
  <c r="L19" i="11"/>
  <c r="M19" i="11" s="1"/>
  <c r="CE19" i="11" s="1"/>
  <c r="K19" i="11"/>
  <c r="F19" i="11"/>
  <c r="BV19" i="11" s="1"/>
  <c r="BS18" i="11"/>
  <c r="BR18" i="11"/>
  <c r="BN18" i="11"/>
  <c r="BM18" i="11"/>
  <c r="BL18" i="11"/>
  <c r="BK18" i="11"/>
  <c r="BJ18" i="11"/>
  <c r="BI18" i="11"/>
  <c r="BH18" i="11"/>
  <c r="BG18" i="11"/>
  <c r="BE18" i="11"/>
  <c r="BC18" i="11"/>
  <c r="BB18" i="11"/>
  <c r="BA18" i="11"/>
  <c r="AZ18" i="11"/>
  <c r="AY18" i="11"/>
  <c r="AX18" i="11"/>
  <c r="AW18" i="11"/>
  <c r="AV18" i="11"/>
  <c r="AT18" i="11"/>
  <c r="AR18" i="11"/>
  <c r="AQ18" i="11"/>
  <c r="AP18" i="11"/>
  <c r="AO18" i="11"/>
  <c r="AN18" i="11"/>
  <c r="AM18" i="11"/>
  <c r="AL18" i="11"/>
  <c r="AK18" i="11"/>
  <c r="AI18" i="11"/>
  <c r="AG18" i="11"/>
  <c r="AF18" i="11"/>
  <c r="AE18" i="11"/>
  <c r="AD18" i="11"/>
  <c r="AC18" i="11"/>
  <c r="AB18" i="11"/>
  <c r="AA18" i="11"/>
  <c r="Z18" i="11"/>
  <c r="X18" i="11"/>
  <c r="W18" i="11"/>
  <c r="V18" i="11"/>
  <c r="U18" i="11"/>
  <c r="T18" i="11"/>
  <c r="S18" i="11"/>
  <c r="R18" i="11"/>
  <c r="Q18" i="11"/>
  <c r="L18" i="11"/>
  <c r="BQ18" i="11" s="1"/>
  <c r="K18" i="11"/>
  <c r="BF18" i="11" s="1"/>
  <c r="BS17" i="11"/>
  <c r="BR17" i="11"/>
  <c r="BN17" i="11"/>
  <c r="BM17" i="11"/>
  <c r="BL17" i="11"/>
  <c r="BK17" i="11"/>
  <c r="BJ17" i="11"/>
  <c r="BI17" i="11"/>
  <c r="BH17" i="11"/>
  <c r="BG17" i="11"/>
  <c r="BE17" i="11"/>
  <c r="BC17" i="11"/>
  <c r="BB17" i="11"/>
  <c r="BA17" i="11"/>
  <c r="AZ17" i="11"/>
  <c r="AY17" i="11"/>
  <c r="AX17" i="11"/>
  <c r="AW17" i="11"/>
  <c r="AV17" i="11"/>
  <c r="AT17" i="11"/>
  <c r="AR17" i="11"/>
  <c r="AQ17" i="11"/>
  <c r="AP17" i="11"/>
  <c r="AO17" i="11"/>
  <c r="AN17" i="11"/>
  <c r="AM17" i="11"/>
  <c r="AL17" i="11"/>
  <c r="AK17" i="11"/>
  <c r="AI17" i="11"/>
  <c r="AG17" i="11"/>
  <c r="AF17" i="11"/>
  <c r="AE17" i="11"/>
  <c r="AD17" i="11"/>
  <c r="AC17" i="11"/>
  <c r="AB17" i="11"/>
  <c r="AA17" i="11"/>
  <c r="Z17" i="11"/>
  <c r="X17" i="11"/>
  <c r="W17" i="11"/>
  <c r="V17" i="11"/>
  <c r="U17" i="11"/>
  <c r="T17" i="11"/>
  <c r="S17" i="11"/>
  <c r="R17" i="11"/>
  <c r="Q17" i="11"/>
  <c r="L17" i="11"/>
  <c r="BQ17" i="11" s="1"/>
  <c r="K17" i="11"/>
  <c r="BF17" i="11" s="1"/>
  <c r="BM16" i="11"/>
  <c r="BH16" i="11"/>
  <c r="BG16" i="11"/>
  <c r="BE16" i="11"/>
  <c r="BC16" i="11"/>
  <c r="BB16" i="11"/>
  <c r="BA16" i="11"/>
  <c r="AZ16" i="11"/>
  <c r="AY16" i="11"/>
  <c r="AX16" i="11"/>
  <c r="AW16" i="11"/>
  <c r="AV16" i="11"/>
  <c r="AT16" i="11"/>
  <c r="AR16" i="11"/>
  <c r="AQ16" i="11"/>
  <c r="AP16" i="11"/>
  <c r="AO16" i="11"/>
  <c r="AN16" i="11"/>
  <c r="AM16" i="11"/>
  <c r="AL16" i="11"/>
  <c r="AK16" i="11"/>
  <c r="AI16" i="11"/>
  <c r="AG16" i="11"/>
  <c r="AF16" i="11"/>
  <c r="AE16" i="11"/>
  <c r="AD16" i="11"/>
  <c r="AC16" i="11"/>
  <c r="AB16" i="11"/>
  <c r="AA16" i="11"/>
  <c r="Z16" i="11"/>
  <c r="X16" i="11"/>
  <c r="W16" i="11"/>
  <c r="V16" i="11"/>
  <c r="U16" i="11"/>
  <c r="T16" i="11"/>
  <c r="S16" i="11"/>
  <c r="R16" i="11"/>
  <c r="Q16" i="11"/>
  <c r="L16" i="11"/>
  <c r="K16" i="11"/>
  <c r="BF16" i="11" s="1"/>
  <c r="BG15" i="11"/>
  <c r="AV15" i="11"/>
  <c r="AT15" i="11"/>
  <c r="AS15" i="11"/>
  <c r="AR15" i="11"/>
  <c r="AQ15" i="11"/>
  <c r="AO15" i="11"/>
  <c r="AK15" i="11"/>
  <c r="AE15" i="11"/>
  <c r="AC15" i="11"/>
  <c r="X15" i="11"/>
  <c r="W15" i="11"/>
  <c r="V15" i="11"/>
  <c r="U15" i="11"/>
  <c r="T15" i="11"/>
  <c r="S15" i="11"/>
  <c r="R15" i="11"/>
  <c r="Q15" i="11"/>
  <c r="K15" i="11"/>
  <c r="AY14" i="11"/>
  <c r="AL14" i="11"/>
  <c r="W14" i="11"/>
  <c r="V14" i="11"/>
  <c r="U14" i="11"/>
  <c r="T14" i="11"/>
  <c r="S14" i="11"/>
  <c r="R14" i="11"/>
  <c r="Q14" i="11"/>
  <c r="K14" i="11"/>
  <c r="AN14" i="11" s="1"/>
  <c r="BK13" i="11"/>
  <c r="BJ13" i="11"/>
  <c r="BH13" i="11"/>
  <c r="BC13" i="11"/>
  <c r="BB13" i="11"/>
  <c r="BA13" i="11"/>
  <c r="AZ13" i="11"/>
  <c r="AY13" i="11"/>
  <c r="AX13" i="11"/>
  <c r="AV13" i="11"/>
  <c r="AQ13" i="11"/>
  <c r="AP13" i="11"/>
  <c r="AO13" i="11"/>
  <c r="AN13" i="11"/>
  <c r="AM13" i="11"/>
  <c r="AL13" i="11"/>
  <c r="AI13" i="11"/>
  <c r="AE13" i="11"/>
  <c r="AD13" i="11"/>
  <c r="AC13" i="11"/>
  <c r="AB13" i="11"/>
  <c r="AA13" i="11"/>
  <c r="Z13" i="11"/>
  <c r="W13" i="11"/>
  <c r="V13" i="11"/>
  <c r="U13" i="11"/>
  <c r="T13" i="11"/>
  <c r="S13" i="11"/>
  <c r="R13" i="11"/>
  <c r="Q13" i="11"/>
  <c r="L13" i="11"/>
  <c r="K13" i="11"/>
  <c r="H13" i="11"/>
  <c r="BF12" i="11"/>
  <c r="BE12" i="11"/>
  <c r="BD12" i="11"/>
  <c r="BC12" i="11"/>
  <c r="BB12" i="11"/>
  <c r="AZ12" i="11"/>
  <c r="AU12" i="11"/>
  <c r="AT12" i="11"/>
  <c r="AS12" i="11"/>
  <c r="AR12" i="11"/>
  <c r="AQ12" i="11"/>
  <c r="AP12" i="11"/>
  <c r="AN12" i="11"/>
  <c r="AI12" i="11"/>
  <c r="AH12" i="11"/>
  <c r="AG12" i="11"/>
  <c r="AF12" i="11"/>
  <c r="AE12" i="11"/>
  <c r="AD12" i="11"/>
  <c r="AB12" i="11"/>
  <c r="W12" i="11"/>
  <c r="V12" i="11"/>
  <c r="U12" i="11"/>
  <c r="T12" i="11"/>
  <c r="S12" i="11"/>
  <c r="R12" i="11"/>
  <c r="Q12" i="11"/>
  <c r="K12" i="11"/>
  <c r="BA12" i="11" s="1"/>
  <c r="BF11" i="11"/>
  <c r="BE11" i="11"/>
  <c r="BC11" i="11"/>
  <c r="AY11" i="11"/>
  <c r="AX11" i="11"/>
  <c r="AW11" i="11"/>
  <c r="AS11" i="11"/>
  <c r="AQ11" i="11"/>
  <c r="AM11" i="11"/>
  <c r="AL11" i="11"/>
  <c r="AJ11" i="11"/>
  <c r="AI11" i="11"/>
  <c r="AH11" i="11"/>
  <c r="AG11" i="11"/>
  <c r="AE11" i="11"/>
  <c r="X11" i="11"/>
  <c r="W11" i="11"/>
  <c r="V11" i="11"/>
  <c r="U11" i="11"/>
  <c r="T11" i="11"/>
  <c r="S11" i="11"/>
  <c r="R11" i="11"/>
  <c r="Q11" i="11"/>
  <c r="K11" i="11"/>
  <c r="BE10" i="11"/>
  <c r="BD10" i="11"/>
  <c r="BC10" i="11"/>
  <c r="BB10" i="11"/>
  <c r="BA10" i="11"/>
  <c r="AZ10" i="11"/>
  <c r="AQ10" i="11"/>
  <c r="AP10" i="11"/>
  <c r="AO10" i="11"/>
  <c r="AM10" i="11"/>
  <c r="AI10" i="11"/>
  <c r="AH10" i="11"/>
  <c r="AG10" i="11"/>
  <c r="X10" i="11"/>
  <c r="W10" i="11"/>
  <c r="V10" i="11"/>
  <c r="U10" i="11"/>
  <c r="T10" i="11"/>
  <c r="S10" i="11"/>
  <c r="R10" i="11"/>
  <c r="Q10" i="11"/>
  <c r="K10" i="11"/>
  <c r="AR10" i="11" s="1"/>
  <c r="BD9" i="11"/>
  <c r="BC9" i="11"/>
  <c r="BB9" i="11"/>
  <c r="BA9" i="11"/>
  <c r="AR9" i="11"/>
  <c r="AQ9" i="11"/>
  <c r="AP9" i="11"/>
  <c r="AO9" i="11"/>
  <c r="AN9" i="11"/>
  <c r="AL9" i="11"/>
  <c r="AH9" i="11"/>
  <c r="AC9" i="11"/>
  <c r="AA9" i="11"/>
  <c r="W9" i="11"/>
  <c r="V9" i="11"/>
  <c r="U9" i="11"/>
  <c r="T9" i="11"/>
  <c r="S9" i="11"/>
  <c r="R9" i="11"/>
  <c r="Q9" i="11"/>
  <c r="K9" i="11"/>
  <c r="AN8" i="11"/>
  <c r="AD8" i="11"/>
  <c r="W8" i="11"/>
  <c r="V8" i="11"/>
  <c r="U8" i="11"/>
  <c r="T8" i="11"/>
  <c r="S8" i="11"/>
  <c r="R8" i="11"/>
  <c r="Q8" i="11"/>
  <c r="K8" i="11"/>
  <c r="AC8" i="11" s="1"/>
  <c r="AZ7" i="11"/>
  <c r="AY7" i="11"/>
  <c r="AW7" i="11"/>
  <c r="AS7" i="11"/>
  <c r="AR7" i="11"/>
  <c r="AP7" i="11"/>
  <c r="AG7" i="11"/>
  <c r="AF7" i="11"/>
  <c r="AD7" i="11"/>
  <c r="AC7" i="11"/>
  <c r="W7" i="11"/>
  <c r="V7" i="11"/>
  <c r="U7" i="11"/>
  <c r="T7" i="11"/>
  <c r="S7" i="11"/>
  <c r="R7" i="11"/>
  <c r="Q7" i="11"/>
  <c r="K7" i="11"/>
  <c r="BB6" i="11"/>
  <c r="BA6" i="11"/>
  <c r="AZ6" i="11"/>
  <c r="AY6" i="11"/>
  <c r="AW6" i="11"/>
  <c r="AR6" i="11"/>
  <c r="AL6" i="11"/>
  <c r="AH6" i="11"/>
  <c r="AG6" i="11"/>
  <c r="AF6" i="11"/>
  <c r="AE6" i="11"/>
  <c r="AC6" i="11"/>
  <c r="W6" i="11"/>
  <c r="V6" i="11"/>
  <c r="U6" i="11"/>
  <c r="T6" i="11"/>
  <c r="S6" i="11"/>
  <c r="R6" i="11"/>
  <c r="Q6" i="11"/>
  <c r="K6" i="11"/>
  <c r="BD5" i="11"/>
  <c r="BC5" i="11"/>
  <c r="BB5" i="11"/>
  <c r="BA5" i="11"/>
  <c r="AZ5" i="11"/>
  <c r="AY5" i="11"/>
  <c r="AW5" i="11"/>
  <c r="AR5" i="11"/>
  <c r="AQ5" i="11"/>
  <c r="AP5" i="11"/>
  <c r="AO5" i="11"/>
  <c r="AN5" i="11"/>
  <c r="AL5" i="11"/>
  <c r="AH5" i="11"/>
  <c r="AG5" i="11"/>
  <c r="AF5" i="11"/>
  <c r="AE5" i="11"/>
  <c r="AC5" i="11"/>
  <c r="AA5" i="11"/>
  <c r="W5" i="11"/>
  <c r="V5" i="11"/>
  <c r="U5" i="11"/>
  <c r="T5" i="11"/>
  <c r="S5" i="11"/>
  <c r="R5" i="11"/>
  <c r="Q5" i="11"/>
  <c r="K5" i="11"/>
  <c r="BD4" i="11"/>
  <c r="BC4" i="11"/>
  <c r="BB4" i="11"/>
  <c r="BA4" i="11"/>
  <c r="AZ4" i="11"/>
  <c r="AW4" i="11"/>
  <c r="AR4" i="11"/>
  <c r="AQ4" i="11"/>
  <c r="AP4" i="11"/>
  <c r="AO4" i="11"/>
  <c r="AN4" i="11"/>
  <c r="AL4" i="11"/>
  <c r="AH4" i="11"/>
  <c r="AG4" i="11"/>
  <c r="AE4" i="11"/>
  <c r="AC4" i="11"/>
  <c r="AA4" i="11"/>
  <c r="W4" i="11"/>
  <c r="V4" i="11"/>
  <c r="U4" i="11"/>
  <c r="T4" i="11"/>
  <c r="S4" i="11"/>
  <c r="R4" i="11"/>
  <c r="Q4" i="11"/>
  <c r="K4" i="11"/>
  <c r="D29" i="10"/>
  <c r="D28" i="10"/>
  <c r="D27" i="10"/>
  <c r="D23" i="10"/>
  <c r="D22" i="10"/>
  <c r="D21" i="10"/>
  <c r="C16" i="10"/>
  <c r="D14" i="10"/>
  <c r="CC9" i="10"/>
  <c r="CC7" i="10" s="1"/>
  <c r="A10" i="8"/>
  <c r="A9" i="8"/>
  <c r="A8" i="8"/>
  <c r="CC7" i="8"/>
  <c r="CB7" i="8"/>
  <c r="CA7" i="8"/>
  <c r="BZ7" i="8"/>
  <c r="BY7" i="8"/>
  <c r="BX7" i="8"/>
  <c r="BW7" i="8"/>
  <c r="BV7" i="8"/>
  <c r="BU7" i="8"/>
  <c r="BT7" i="8"/>
  <c r="BS7" i="8"/>
  <c r="BR7" i="8"/>
  <c r="BQ7" i="8"/>
  <c r="BP7" i="8"/>
  <c r="BO7" i="8"/>
  <c r="BN7" i="8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CC3" i="8"/>
  <c r="B84" i="7"/>
  <c r="C81" i="7"/>
  <c r="AU14" i="7"/>
  <c r="AV14" i="7" s="1"/>
  <c r="AW14" i="7" s="1"/>
  <c r="AX14" i="7" s="1"/>
  <c r="AY14" i="7" s="1"/>
  <c r="AZ14" i="7" s="1"/>
  <c r="BA14" i="7" s="1"/>
  <c r="BB14" i="7" s="1"/>
  <c r="BC14" i="7" s="1"/>
  <c r="BD14" i="7" s="1"/>
  <c r="BE14" i="7" s="1"/>
  <c r="BF14" i="7" s="1"/>
  <c r="BG14" i="7" s="1"/>
  <c r="BH14" i="7" s="1"/>
  <c r="BI14" i="7" s="1"/>
  <c r="BJ14" i="7" s="1"/>
  <c r="BK14" i="7" s="1"/>
  <c r="BL14" i="7" s="1"/>
  <c r="BM14" i="7" s="1"/>
  <c r="BN14" i="7" s="1"/>
  <c r="BO14" i="7" s="1"/>
  <c r="BP14" i="7" s="1"/>
  <c r="BQ14" i="7" s="1"/>
  <c r="BR14" i="7" s="1"/>
  <c r="BS14" i="7" s="1"/>
  <c r="BT14" i="7" s="1"/>
  <c r="BU14" i="7" s="1"/>
  <c r="BV14" i="7" s="1"/>
  <c r="BW14" i="7" s="1"/>
  <c r="BX14" i="7" s="1"/>
  <c r="BY14" i="7" s="1"/>
  <c r="BZ14" i="7" s="1"/>
  <c r="CA14" i="7" s="1"/>
  <c r="CB14" i="7" s="1"/>
  <c r="CC14" i="7" s="1"/>
  <c r="AT14" i="7"/>
  <c r="AH14" i="7"/>
  <c r="U14" i="7"/>
  <c r="V14" i="7" s="1"/>
  <c r="T14" i="7"/>
  <c r="S14" i="7"/>
  <c r="R14" i="7"/>
  <c r="Q14" i="7"/>
  <c r="P14" i="7"/>
  <c r="O14" i="7"/>
  <c r="N14" i="7"/>
  <c r="M14" i="7"/>
  <c r="L14" i="7"/>
  <c r="K14" i="7"/>
  <c r="J14" i="7"/>
  <c r="I12" i="7"/>
  <c r="H12" i="7"/>
  <c r="G12" i="7"/>
  <c r="F12" i="7"/>
  <c r="E12" i="7"/>
  <c r="D12" i="7"/>
  <c r="C12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33" i="6"/>
  <c r="B32" i="6"/>
  <c r="B30" i="6"/>
  <c r="CC99" i="5"/>
  <c r="CB99" i="5"/>
  <c r="CA99" i="5"/>
  <c r="BZ99" i="5"/>
  <c r="BY99" i="5"/>
  <c r="BX99" i="5"/>
  <c r="BW99" i="5"/>
  <c r="BV99" i="5"/>
  <c r="BU99" i="5"/>
  <c r="BT99" i="5"/>
  <c r="BS99" i="5"/>
  <c r="BR99" i="5"/>
  <c r="BQ99" i="5"/>
  <c r="BP99" i="5"/>
  <c r="BO99" i="5"/>
  <c r="BN99" i="5"/>
  <c r="BM99" i="5"/>
  <c r="BL99" i="5"/>
  <c r="BK99" i="5"/>
  <c r="BJ99" i="5"/>
  <c r="BI99" i="5"/>
  <c r="BH99" i="5"/>
  <c r="BG99" i="5"/>
  <c r="BF99" i="5"/>
  <c r="BE99" i="5"/>
  <c r="BD99" i="5"/>
  <c r="BC99" i="5"/>
  <c r="BB99" i="5"/>
  <c r="BA99" i="5"/>
  <c r="AZ99" i="5"/>
  <c r="AY99" i="5"/>
  <c r="AX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C67" i="5"/>
  <c r="C66" i="5"/>
  <c r="C60" i="5"/>
  <c r="C59" i="5"/>
  <c r="C52" i="5"/>
  <c r="C51" i="5"/>
  <c r="C36" i="5"/>
  <c r="C29" i="5"/>
  <c r="C21" i="5"/>
  <c r="C12" i="5"/>
  <c r="B85" i="4"/>
  <c r="D15" i="2"/>
  <c r="I14" i="2"/>
  <c r="H14" i="2"/>
  <c r="B67" i="4"/>
  <c r="B83" i="7" s="1"/>
  <c r="C60" i="4"/>
  <c r="B60" i="4"/>
  <c r="C51" i="4"/>
  <c r="D51" i="4" s="1"/>
  <c r="E51" i="4" s="1"/>
  <c r="F51" i="4" s="1"/>
  <c r="G51" i="4" s="1"/>
  <c r="H51" i="4" s="1"/>
  <c r="E50" i="4"/>
  <c r="F50" i="4" s="1"/>
  <c r="G50" i="4" s="1"/>
  <c r="H50" i="4" s="1"/>
  <c r="D50" i="4"/>
  <c r="C50" i="4"/>
  <c r="C46" i="4"/>
  <c r="D46" i="4" s="1"/>
  <c r="E46" i="4" s="1"/>
  <c r="F46" i="4" s="1"/>
  <c r="G46" i="4" s="1"/>
  <c r="H46" i="4" s="1"/>
  <c r="C45" i="4"/>
  <c r="D45" i="4" s="1"/>
  <c r="E45" i="4" s="1"/>
  <c r="F45" i="4" s="1"/>
  <c r="G45" i="4" s="1"/>
  <c r="H45" i="4" s="1"/>
  <c r="C44" i="4"/>
  <c r="D44" i="4" s="1"/>
  <c r="E44" i="4" s="1"/>
  <c r="F44" i="4" s="1"/>
  <c r="G44" i="4" s="1"/>
  <c r="H44" i="4" s="1"/>
  <c r="C43" i="4"/>
  <c r="D43" i="4" s="1"/>
  <c r="E43" i="4" s="1"/>
  <c r="F43" i="4" s="1"/>
  <c r="G43" i="4" s="1"/>
  <c r="H43" i="4" s="1"/>
  <c r="C42" i="4"/>
  <c r="D42" i="4" s="1"/>
  <c r="E42" i="4" s="1"/>
  <c r="F42" i="4" s="1"/>
  <c r="G42" i="4" s="1"/>
  <c r="H42" i="4" s="1"/>
  <c r="D16" i="4"/>
  <c r="E16" i="4" s="1"/>
  <c r="F16" i="4" s="1"/>
  <c r="G16" i="4" s="1"/>
  <c r="H16" i="4" s="1"/>
  <c r="C16" i="4"/>
  <c r="H15" i="4"/>
  <c r="G15" i="4"/>
  <c r="F15" i="4"/>
  <c r="C15" i="4"/>
  <c r="D15" i="4" s="1"/>
  <c r="E15" i="4" s="1"/>
  <c r="C14" i="4"/>
  <c r="D14" i="4" s="1"/>
  <c r="E14" i="4" s="1"/>
  <c r="F14" i="4" s="1"/>
  <c r="G14" i="4" s="1"/>
  <c r="H14" i="4" s="1"/>
  <c r="F13" i="4"/>
  <c r="G13" i="4" s="1"/>
  <c r="H13" i="4" s="1"/>
  <c r="C13" i="4"/>
  <c r="D13" i="4" s="1"/>
  <c r="E13" i="4" s="1"/>
  <c r="C12" i="4"/>
  <c r="D12" i="4" s="1"/>
  <c r="E12" i="4" s="1"/>
  <c r="F12" i="4" s="1"/>
  <c r="G12" i="4" s="1"/>
  <c r="H12" i="4" s="1"/>
  <c r="C23" i="3"/>
  <c r="J21" i="3"/>
  <c r="I21" i="3"/>
  <c r="H21" i="3"/>
  <c r="G21" i="3"/>
  <c r="F21" i="3"/>
  <c r="E21" i="3"/>
  <c r="C21" i="3"/>
  <c r="C19" i="3"/>
  <c r="J16" i="3"/>
  <c r="I16" i="3"/>
  <c r="H16" i="3"/>
  <c r="G16" i="3"/>
  <c r="F16" i="3"/>
  <c r="E16" i="3"/>
  <c r="D15" i="3"/>
  <c r="C15" i="3"/>
  <c r="S8" i="3"/>
  <c r="R8" i="3"/>
  <c r="O8" i="3"/>
  <c r="C8" i="3"/>
  <c r="R7" i="3"/>
  <c r="O7" i="3"/>
  <c r="H4" i="2" s="1"/>
  <c r="R6" i="3"/>
  <c r="O6" i="3"/>
  <c r="C6" i="3"/>
  <c r="R5" i="3"/>
  <c r="O5" i="3"/>
  <c r="D4" i="2" s="1"/>
  <c r="D5" i="3"/>
  <c r="D10" i="3" s="1"/>
  <c r="D12" i="3" s="1"/>
  <c r="D14" i="3" s="1"/>
  <c r="C5" i="3"/>
  <c r="C10" i="3" s="1"/>
  <c r="C12" i="3" s="1"/>
  <c r="C14" i="3" s="1"/>
  <c r="C17" i="3" s="1"/>
  <c r="C20" i="3" s="1"/>
  <c r="C22" i="3" s="1"/>
  <c r="C25" i="3" s="1"/>
  <c r="R4" i="3"/>
  <c r="O4" i="3"/>
  <c r="R3" i="3"/>
  <c r="O3" i="3"/>
  <c r="C15" i="2"/>
  <c r="C14" i="2"/>
  <c r="C11" i="2"/>
  <c r="C10" i="2"/>
  <c r="C9" i="2" s="1"/>
  <c r="G4" i="2"/>
  <c r="C4" i="2"/>
  <c r="G43" i="1"/>
  <c r="H61" i="4" s="1"/>
  <c r="G38" i="1"/>
  <c r="BX19" i="11" l="1"/>
  <c r="G19" i="15"/>
  <c r="AC19" i="11"/>
  <c r="AV19" i="11"/>
  <c r="BK19" i="11"/>
  <c r="S19" i="11"/>
  <c r="AL19" i="11"/>
  <c r="BA19" i="11"/>
  <c r="BT19" i="11"/>
  <c r="U25" i="11"/>
  <c r="BH25" i="11"/>
  <c r="AJ26" i="11"/>
  <c r="AA27" i="11"/>
  <c r="AM27" i="11"/>
  <c r="AC32" i="11"/>
  <c r="BD35" i="11"/>
  <c r="X38" i="11"/>
  <c r="X39" i="11"/>
  <c r="AN39" i="11"/>
  <c r="V43" i="11"/>
  <c r="AU43" i="11"/>
  <c r="CB43" i="11"/>
  <c r="Y44" i="11"/>
  <c r="AL44" i="11"/>
  <c r="AY44" i="11"/>
  <c r="BM44" i="11"/>
  <c r="AL47" i="11"/>
  <c r="Y49" i="11"/>
  <c r="AV49" i="11"/>
  <c r="AS63" i="11"/>
  <c r="BT63" i="11"/>
  <c r="U73" i="11"/>
  <c r="AH73" i="11"/>
  <c r="AT73" i="11"/>
  <c r="BF73" i="11"/>
  <c r="BR73" i="11"/>
  <c r="CD73" i="11"/>
  <c r="AD77" i="11"/>
  <c r="AW77" i="11"/>
  <c r="BM77" i="11"/>
  <c r="CD77" i="11"/>
  <c r="AA80" i="11"/>
  <c r="AQ80" i="11"/>
  <c r="BI80" i="11"/>
  <c r="AH81" i="11"/>
  <c r="BG81" i="11"/>
  <c r="BZ81" i="11"/>
  <c r="AA25" i="11"/>
  <c r="BJ25" i="11"/>
  <c r="AP32" i="11"/>
  <c r="Z44" i="11"/>
  <c r="AM44" i="11"/>
  <c r="AZ44" i="11"/>
  <c r="BQ44" i="11"/>
  <c r="AB80" i="11"/>
  <c r="AT80" i="11"/>
  <c r="BK80" i="11"/>
  <c r="AG25" i="11"/>
  <c r="AD80" i="11"/>
  <c r="AV80" i="11"/>
  <c r="BL80" i="11"/>
  <c r="AK81" i="11"/>
  <c r="BJ81" i="11"/>
  <c r="CH81" i="11"/>
  <c r="AJ25" i="11"/>
  <c r="BU25" i="11"/>
  <c r="BE26" i="11"/>
  <c r="AE38" i="11"/>
  <c r="AB44" i="11"/>
  <c r="AO44" i="11"/>
  <c r="BB44" i="11"/>
  <c r="BW44" i="11"/>
  <c r="AZ47" i="11"/>
  <c r="AF49" i="11"/>
  <c r="BG49" i="11"/>
  <c r="Y73" i="11"/>
  <c r="AK73" i="11"/>
  <c r="AW73" i="11"/>
  <c r="BI73" i="11"/>
  <c r="BU73" i="11"/>
  <c r="CG73" i="11"/>
  <c r="R77" i="11"/>
  <c r="AK77" i="11"/>
  <c r="AZ77" i="11"/>
  <c r="BR77" i="11"/>
  <c r="CL77" i="11"/>
  <c r="AI78" i="11"/>
  <c r="BF78" i="11"/>
  <c r="AE80" i="11"/>
  <c r="AW80" i="11"/>
  <c r="BM80" i="11"/>
  <c r="T81" i="11"/>
  <c r="AL81" i="11"/>
  <c r="BK81" i="11"/>
  <c r="CI81" i="11"/>
  <c r="AK25" i="11"/>
  <c r="BG26" i="11"/>
  <c r="AJ38" i="11"/>
  <c r="AC44" i="11"/>
  <c r="AP44" i="11"/>
  <c r="BE44" i="11"/>
  <c r="BX44" i="11"/>
  <c r="BD47" i="11"/>
  <c r="AH49" i="11"/>
  <c r="BL49" i="11"/>
  <c r="AC68" i="11"/>
  <c r="BC68" i="11"/>
  <c r="X69" i="11"/>
  <c r="AK69" i="11"/>
  <c r="AY69" i="11"/>
  <c r="Z73" i="11"/>
  <c r="AL73" i="11"/>
  <c r="AX73" i="11"/>
  <c r="BJ73" i="11"/>
  <c r="BV73" i="11"/>
  <c r="CK73" i="11"/>
  <c r="V77" i="11"/>
  <c r="AL77" i="11"/>
  <c r="BB77" i="11"/>
  <c r="BT77" i="11"/>
  <c r="AJ78" i="11"/>
  <c r="BG78" i="11"/>
  <c r="AH80" i="11"/>
  <c r="AX80" i="11"/>
  <c r="BN80" i="11"/>
  <c r="U81" i="11"/>
  <c r="AN81" i="11"/>
  <c r="BL81" i="11"/>
  <c r="CJ81" i="11"/>
  <c r="BK25" i="11"/>
  <c r="AL25" i="11"/>
  <c r="BH26" i="11"/>
  <c r="T27" i="11"/>
  <c r="AF27" i="11"/>
  <c r="AV34" i="11"/>
  <c r="AA35" i="11"/>
  <c r="AD39" i="11"/>
  <c r="AY39" i="11"/>
  <c r="AJ43" i="11"/>
  <c r="BG43" i="11"/>
  <c r="Q44" i="11"/>
  <c r="AD44" i="11"/>
  <c r="AQ44" i="11"/>
  <c r="BF44" i="11"/>
  <c r="CA44" i="11"/>
  <c r="BR47" i="11"/>
  <c r="AI49" i="11"/>
  <c r="BM49" i="11"/>
  <c r="Q80" i="11"/>
  <c r="AJ80" i="11"/>
  <c r="AZ80" i="11"/>
  <c r="BO80" i="11"/>
  <c r="AM25" i="11"/>
  <c r="AW34" i="11"/>
  <c r="AB35" i="11"/>
  <c r="AR39" i="11"/>
  <c r="AE39" i="11"/>
  <c r="AZ39" i="11"/>
  <c r="CC43" i="11"/>
  <c r="AK43" i="11"/>
  <c r="BH43" i="11"/>
  <c r="R44" i="11"/>
  <c r="AE44" i="11"/>
  <c r="AT44" i="11"/>
  <c r="BG44" i="11"/>
  <c r="CB44" i="11"/>
  <c r="Q47" i="11"/>
  <c r="AJ49" i="11"/>
  <c r="BN49" i="11"/>
  <c r="AA57" i="11"/>
  <c r="AP57" i="11"/>
  <c r="BK57" i="11"/>
  <c r="BV60" i="11"/>
  <c r="AB61" i="11"/>
  <c r="AR61" i="11"/>
  <c r="BP61" i="11"/>
  <c r="AC62" i="11"/>
  <c r="AZ62" i="11"/>
  <c r="BW62" i="11"/>
  <c r="Y63" i="11"/>
  <c r="BI63" i="11"/>
  <c r="AF68" i="11"/>
  <c r="BE68" i="11"/>
  <c r="Z69" i="11"/>
  <c r="AM69" i="11"/>
  <c r="BD69" i="11"/>
  <c r="AB73" i="11"/>
  <c r="AN73" i="11"/>
  <c r="AZ73" i="11"/>
  <c r="BL73" i="11"/>
  <c r="BX73" i="11"/>
  <c r="Y77" i="11"/>
  <c r="AN77" i="11"/>
  <c r="BF77" i="11"/>
  <c r="BV77" i="11"/>
  <c r="AL78" i="11"/>
  <c r="BJ78" i="11"/>
  <c r="S80" i="11"/>
  <c r="AK80" i="11"/>
  <c r="BA80" i="11"/>
  <c r="BR80" i="11"/>
  <c r="W81" i="11"/>
  <c r="AT81" i="11"/>
  <c r="BN81" i="11"/>
  <c r="CL81" i="11"/>
  <c r="AN25" i="11"/>
  <c r="CN32" i="11"/>
  <c r="S44" i="11"/>
  <c r="AF44" i="11"/>
  <c r="AU44" i="11"/>
  <c r="BI44" i="11"/>
  <c r="CC44" i="11"/>
  <c r="AR49" i="11"/>
  <c r="BO49" i="11"/>
  <c r="V80" i="11"/>
  <c r="AL80" i="11"/>
  <c r="BB80" i="11"/>
  <c r="BT80" i="11"/>
  <c r="BI25" i="11"/>
  <c r="AX25" i="11"/>
  <c r="S26" i="11"/>
  <c r="CD26" i="11"/>
  <c r="X27" i="11"/>
  <c r="AJ27" i="11"/>
  <c r="BR28" i="11"/>
  <c r="AC30" i="11"/>
  <c r="V32" i="11"/>
  <c r="CE34" i="11"/>
  <c r="AY34" i="11"/>
  <c r="AR35" i="11"/>
  <c r="R39" i="11"/>
  <c r="AJ39" i="11"/>
  <c r="BB39" i="11"/>
  <c r="S43" i="11"/>
  <c r="AM43" i="11"/>
  <c r="BJ43" i="11"/>
  <c r="T44" i="11"/>
  <c r="AI44" i="11"/>
  <c r="AV44" i="11"/>
  <c r="BJ44" i="11"/>
  <c r="CD44" i="11"/>
  <c r="AC47" i="11"/>
  <c r="AS49" i="11"/>
  <c r="BP49" i="11"/>
  <c r="AC57" i="11"/>
  <c r="AV57" i="11"/>
  <c r="CD60" i="11"/>
  <c r="AD61" i="11"/>
  <c r="AY61" i="11"/>
  <c r="AJ62" i="11"/>
  <c r="BB62" i="11"/>
  <c r="BY62" i="11"/>
  <c r="AJ63" i="11"/>
  <c r="BK63" i="11"/>
  <c r="AN68" i="11"/>
  <c r="AB69" i="11"/>
  <c r="AP69" i="11"/>
  <c r="BF69" i="11"/>
  <c r="R73" i="11"/>
  <c r="AD73" i="11"/>
  <c r="AP73" i="11"/>
  <c r="BB73" i="11"/>
  <c r="BO73" i="11"/>
  <c r="CA73" i="11"/>
  <c r="AA77" i="11"/>
  <c r="AQ77" i="11"/>
  <c r="BI77" i="11"/>
  <c r="BY77" i="11"/>
  <c r="V78" i="11"/>
  <c r="AT78" i="11"/>
  <c r="BR78" i="11"/>
  <c r="X80" i="11"/>
  <c r="AM80" i="11"/>
  <c r="BC80" i="11"/>
  <c r="BX80" i="11"/>
  <c r="Y81" i="11"/>
  <c r="AW81" i="11"/>
  <c r="BW81" i="11"/>
  <c r="G39" i="1"/>
  <c r="F24" i="11" s="1"/>
  <c r="AZ25" i="11"/>
  <c r="X26" i="11"/>
  <c r="CE26" i="11"/>
  <c r="Y27" i="11"/>
  <c r="AK27" i="11"/>
  <c r="AF30" i="11"/>
  <c r="X32" i="11"/>
  <c r="T34" i="11"/>
  <c r="BH34" i="11"/>
  <c r="AS35" i="11"/>
  <c r="U38" i="11"/>
  <c r="S39" i="11"/>
  <c r="AK39" i="11"/>
  <c r="BC39" i="11"/>
  <c r="T43" i="11"/>
  <c r="AN43" i="11"/>
  <c r="BK43" i="11"/>
  <c r="U44" i="11"/>
  <c r="AJ44" i="11"/>
  <c r="AW44" i="11"/>
  <c r="BK44" i="11"/>
  <c r="CE44" i="11"/>
  <c r="AD47" i="11"/>
  <c r="T49" i="11"/>
  <c r="AT49" i="11"/>
  <c r="BQ49" i="11"/>
  <c r="AD57" i="11"/>
  <c r="AW57" i="11"/>
  <c r="AE61" i="11"/>
  <c r="AZ61" i="11"/>
  <c r="AK62" i="11"/>
  <c r="BI62" i="11"/>
  <c r="BZ62" i="11"/>
  <c r="AK63" i="11"/>
  <c r="BQ63" i="11"/>
  <c r="AO68" i="11"/>
  <c r="AX69" i="11"/>
  <c r="AC69" i="11"/>
  <c r="AQ69" i="11"/>
  <c r="S73" i="11"/>
  <c r="AE73" i="11"/>
  <c r="AQ73" i="11"/>
  <c r="BD73" i="11"/>
  <c r="BP73" i="11"/>
  <c r="CB73" i="11"/>
  <c r="AB77" i="11"/>
  <c r="AT77" i="11"/>
  <c r="BJ77" i="11"/>
  <c r="BZ77" i="11"/>
  <c r="W78" i="11"/>
  <c r="AU78" i="11"/>
  <c r="BS78" i="11"/>
  <c r="Y80" i="11"/>
  <c r="AO80" i="11"/>
  <c r="BF80" i="11"/>
  <c r="BY80" i="11"/>
  <c r="Z81" i="11"/>
  <c r="AZ81" i="11"/>
  <c r="BX81" i="11"/>
  <c r="AG26" i="11"/>
  <c r="CO26" i="11"/>
  <c r="Z27" i="11"/>
  <c r="Q30" i="11"/>
  <c r="U34" i="11"/>
  <c r="BQ34" i="11"/>
  <c r="W38" i="11"/>
  <c r="T39" i="11"/>
  <c r="AM39" i="11"/>
  <c r="U43" i="11"/>
  <c r="AR43" i="11"/>
  <c r="X44" i="11"/>
  <c r="AK44" i="11"/>
  <c r="AX44" i="11"/>
  <c r="U49" i="11"/>
  <c r="AU49" i="11"/>
  <c r="BJ57" i="11"/>
  <c r="AE57" i="11"/>
  <c r="AF61" i="11"/>
  <c r="AM62" i="11"/>
  <c r="BJ62" i="11"/>
  <c r="AM63" i="11"/>
  <c r="Q68" i="11"/>
  <c r="Q69" i="11"/>
  <c r="AE69" i="11"/>
  <c r="T73" i="11"/>
  <c r="AF73" i="11"/>
  <c r="AS73" i="11"/>
  <c r="BE73" i="11"/>
  <c r="BQ73" i="11"/>
  <c r="AC77" i="11"/>
  <c r="AV77" i="11"/>
  <c r="BK77" i="11"/>
  <c r="Y78" i="11"/>
  <c r="AW78" i="11"/>
  <c r="BT78" i="11"/>
  <c r="Z80" i="11"/>
  <c r="AP80" i="11"/>
  <c r="BH80" i="11"/>
  <c r="AG81" i="11"/>
  <c r="BA81" i="11"/>
  <c r="C19" i="15"/>
  <c r="C6" i="15" s="1"/>
  <c r="C12" i="10" s="1"/>
  <c r="AY23" i="15"/>
  <c r="F19" i="15"/>
  <c r="G6" i="15"/>
  <c r="G12" i="10" s="1"/>
  <c r="D19" i="15"/>
  <c r="J19" i="15"/>
  <c r="J6" i="15" s="1"/>
  <c r="J12" i="10" s="1"/>
  <c r="I19" i="15"/>
  <c r="I6" i="15" s="1"/>
  <c r="I12" i="10" s="1"/>
  <c r="E19" i="15"/>
  <c r="BW23" i="15"/>
  <c r="BW19" i="15" s="1"/>
  <c r="BW6" i="15" s="1"/>
  <c r="BW12" i="10" s="1"/>
  <c r="D17" i="3"/>
  <c r="D20" i="3" s="1"/>
  <c r="D22" i="3" s="1"/>
  <c r="D25" i="3" s="1"/>
  <c r="C16" i="2"/>
  <c r="C61" i="17"/>
  <c r="C60" i="17"/>
  <c r="C55" i="17"/>
  <c r="D55" i="17" s="1"/>
  <c r="E55" i="17" s="1"/>
  <c r="F55" i="17" s="1"/>
  <c r="G55" i="17" s="1"/>
  <c r="H55" i="17" s="1"/>
  <c r="I55" i="17" s="1"/>
  <c r="J55" i="17" s="1"/>
  <c r="K55" i="17" s="1"/>
  <c r="L55" i="17" s="1"/>
  <c r="M55" i="17" s="1"/>
  <c r="N55" i="17" s="1"/>
  <c r="G7" i="17" s="1"/>
  <c r="F80" i="4" s="1"/>
  <c r="C52" i="17"/>
  <c r="D52" i="17" s="1"/>
  <c r="E52" i="17" s="1"/>
  <c r="F52" i="17" s="1"/>
  <c r="G52" i="17" s="1"/>
  <c r="H52" i="17" s="1"/>
  <c r="I52" i="17" s="1"/>
  <c r="J52" i="17" s="1"/>
  <c r="K52" i="17" s="1"/>
  <c r="L52" i="17" s="1"/>
  <c r="M52" i="17" s="1"/>
  <c r="N52" i="17" s="1"/>
  <c r="D7" i="17" s="1"/>
  <c r="C80" i="4" s="1"/>
  <c r="C57" i="17"/>
  <c r="D57" i="17" s="1"/>
  <c r="E57" i="17" s="1"/>
  <c r="F57" i="17" s="1"/>
  <c r="G57" i="17" s="1"/>
  <c r="H57" i="17" s="1"/>
  <c r="I57" i="17" s="1"/>
  <c r="J57" i="17" s="1"/>
  <c r="K57" i="17" s="1"/>
  <c r="L57" i="17" s="1"/>
  <c r="M57" i="17" s="1"/>
  <c r="N57" i="17" s="1"/>
  <c r="I7" i="17" s="1"/>
  <c r="H80" i="4" s="1"/>
  <c r="C63" i="17"/>
  <c r="C62" i="17"/>
  <c r="D62" i="17" s="1"/>
  <c r="E62" i="17" s="1"/>
  <c r="F62" i="17" s="1"/>
  <c r="G62" i="17" s="1"/>
  <c r="H62" i="17" s="1"/>
  <c r="I62" i="17" s="1"/>
  <c r="J62" i="17" s="1"/>
  <c r="K62" i="17" s="1"/>
  <c r="L62" i="17" s="1"/>
  <c r="M62" i="17" s="1"/>
  <c r="N62" i="17" s="1"/>
  <c r="G8" i="17" s="1"/>
  <c r="F81" i="4" s="1"/>
  <c r="C59" i="17"/>
  <c r="C64" i="17"/>
  <c r="C56" i="17"/>
  <c r="D56" i="17" s="1"/>
  <c r="E56" i="17" s="1"/>
  <c r="F56" i="17" s="1"/>
  <c r="G56" i="17" s="1"/>
  <c r="H56" i="17" s="1"/>
  <c r="I56" i="17" s="1"/>
  <c r="J56" i="17" s="1"/>
  <c r="K56" i="17" s="1"/>
  <c r="L56" i="17" s="1"/>
  <c r="M56" i="17" s="1"/>
  <c r="N56" i="17" s="1"/>
  <c r="H7" i="17" s="1"/>
  <c r="G80" i="4" s="1"/>
  <c r="C54" i="17"/>
  <c r="D54" i="17" s="1"/>
  <c r="E54" i="17" s="1"/>
  <c r="F54" i="17" s="1"/>
  <c r="G54" i="17" s="1"/>
  <c r="H54" i="17" s="1"/>
  <c r="I54" i="17" s="1"/>
  <c r="J54" i="17" s="1"/>
  <c r="K54" i="17" s="1"/>
  <c r="L54" i="17" s="1"/>
  <c r="M54" i="17" s="1"/>
  <c r="N54" i="17" s="1"/>
  <c r="F7" i="17" s="1"/>
  <c r="E80" i="4" s="1"/>
  <c r="C53" i="17"/>
  <c r="D53" i="17" s="1"/>
  <c r="E53" i="17" s="1"/>
  <c r="F53" i="17" s="1"/>
  <c r="G53" i="17" s="1"/>
  <c r="H53" i="17" s="1"/>
  <c r="I53" i="17" s="1"/>
  <c r="J53" i="17" s="1"/>
  <c r="K53" i="17" s="1"/>
  <c r="L53" i="17" s="1"/>
  <c r="M53" i="17" s="1"/>
  <c r="N53" i="17" s="1"/>
  <c r="E7" i="17" s="1"/>
  <c r="D80" i="4" s="1"/>
  <c r="E4" i="2"/>
  <c r="H52" i="13"/>
  <c r="F21" i="11"/>
  <c r="F20" i="11"/>
  <c r="S3" i="3"/>
  <c r="G14" i="2"/>
  <c r="F14" i="2"/>
  <c r="I15" i="2"/>
  <c r="F15" i="2"/>
  <c r="E15" i="2"/>
  <c r="H15" i="2"/>
  <c r="G15" i="2"/>
  <c r="E14" i="2"/>
  <c r="F58" i="11"/>
  <c r="F59" i="11"/>
  <c r="F33" i="11"/>
  <c r="F54" i="11"/>
  <c r="F36" i="11"/>
  <c r="F23" i="11"/>
  <c r="H62" i="4"/>
  <c r="G62" i="4"/>
  <c r="D61" i="4"/>
  <c r="D62" i="4"/>
  <c r="E62" i="4"/>
  <c r="BZ10" i="7"/>
  <c r="BY10" i="7"/>
  <c r="BX10" i="7"/>
  <c r="BS10" i="7"/>
  <c r="BR10" i="7"/>
  <c r="CA10" i="7"/>
  <c r="BW10" i="7"/>
  <c r="BU10" i="7"/>
  <c r="BT10" i="7"/>
  <c r="CC10" i="7"/>
  <c r="CB10" i="7"/>
  <c r="BV10" i="7"/>
  <c r="C35" i="5"/>
  <c r="BZ34" i="15"/>
  <c r="BO34" i="15"/>
  <c r="BD34" i="15"/>
  <c r="BR34" i="15"/>
  <c r="BF34" i="15"/>
  <c r="AT34" i="15"/>
  <c r="AI34" i="15"/>
  <c r="X34" i="15"/>
  <c r="M34" i="15"/>
  <c r="CC34" i="15"/>
  <c r="BQ34" i="15"/>
  <c r="BE34" i="15"/>
  <c r="AS34" i="15"/>
  <c r="AH34" i="15"/>
  <c r="W34" i="15"/>
  <c r="L34" i="15"/>
  <c r="CA34" i="15"/>
  <c r="BL34" i="15"/>
  <c r="AX34" i="15"/>
  <c r="AK34" i="15"/>
  <c r="V34" i="15"/>
  <c r="I34" i="15"/>
  <c r="BY34" i="15"/>
  <c r="BK34" i="15"/>
  <c r="AW34" i="15"/>
  <c r="AJ34" i="15"/>
  <c r="U34" i="15"/>
  <c r="H34" i="15"/>
  <c r="BX34" i="15"/>
  <c r="BJ34" i="15"/>
  <c r="AV34" i="15"/>
  <c r="AG34" i="15"/>
  <c r="T34" i="15"/>
  <c r="G34" i="15"/>
  <c r="BN34" i="15"/>
  <c r="AZ34" i="15"/>
  <c r="AM34" i="15"/>
  <c r="Z34" i="15"/>
  <c r="K34" i="15"/>
  <c r="BU34" i="15"/>
  <c r="AY34" i="15"/>
  <c r="AC34" i="15"/>
  <c r="F34" i="15"/>
  <c r="BT34" i="15"/>
  <c r="AU34" i="15"/>
  <c r="AB34" i="15"/>
  <c r="E34" i="15"/>
  <c r="BS34" i="15"/>
  <c r="AR34" i="15"/>
  <c r="AA34" i="15"/>
  <c r="D34" i="15"/>
  <c r="BW34" i="15"/>
  <c r="BB34" i="15"/>
  <c r="AE34" i="15"/>
  <c r="N34" i="15"/>
  <c r="BV34" i="15"/>
  <c r="AN34" i="15"/>
  <c r="C34" i="15"/>
  <c r="BP34" i="15"/>
  <c r="AL34" i="15"/>
  <c r="BM34" i="15"/>
  <c r="AF34" i="15"/>
  <c r="BI34" i="15"/>
  <c r="AD34" i="15"/>
  <c r="AQ34" i="15"/>
  <c r="P34" i="15"/>
  <c r="AP34" i="15"/>
  <c r="AO34" i="15"/>
  <c r="Y34" i="15"/>
  <c r="S34" i="15"/>
  <c r="R34" i="15"/>
  <c r="CB34" i="15"/>
  <c r="O34" i="15"/>
  <c r="BH34" i="15"/>
  <c r="J34" i="15"/>
  <c r="BG34" i="15"/>
  <c r="BC34" i="15"/>
  <c r="BA34" i="15"/>
  <c r="Q34" i="15"/>
  <c r="C20" i="5"/>
  <c r="C19" i="5" s="1"/>
  <c r="C67" i="4"/>
  <c r="D67" i="4" s="1"/>
  <c r="E67" i="4" s="1"/>
  <c r="F67" i="4" s="1"/>
  <c r="G67" i="4" s="1"/>
  <c r="H67" i="4" s="1"/>
  <c r="F61" i="4"/>
  <c r="E61" i="4"/>
  <c r="C10" i="18"/>
  <c r="C28" i="5"/>
  <c r="AM14" i="11"/>
  <c r="BG8" i="11"/>
  <c r="AV8" i="11"/>
  <c r="AK8" i="11"/>
  <c r="Z8" i="11"/>
  <c r="BF8" i="11"/>
  <c r="AU8" i="11"/>
  <c r="AJ8" i="11"/>
  <c r="Y8" i="11"/>
  <c r="BE8" i="11"/>
  <c r="AT8" i="11"/>
  <c r="AI8" i="11"/>
  <c r="X8" i="11"/>
  <c r="L8" i="11"/>
  <c r="AX8" i="11"/>
  <c r="AM8" i="11"/>
  <c r="AB8" i="11"/>
  <c r="BB8" i="11"/>
  <c r="AL8" i="11"/>
  <c r="BA8" i="11"/>
  <c r="AH8" i="11"/>
  <c r="AZ8" i="11"/>
  <c r="AG8" i="11"/>
  <c r="AY8" i="11"/>
  <c r="AF8" i="11"/>
  <c r="BD8" i="11"/>
  <c r="AO8" i="11"/>
  <c r="AA8" i="11"/>
  <c r="BC8" i="11"/>
  <c r="AW8" i="11"/>
  <c r="AS8" i="11"/>
  <c r="AR8" i="11"/>
  <c r="AP8" i="11"/>
  <c r="AE8" i="11"/>
  <c r="BF14" i="11"/>
  <c r="AU14" i="11"/>
  <c r="AJ14" i="11"/>
  <c r="Y14" i="11"/>
  <c r="BC14" i="11"/>
  <c r="AQ14" i="11"/>
  <c r="AE14" i="11"/>
  <c r="BB14" i="11"/>
  <c r="AP14" i="11"/>
  <c r="AD14" i="11"/>
  <c r="BA14" i="11"/>
  <c r="AO14" i="11"/>
  <c r="AC14" i="11"/>
  <c r="BE14" i="11"/>
  <c r="AS14" i="11"/>
  <c r="AG14" i="11"/>
  <c r="AX14" i="11"/>
  <c r="AF14" i="11"/>
  <c r="AW14" i="11"/>
  <c r="AB14" i="11"/>
  <c r="AV14" i="11"/>
  <c r="AA14" i="11"/>
  <c r="AT14" i="11"/>
  <c r="Z14" i="11"/>
  <c r="L14" i="11"/>
  <c r="AZ14" i="11"/>
  <c r="AI14" i="11"/>
  <c r="AK14" i="11"/>
  <c r="AH14" i="11"/>
  <c r="X14" i="11"/>
  <c r="BG14" i="11"/>
  <c r="AR14" i="11"/>
  <c r="AQ8" i="11"/>
  <c r="BD14" i="11"/>
  <c r="BG7" i="11"/>
  <c r="AV7" i="11"/>
  <c r="AK7" i="11"/>
  <c r="Z7" i="11"/>
  <c r="BF7" i="11"/>
  <c r="AU7" i="11"/>
  <c r="AJ7" i="11"/>
  <c r="Y7" i="11"/>
  <c r="BE7" i="11"/>
  <c r="AT7" i="11"/>
  <c r="AI7" i="11"/>
  <c r="X7" i="11"/>
  <c r="L7" i="11"/>
  <c r="AX7" i="11"/>
  <c r="AM7" i="11"/>
  <c r="AB7" i="11"/>
  <c r="BD7" i="11"/>
  <c r="AO7" i="11"/>
  <c r="BC7" i="11"/>
  <c r="AN7" i="11"/>
  <c r="BB7" i="11"/>
  <c r="AL7" i="11"/>
  <c r="BA7" i="11"/>
  <c r="AH7" i="11"/>
  <c r="AQ7" i="11"/>
  <c r="AA7" i="11"/>
  <c r="AE7" i="11"/>
  <c r="BQ16" i="11"/>
  <c r="M16" i="11"/>
  <c r="BO16" i="11"/>
  <c r="BR16" i="11"/>
  <c r="BP16" i="11"/>
  <c r="BN16" i="11"/>
  <c r="BL16" i="11"/>
  <c r="BK16" i="11"/>
  <c r="BJ16" i="11"/>
  <c r="BI16" i="11"/>
  <c r="BS16" i="11"/>
  <c r="CH25" i="11"/>
  <c r="CG25" i="11"/>
  <c r="CF25" i="11"/>
  <c r="BG6" i="11"/>
  <c r="AV6" i="11"/>
  <c r="AK6" i="11"/>
  <c r="Z6" i="11"/>
  <c r="BF6" i="11"/>
  <c r="AU6" i="11"/>
  <c r="AJ6" i="11"/>
  <c r="Y6" i="11"/>
  <c r="BE6" i="11"/>
  <c r="AT6" i="11"/>
  <c r="AI6" i="11"/>
  <c r="X6" i="11"/>
  <c r="L6" i="11"/>
  <c r="AX6" i="11"/>
  <c r="AM6" i="11"/>
  <c r="AB6" i="11"/>
  <c r="AD6" i="11"/>
  <c r="AS6" i="11"/>
  <c r="CA49" i="11"/>
  <c r="BZ49" i="11"/>
  <c r="CC49" i="11"/>
  <c r="N49" i="11"/>
  <c r="AN6" i="11"/>
  <c r="BC6" i="11"/>
  <c r="BG9" i="11"/>
  <c r="AV9" i="11"/>
  <c r="AK9" i="11"/>
  <c r="Z9" i="11"/>
  <c r="BF9" i="11"/>
  <c r="AU9" i="11"/>
  <c r="AJ9" i="11"/>
  <c r="Y9" i="11"/>
  <c r="BE9" i="11"/>
  <c r="AT9" i="11"/>
  <c r="AI9" i="11"/>
  <c r="X9" i="11"/>
  <c r="L9" i="11"/>
  <c r="AX9" i="11"/>
  <c r="AM9" i="11"/>
  <c r="AB9" i="11"/>
  <c r="AD9" i="11"/>
  <c r="AS9" i="11"/>
  <c r="AB10" i="11"/>
  <c r="BQ13" i="11"/>
  <c r="M13" i="11"/>
  <c r="BS13" i="11"/>
  <c r="BR13" i="11"/>
  <c r="BP13" i="11"/>
  <c r="BI13" i="11"/>
  <c r="BL13" i="11"/>
  <c r="BF15" i="11"/>
  <c r="AU15" i="11"/>
  <c r="AJ15" i="11"/>
  <c r="Y15" i="11"/>
  <c r="BD15" i="11"/>
  <c r="AZ15" i="11"/>
  <c r="AN15" i="11"/>
  <c r="AB15" i="11"/>
  <c r="AY15" i="11"/>
  <c r="AM15" i="11"/>
  <c r="AA15" i="11"/>
  <c r="AX15" i="11"/>
  <c r="AL15" i="11"/>
  <c r="Z15" i="11"/>
  <c r="L15" i="11"/>
  <c r="BB15" i="11"/>
  <c r="AP15" i="11"/>
  <c r="AD15" i="11"/>
  <c r="AF15" i="11"/>
  <c r="AW15" i="11"/>
  <c r="BG4" i="11"/>
  <c r="AV4" i="11"/>
  <c r="AK4" i="11"/>
  <c r="Z4" i="11"/>
  <c r="BF4" i="11"/>
  <c r="AU4" i="11"/>
  <c r="AJ4" i="11"/>
  <c r="Y4" i="11"/>
  <c r="BE4" i="11"/>
  <c r="AT4" i="11"/>
  <c r="AI4" i="11"/>
  <c r="X4" i="11"/>
  <c r="L4" i="11"/>
  <c r="AX4" i="11"/>
  <c r="AM4" i="11"/>
  <c r="AB4" i="11"/>
  <c r="AD4" i="11"/>
  <c r="AS4" i="11"/>
  <c r="AO6" i="11"/>
  <c r="BD6" i="11"/>
  <c r="AE9" i="11"/>
  <c r="AW9" i="11"/>
  <c r="AW10" i="11"/>
  <c r="AL10" i="11"/>
  <c r="AA10" i="11"/>
  <c r="BG10" i="11"/>
  <c r="AV10" i="11"/>
  <c r="AK10" i="11"/>
  <c r="Z10" i="11"/>
  <c r="BF10" i="11"/>
  <c r="AU10" i="11"/>
  <c r="AJ10" i="11"/>
  <c r="Y10" i="11"/>
  <c r="AY10" i="11"/>
  <c r="AN10" i="11"/>
  <c r="AC10" i="11"/>
  <c r="AD10" i="11"/>
  <c r="AS10" i="11"/>
  <c r="BM13" i="11"/>
  <c r="AG15" i="11"/>
  <c r="BA15" i="11"/>
  <c r="AP6" i="11"/>
  <c r="AF9" i="11"/>
  <c r="AY9" i="11"/>
  <c r="L10" i="11"/>
  <c r="AE10" i="11"/>
  <c r="AT10" i="11"/>
  <c r="BG11" i="11"/>
  <c r="AV11" i="11"/>
  <c r="AK11" i="11"/>
  <c r="Z11" i="11"/>
  <c r="BB11" i="11"/>
  <c r="AP11" i="11"/>
  <c r="AD11" i="11"/>
  <c r="BA11" i="11"/>
  <c r="AO11" i="11"/>
  <c r="AC11" i="11"/>
  <c r="AZ11" i="11"/>
  <c r="AN11" i="11"/>
  <c r="AB11" i="11"/>
  <c r="BD11" i="11"/>
  <c r="AR11" i="11"/>
  <c r="AF11" i="11"/>
  <c r="Y11" i="11"/>
  <c r="AT11" i="11"/>
  <c r="BN13" i="11"/>
  <c r="AH15" i="11"/>
  <c r="BC15" i="11"/>
  <c r="AF4" i="11"/>
  <c r="AY4" i="11"/>
  <c r="BG5" i="11"/>
  <c r="AV5" i="11"/>
  <c r="AK5" i="11"/>
  <c r="Z5" i="11"/>
  <c r="BF5" i="11"/>
  <c r="AU5" i="11"/>
  <c r="AJ5" i="11"/>
  <c r="Y5" i="11"/>
  <c r="BE5" i="11"/>
  <c r="AT5" i="11"/>
  <c r="AI5" i="11"/>
  <c r="X5" i="11"/>
  <c r="L5" i="11"/>
  <c r="AX5" i="11"/>
  <c r="AM5" i="11"/>
  <c r="AB5" i="11"/>
  <c r="AD5" i="11"/>
  <c r="AS5" i="11"/>
  <c r="AA6" i="11"/>
  <c r="AQ6" i="11"/>
  <c r="AG9" i="11"/>
  <c r="AZ9" i="11"/>
  <c r="AF10" i="11"/>
  <c r="AX10" i="11"/>
  <c r="L11" i="11"/>
  <c r="AA11" i="11"/>
  <c r="AU11" i="11"/>
  <c r="BO13" i="11"/>
  <c r="AI15" i="11"/>
  <c r="BE15" i="11"/>
  <c r="BU28" i="11"/>
  <c r="AS38" i="11"/>
  <c r="BZ38" i="11"/>
  <c r="B29" i="18"/>
  <c r="AC12" i="11"/>
  <c r="AO12" i="11"/>
  <c r="BF13" i="11"/>
  <c r="AU13" i="11"/>
  <c r="AJ13" i="11"/>
  <c r="Y13" i="11"/>
  <c r="X13" i="11"/>
  <c r="AK13" i="11"/>
  <c r="AW13" i="11"/>
  <c r="CK25" i="11"/>
  <c r="BZ25" i="11"/>
  <c r="BO25" i="11"/>
  <c r="BD25" i="11"/>
  <c r="AS25" i="11"/>
  <c r="AH25" i="11"/>
  <c r="W25" i="11"/>
  <c r="CO25" i="11"/>
  <c r="CC25" i="11"/>
  <c r="BQ25" i="11"/>
  <c r="BE25" i="11"/>
  <c r="AR25" i="11"/>
  <c r="AF25" i="11"/>
  <c r="T25" i="11"/>
  <c r="CN25" i="11"/>
  <c r="CB25" i="11"/>
  <c r="BP25" i="11"/>
  <c r="BC25" i="11"/>
  <c r="AQ25" i="11"/>
  <c r="AE25" i="11"/>
  <c r="S25" i="11"/>
  <c r="CM25" i="11"/>
  <c r="CA25" i="11"/>
  <c r="BN25" i="11"/>
  <c r="BB25" i="11"/>
  <c r="AP25" i="11"/>
  <c r="AD25" i="11"/>
  <c r="R25" i="11"/>
  <c r="CL25" i="11"/>
  <c r="BY25" i="11"/>
  <c r="BM25" i="11"/>
  <c r="BA25" i="11"/>
  <c r="AO25" i="11"/>
  <c r="AC25" i="11"/>
  <c r="Q25" i="11"/>
  <c r="CQ25" i="11"/>
  <c r="CE25" i="11"/>
  <c r="BS25" i="11"/>
  <c r="BG25" i="11"/>
  <c r="AU25" i="11"/>
  <c r="AI25" i="11"/>
  <c r="V25" i="11"/>
  <c r="AB25" i="11"/>
  <c r="AY25" i="11"/>
  <c r="BV25" i="11"/>
  <c r="AC26" i="11"/>
  <c r="AV26" i="11"/>
  <c r="BS26" i="11"/>
  <c r="CP26" i="11"/>
  <c r="AX27" i="11"/>
  <c r="Y28" i="11"/>
  <c r="AV28" i="11"/>
  <c r="BS28" i="11"/>
  <c r="CP28" i="11"/>
  <c r="W29" i="11"/>
  <c r="AT29" i="11"/>
  <c r="BQ29" i="11"/>
  <c r="CN29" i="11"/>
  <c r="BE30" i="11"/>
  <c r="CI32" i="11"/>
  <c r="BX32" i="11"/>
  <c r="BM32" i="11"/>
  <c r="BB32" i="11"/>
  <c r="AQ32" i="11"/>
  <c r="AF32" i="11"/>
  <c r="U32" i="11"/>
  <c r="CJ32" i="11"/>
  <c r="BW32" i="11"/>
  <c r="BK32" i="11"/>
  <c r="AY32" i="11"/>
  <c r="AM32" i="11"/>
  <c r="AA32" i="11"/>
  <c r="CH32" i="11"/>
  <c r="BV32" i="11"/>
  <c r="BJ32" i="11"/>
  <c r="AX32" i="11"/>
  <c r="AL32" i="11"/>
  <c r="Z32" i="11"/>
  <c r="CG32" i="11"/>
  <c r="BU32" i="11"/>
  <c r="BI32" i="11"/>
  <c r="AW32" i="11"/>
  <c r="AK32" i="11"/>
  <c r="Y32" i="11"/>
  <c r="CK32" i="11"/>
  <c r="BR32" i="11"/>
  <c r="BC32" i="11"/>
  <c r="AJ32" i="11"/>
  <c r="T32" i="11"/>
  <c r="CF32" i="11"/>
  <c r="BQ32" i="11"/>
  <c r="BA32" i="11"/>
  <c r="AI32" i="11"/>
  <c r="S32" i="11"/>
  <c r="CE32" i="11"/>
  <c r="BP32" i="11"/>
  <c r="AZ32" i="11"/>
  <c r="AH32" i="11"/>
  <c r="R32" i="11"/>
  <c r="CD32" i="11"/>
  <c r="BO32" i="11"/>
  <c r="AV32" i="11"/>
  <c r="AG32" i="11"/>
  <c r="Q32" i="11"/>
  <c r="CM32" i="11"/>
  <c r="BT32" i="11"/>
  <c r="BE32" i="11"/>
  <c r="AO32" i="11"/>
  <c r="W32" i="11"/>
  <c r="AR32" i="11"/>
  <c r="BY32" i="11"/>
  <c r="CQ35" i="11"/>
  <c r="CF35" i="11"/>
  <c r="BU35" i="11"/>
  <c r="BJ35" i="11"/>
  <c r="AY35" i="11"/>
  <c r="AN35" i="11"/>
  <c r="AC35" i="11"/>
  <c r="R35" i="11"/>
  <c r="CI35" i="11"/>
  <c r="BW35" i="11"/>
  <c r="BK35" i="11"/>
  <c r="AX35" i="11"/>
  <c r="AL35" i="11"/>
  <c r="Z35" i="11"/>
  <c r="CH35" i="11"/>
  <c r="BV35" i="11"/>
  <c r="BI35" i="11"/>
  <c r="AW35" i="11"/>
  <c r="AK35" i="11"/>
  <c r="Y35" i="11"/>
  <c r="CG35" i="11"/>
  <c r="BT35" i="11"/>
  <c r="BH35" i="11"/>
  <c r="AV35" i="11"/>
  <c r="AJ35" i="11"/>
  <c r="X35" i="11"/>
  <c r="CE35" i="11"/>
  <c r="BP35" i="11"/>
  <c r="BA35" i="11"/>
  <c r="AH35" i="11"/>
  <c r="S35" i="11"/>
  <c r="CD35" i="11"/>
  <c r="BO35" i="11"/>
  <c r="AZ35" i="11"/>
  <c r="AG35" i="11"/>
  <c r="Q35" i="11"/>
  <c r="CC35" i="11"/>
  <c r="BN35" i="11"/>
  <c r="AU35" i="11"/>
  <c r="AF35" i="11"/>
  <c r="CB35" i="11"/>
  <c r="BM35" i="11"/>
  <c r="AT35" i="11"/>
  <c r="AE35" i="11"/>
  <c r="CK35" i="11"/>
  <c r="BR35" i="11"/>
  <c r="BC35" i="11"/>
  <c r="AM35" i="11"/>
  <c r="U35" i="11"/>
  <c r="AQ35" i="11"/>
  <c r="BX35" i="11"/>
  <c r="AT38" i="11"/>
  <c r="CA38" i="11"/>
  <c r="BU43" i="11"/>
  <c r="M47" i="11"/>
  <c r="BX47" i="11" s="1"/>
  <c r="BW25" i="11"/>
  <c r="AE26" i="11"/>
  <c r="BA26" i="11"/>
  <c r="BT26" i="11"/>
  <c r="AY27" i="11"/>
  <c r="Z28" i="11"/>
  <c r="AW28" i="11"/>
  <c r="BT28" i="11"/>
  <c r="CQ28" i="11"/>
  <c r="AB29" i="11"/>
  <c r="AU29" i="11"/>
  <c r="BR29" i="11"/>
  <c r="CO29" i="11"/>
  <c r="BF30" i="11"/>
  <c r="AS32" i="11"/>
  <c r="BZ32" i="11"/>
  <c r="BX34" i="11"/>
  <c r="BY35" i="11"/>
  <c r="BC38" i="11"/>
  <c r="CB38" i="11"/>
  <c r="BW43" i="11"/>
  <c r="BX25" i="11"/>
  <c r="CK26" i="11"/>
  <c r="BZ26" i="11"/>
  <c r="BO26" i="11"/>
  <c r="BD26" i="11"/>
  <c r="AS26" i="11"/>
  <c r="AH26" i="11"/>
  <c r="W26" i="11"/>
  <c r="CJ26" i="11"/>
  <c r="BX26" i="11"/>
  <c r="BL26" i="11"/>
  <c r="AZ26" i="11"/>
  <c r="AN26" i="11"/>
  <c r="AB26" i="11"/>
  <c r="CI26" i="11"/>
  <c r="BW26" i="11"/>
  <c r="BK26" i="11"/>
  <c r="AY26" i="11"/>
  <c r="AM26" i="11"/>
  <c r="AA26" i="11"/>
  <c r="CH26" i="11"/>
  <c r="BV26" i="11"/>
  <c r="BJ26" i="11"/>
  <c r="AX26" i="11"/>
  <c r="AL26" i="11"/>
  <c r="Z26" i="11"/>
  <c r="CG26" i="11"/>
  <c r="BU26" i="11"/>
  <c r="BI26" i="11"/>
  <c r="AW26" i="11"/>
  <c r="AK26" i="11"/>
  <c r="Y26" i="11"/>
  <c r="CM26" i="11"/>
  <c r="CA26" i="11"/>
  <c r="BN26" i="11"/>
  <c r="BB26" i="11"/>
  <c r="AP26" i="11"/>
  <c r="AD26" i="11"/>
  <c r="R26" i="11"/>
  <c r="AF26" i="11"/>
  <c r="BC26" i="11"/>
  <c r="BY26" i="11"/>
  <c r="AE28" i="11"/>
  <c r="AX28" i="11"/>
  <c r="AD29" i="11"/>
  <c r="AZ29" i="11"/>
  <c r="BS29" i="11"/>
  <c r="CP29" i="11"/>
  <c r="BG30" i="11"/>
  <c r="O32" i="11"/>
  <c r="AT32" i="11"/>
  <c r="CA32" i="11"/>
  <c r="N34" i="11"/>
  <c r="CI34" i="11" s="1"/>
  <c r="CC34" i="11"/>
  <c r="BZ35" i="11"/>
  <c r="BE38" i="11"/>
  <c r="CK38" i="11"/>
  <c r="BX43" i="11"/>
  <c r="BN47" i="11"/>
  <c r="CD25" i="11"/>
  <c r="CI28" i="11"/>
  <c r="BX28" i="11"/>
  <c r="BM28" i="11"/>
  <c r="BB28" i="11"/>
  <c r="AQ28" i="11"/>
  <c r="AF28" i="11"/>
  <c r="U28" i="11"/>
  <c r="CM28" i="11"/>
  <c r="CA28" i="11"/>
  <c r="BO28" i="11"/>
  <c r="BC28" i="11"/>
  <c r="AP28" i="11"/>
  <c r="AD28" i="11"/>
  <c r="R28" i="11"/>
  <c r="CL28" i="11"/>
  <c r="BZ28" i="11"/>
  <c r="BN28" i="11"/>
  <c r="BA28" i="11"/>
  <c r="AO28" i="11"/>
  <c r="AC28" i="11"/>
  <c r="Q28" i="11"/>
  <c r="CK28" i="11"/>
  <c r="BY28" i="11"/>
  <c r="BL28" i="11"/>
  <c r="AZ28" i="11"/>
  <c r="AN28" i="11"/>
  <c r="AB28" i="11"/>
  <c r="CJ28" i="11"/>
  <c r="BW28" i="11"/>
  <c r="BK28" i="11"/>
  <c r="AY28" i="11"/>
  <c r="AM28" i="11"/>
  <c r="AA28" i="11"/>
  <c r="CO28" i="11"/>
  <c r="CC28" i="11"/>
  <c r="BQ28" i="11"/>
  <c r="BE28" i="11"/>
  <c r="AS28" i="11"/>
  <c r="AG28" i="11"/>
  <c r="T28" i="11"/>
  <c r="AH28" i="11"/>
  <c r="BD28" i="11"/>
  <c r="BV28" i="11"/>
  <c r="BC29" i="11"/>
  <c r="BY29" i="11"/>
  <c r="AN30" i="11"/>
  <c r="AU32" i="11"/>
  <c r="CB32" i="11"/>
  <c r="CD34" i="11"/>
  <c r="CA35" i="11"/>
  <c r="BF38" i="11"/>
  <c r="CM38" i="11"/>
  <c r="BY43" i="11"/>
  <c r="BP47" i="11"/>
  <c r="AI26" i="11"/>
  <c r="BF26" i="11"/>
  <c r="CC26" i="11"/>
  <c r="BG27" i="11"/>
  <c r="AU27" i="11"/>
  <c r="BF27" i="11"/>
  <c r="AT27" i="11"/>
  <c r="BE27" i="11"/>
  <c r="AS27" i="11"/>
  <c r="BD27" i="11"/>
  <c r="AQ27" i="11"/>
  <c r="AW27" i="11"/>
  <c r="L27" i="11"/>
  <c r="BB27" i="11"/>
  <c r="AI28" i="11"/>
  <c r="BF28" i="11"/>
  <c r="CB28" i="11"/>
  <c r="CI29" i="11"/>
  <c r="BX29" i="11"/>
  <c r="BM29" i="11"/>
  <c r="BB29" i="11"/>
  <c r="AQ29" i="11"/>
  <c r="AF29" i="11"/>
  <c r="U29" i="11"/>
  <c r="CJ29" i="11"/>
  <c r="BW29" i="11"/>
  <c r="BK29" i="11"/>
  <c r="AY29" i="11"/>
  <c r="AM29" i="11"/>
  <c r="AA29" i="11"/>
  <c r="CH29" i="11"/>
  <c r="BV29" i="11"/>
  <c r="BJ29" i="11"/>
  <c r="AX29" i="11"/>
  <c r="AL29" i="11"/>
  <c r="Z29" i="11"/>
  <c r="CG29" i="11"/>
  <c r="BU29" i="11"/>
  <c r="BI29" i="11"/>
  <c r="AW29" i="11"/>
  <c r="AK29" i="11"/>
  <c r="Y29" i="11"/>
  <c r="CF29" i="11"/>
  <c r="BT29" i="11"/>
  <c r="BH29" i="11"/>
  <c r="AV29" i="11"/>
  <c r="AJ29" i="11"/>
  <c r="X29" i="11"/>
  <c r="CL29" i="11"/>
  <c r="BZ29" i="11"/>
  <c r="BN29" i="11"/>
  <c r="BA29" i="11"/>
  <c r="AO29" i="11"/>
  <c r="AC29" i="11"/>
  <c r="Q29" i="11"/>
  <c r="AG29" i="11"/>
  <c r="BD29" i="11"/>
  <c r="CA29" i="11"/>
  <c r="BD32" i="11"/>
  <c r="CC32" i="11"/>
  <c r="CJ35" i="11"/>
  <c r="BG38" i="11"/>
  <c r="CN38" i="11"/>
  <c r="BQ47" i="11"/>
  <c r="AJ28" i="11"/>
  <c r="BG28" i="11"/>
  <c r="CD28" i="11"/>
  <c r="BE29" i="11"/>
  <c r="CB29" i="11"/>
  <c r="AW30" i="11"/>
  <c r="AV30" i="11"/>
  <c r="AU30" i="11"/>
  <c r="BB30" i="11"/>
  <c r="AM30" i="11"/>
  <c r="L30" i="11"/>
  <c r="AR30" i="11"/>
  <c r="BF32" i="11"/>
  <c r="CL32" i="11"/>
  <c r="CL35" i="11"/>
  <c r="BH38" i="11"/>
  <c r="CO38" i="11"/>
  <c r="AK28" i="11"/>
  <c r="BH28" i="11"/>
  <c r="CE28" i="11"/>
  <c r="BF29" i="11"/>
  <c r="CC29" i="11"/>
  <c r="AS30" i="11"/>
  <c r="BG32" i="11"/>
  <c r="CM35" i="11"/>
  <c r="BM38" i="11"/>
  <c r="CQ38" i="11"/>
  <c r="N43" i="11"/>
  <c r="CJ43" i="11" s="1"/>
  <c r="BV43" i="11"/>
  <c r="O62" i="11"/>
  <c r="CH62" i="11"/>
  <c r="CL62" i="11"/>
  <c r="CK62" i="11"/>
  <c r="CJ62" i="11"/>
  <c r="CI62" i="11"/>
  <c r="BG12" i="11"/>
  <c r="AV12" i="11"/>
  <c r="AK12" i="11"/>
  <c r="Z12" i="11"/>
  <c r="X12" i="11"/>
  <c r="AJ12" i="11"/>
  <c r="AW12" i="11"/>
  <c r="AF13" i="11"/>
  <c r="AR13" i="11"/>
  <c r="BD13" i="11"/>
  <c r="CD19" i="11"/>
  <c r="X25" i="11"/>
  <c r="AT25" i="11"/>
  <c r="BL25" i="11"/>
  <c r="CI25" i="11"/>
  <c r="T26" i="11"/>
  <c r="AQ26" i="11"/>
  <c r="BM26" i="11"/>
  <c r="CF26" i="11"/>
  <c r="AN27" i="11"/>
  <c r="S28" i="11"/>
  <c r="AL28" i="11"/>
  <c r="BI28" i="11"/>
  <c r="CF28" i="11"/>
  <c r="R29" i="11"/>
  <c r="AN29" i="11"/>
  <c r="BG29" i="11"/>
  <c r="CD29" i="11"/>
  <c r="AT30" i="11"/>
  <c r="AD32" i="11"/>
  <c r="BH32" i="11"/>
  <c r="CO32" i="11"/>
  <c r="AG34" i="11"/>
  <c r="BJ34" i="11"/>
  <c r="AD35" i="11"/>
  <c r="BG35" i="11"/>
  <c r="CN35" i="11"/>
  <c r="AP38" i="11"/>
  <c r="BR38" i="11"/>
  <c r="O60" i="11"/>
  <c r="CN60" i="11"/>
  <c r="BR68" i="11"/>
  <c r="BQ68" i="11"/>
  <c r="BP68" i="11"/>
  <c r="BS68" i="11"/>
  <c r="BO68" i="11"/>
  <c r="BN68" i="11"/>
  <c r="M68" i="11"/>
  <c r="BU68" i="11" s="1"/>
  <c r="L12" i="11"/>
  <c r="Y12" i="11"/>
  <c r="AL12" i="11"/>
  <c r="AX12" i="11"/>
  <c r="AG13" i="11"/>
  <c r="AS13" i="11"/>
  <c r="BE13" i="11"/>
  <c r="N19" i="11"/>
  <c r="Y25" i="11"/>
  <c r="AV25" i="11"/>
  <c r="BR25" i="11"/>
  <c r="CJ25" i="11"/>
  <c r="U26" i="11"/>
  <c r="AR26" i="11"/>
  <c r="BP26" i="11"/>
  <c r="CL26" i="11"/>
  <c r="AO27" i="11"/>
  <c r="V28" i="11"/>
  <c r="AR28" i="11"/>
  <c r="BJ28" i="11"/>
  <c r="CG28" i="11"/>
  <c r="S29" i="11"/>
  <c r="AP29" i="11"/>
  <c r="BL29" i="11"/>
  <c r="CE29" i="11"/>
  <c r="AY30" i="11"/>
  <c r="AE32" i="11"/>
  <c r="BL32" i="11"/>
  <c r="CP32" i="11"/>
  <c r="AH34" i="11"/>
  <c r="AI35" i="11"/>
  <c r="BL35" i="11"/>
  <c r="CO35" i="11"/>
  <c r="AQ38" i="11"/>
  <c r="BM47" i="11"/>
  <c r="BB47" i="11"/>
  <c r="AQ47" i="11"/>
  <c r="AF47" i="11"/>
  <c r="U47" i="11"/>
  <c r="BL47" i="11"/>
  <c r="BA47" i="11"/>
  <c r="AP47" i="11"/>
  <c r="AE47" i="11"/>
  <c r="T47" i="11"/>
  <c r="BJ47" i="11"/>
  <c r="AW47" i="11"/>
  <c r="AJ47" i="11"/>
  <c r="W47" i="11"/>
  <c r="BV47" i="11"/>
  <c r="BI47" i="11"/>
  <c r="AV47" i="11"/>
  <c r="AI47" i="11"/>
  <c r="V47" i="11"/>
  <c r="BH47" i="11"/>
  <c r="AU47" i="11"/>
  <c r="AH47" i="11"/>
  <c r="S47" i="11"/>
  <c r="CC47" i="11"/>
  <c r="BK47" i="11"/>
  <c r="AR47" i="11"/>
  <c r="Z47" i="11"/>
  <c r="BG47" i="11"/>
  <c r="AO47" i="11"/>
  <c r="Y47" i="11"/>
  <c r="BF47" i="11"/>
  <c r="AN47" i="11"/>
  <c r="X47" i="11"/>
  <c r="BE47" i="11"/>
  <c r="AM47" i="11"/>
  <c r="R47" i="11"/>
  <c r="BS47" i="11"/>
  <c r="BC47" i="11"/>
  <c r="AK47" i="11"/>
  <c r="CE47" i="11"/>
  <c r="BO47" i="11"/>
  <c r="AT47" i="11"/>
  <c r="AB47" i="11"/>
  <c r="AS47" i="11"/>
  <c r="N63" i="11"/>
  <c r="CC63" i="11"/>
  <c r="CE63" i="11"/>
  <c r="AA12" i="11"/>
  <c r="AM12" i="11"/>
  <c r="AY12" i="11"/>
  <c r="AH13" i="11"/>
  <c r="AT13" i="11"/>
  <c r="BG13" i="11"/>
  <c r="Z25" i="11"/>
  <c r="AW25" i="11"/>
  <c r="BT25" i="11"/>
  <c r="CP25" i="11"/>
  <c r="V26" i="11"/>
  <c r="AT26" i="11"/>
  <c r="BQ26" i="11"/>
  <c r="CN26" i="11"/>
  <c r="AP27" i="11"/>
  <c r="W28" i="11"/>
  <c r="AT28" i="11"/>
  <c r="BP28" i="11"/>
  <c r="CH28" i="11"/>
  <c r="T29" i="11"/>
  <c r="AR29" i="11"/>
  <c r="BO29" i="11"/>
  <c r="CK29" i="11"/>
  <c r="BC30" i="11"/>
  <c r="AN32" i="11"/>
  <c r="BN32" i="11"/>
  <c r="CQ32" i="11"/>
  <c r="BV34" i="11"/>
  <c r="BK34" i="11"/>
  <c r="AZ34" i="11"/>
  <c r="AO34" i="11"/>
  <c r="AD34" i="11"/>
  <c r="S34" i="11"/>
  <c r="CM34" i="11"/>
  <c r="CA34" i="11"/>
  <c r="BO34" i="11"/>
  <c r="BC34" i="11"/>
  <c r="AQ34" i="11"/>
  <c r="AE34" i="11"/>
  <c r="R34" i="11"/>
  <c r="BZ34" i="11"/>
  <c r="BN34" i="11"/>
  <c r="BB34" i="11"/>
  <c r="AP34" i="11"/>
  <c r="AC34" i="11"/>
  <c r="Q34" i="11"/>
  <c r="BY34" i="11"/>
  <c r="BM34" i="11"/>
  <c r="BA34" i="11"/>
  <c r="AN34" i="11"/>
  <c r="AB34" i="11"/>
  <c r="CO34" i="11"/>
  <c r="BW34" i="11"/>
  <c r="BG34" i="11"/>
  <c r="AR34" i="11"/>
  <c r="Y34" i="11"/>
  <c r="BU34" i="11"/>
  <c r="BF34" i="11"/>
  <c r="AM34" i="11"/>
  <c r="X34" i="11"/>
  <c r="CJ34" i="11"/>
  <c r="BT34" i="11"/>
  <c r="BE34" i="11"/>
  <c r="AL34" i="11"/>
  <c r="W34" i="11"/>
  <c r="BS34" i="11"/>
  <c r="BD34" i="11"/>
  <c r="AK34" i="11"/>
  <c r="V34" i="11"/>
  <c r="CB34" i="11"/>
  <c r="BI34" i="11"/>
  <c r="AT34" i="11"/>
  <c r="AA34" i="11"/>
  <c r="AI34" i="11"/>
  <c r="BP34" i="11"/>
  <c r="AO35" i="11"/>
  <c r="BQ35" i="11"/>
  <c r="CP35" i="11"/>
  <c r="CP38" i="11"/>
  <c r="CE38" i="11"/>
  <c r="BT38" i="11"/>
  <c r="BI38" i="11"/>
  <c r="AX38" i="11"/>
  <c r="AM38" i="11"/>
  <c r="AB38" i="11"/>
  <c r="Q38" i="11"/>
  <c r="CJ38" i="11"/>
  <c r="BX38" i="11"/>
  <c r="BL38" i="11"/>
  <c r="AZ38" i="11"/>
  <c r="AN38" i="11"/>
  <c r="AA38" i="11"/>
  <c r="CI38" i="11"/>
  <c r="BW38" i="11"/>
  <c r="BK38" i="11"/>
  <c r="AY38" i="11"/>
  <c r="AL38" i="11"/>
  <c r="Z38" i="11"/>
  <c r="CH38" i="11"/>
  <c r="BV38" i="11"/>
  <c r="BJ38" i="11"/>
  <c r="AW38" i="11"/>
  <c r="AK38" i="11"/>
  <c r="Y38" i="11"/>
  <c r="CG38" i="11"/>
  <c r="BQ38" i="11"/>
  <c r="BB38" i="11"/>
  <c r="AI38" i="11"/>
  <c r="T38" i="11"/>
  <c r="CF38" i="11"/>
  <c r="BP38" i="11"/>
  <c r="BA38" i="11"/>
  <c r="AH38" i="11"/>
  <c r="S38" i="11"/>
  <c r="CD38" i="11"/>
  <c r="BO38" i="11"/>
  <c r="AV38" i="11"/>
  <c r="AG38" i="11"/>
  <c r="R38" i="11"/>
  <c r="CC38" i="11"/>
  <c r="BN38" i="11"/>
  <c r="AU38" i="11"/>
  <c r="AF38" i="11"/>
  <c r="CL38" i="11"/>
  <c r="BS38" i="11"/>
  <c r="BD38" i="11"/>
  <c r="AO38" i="11"/>
  <c r="V38" i="11"/>
  <c r="AR38" i="11"/>
  <c r="BY38" i="11"/>
  <c r="AI60" i="11"/>
  <c r="BQ57" i="11"/>
  <c r="M57" i="11"/>
  <c r="BS57" i="11"/>
  <c r="BR57" i="11"/>
  <c r="BL57" i="11"/>
  <c r="CP60" i="11"/>
  <c r="CE60" i="11"/>
  <c r="BT60" i="11"/>
  <c r="BI60" i="11"/>
  <c r="AX60" i="11"/>
  <c r="AM60" i="11"/>
  <c r="AB60" i="11"/>
  <c r="Q60" i="11"/>
  <c r="CL60" i="11"/>
  <c r="BZ60" i="11"/>
  <c r="BN60" i="11"/>
  <c r="BB60" i="11"/>
  <c r="AP60" i="11"/>
  <c r="AD60" i="11"/>
  <c r="R60" i="11"/>
  <c r="CK60" i="11"/>
  <c r="BY60" i="11"/>
  <c r="BM60" i="11"/>
  <c r="BA60" i="11"/>
  <c r="AO60" i="11"/>
  <c r="AC60" i="11"/>
  <c r="CJ60" i="11"/>
  <c r="BX60" i="11"/>
  <c r="BL60" i="11"/>
  <c r="AZ60" i="11"/>
  <c r="AN60" i="11"/>
  <c r="AA60" i="11"/>
  <c r="CI60" i="11"/>
  <c r="BW60" i="11"/>
  <c r="BK60" i="11"/>
  <c r="AY60" i="11"/>
  <c r="AL60" i="11"/>
  <c r="Z60" i="11"/>
  <c r="CM60" i="11"/>
  <c r="CA60" i="11"/>
  <c r="BO60" i="11"/>
  <c r="BC60" i="11"/>
  <c r="AQ60" i="11"/>
  <c r="AE60" i="11"/>
  <c r="S60" i="11"/>
  <c r="CH60" i="11"/>
  <c r="BP60" i="11"/>
  <c r="AS60" i="11"/>
  <c r="V60" i="11"/>
  <c r="CG60" i="11"/>
  <c r="BJ60" i="11"/>
  <c r="AR60" i="11"/>
  <c r="U60" i="11"/>
  <c r="CF60" i="11"/>
  <c r="BH60" i="11"/>
  <c r="AK60" i="11"/>
  <c r="T60" i="11"/>
  <c r="BU60" i="11"/>
  <c r="AW60" i="11"/>
  <c r="AF60" i="11"/>
  <c r="CQ60" i="11"/>
  <c r="BS60" i="11"/>
  <c r="AV60" i="11"/>
  <c r="Y60" i="11"/>
  <c r="BD60" i="11"/>
  <c r="CO60" i="11"/>
  <c r="BE60" i="11"/>
  <c r="V19" i="11"/>
  <c r="AG19" i="11"/>
  <c r="AR19" i="11"/>
  <c r="BC19" i="11"/>
  <c r="BN19" i="11"/>
  <c r="BY19" i="11"/>
  <c r="CJ19" i="11"/>
  <c r="BF60" i="11"/>
  <c r="AH16" i="11"/>
  <c r="AS16" i="11"/>
  <c r="BD16" i="11"/>
  <c r="AH17" i="11"/>
  <c r="AS17" i="11"/>
  <c r="BD17" i="11"/>
  <c r="BO17" i="11"/>
  <c r="AH18" i="11"/>
  <c r="AS18" i="11"/>
  <c r="BD18" i="11"/>
  <c r="BO18" i="11"/>
  <c r="W19" i="11"/>
  <c r="AH19" i="11"/>
  <c r="AS19" i="11"/>
  <c r="BD19" i="11"/>
  <c r="BO19" i="11"/>
  <c r="BZ19" i="11"/>
  <c r="CK19" i="11"/>
  <c r="CL43" i="11"/>
  <c r="CA43" i="11"/>
  <c r="BP43" i="11"/>
  <c r="BE43" i="11"/>
  <c r="AT43" i="11"/>
  <c r="AI43" i="11"/>
  <c r="X43" i="11"/>
  <c r="BZ43" i="11"/>
  <c r="BO43" i="11"/>
  <c r="BD43" i="11"/>
  <c r="AS43" i="11"/>
  <c r="AH43" i="11"/>
  <c r="W43" i="11"/>
  <c r="BS43" i="11"/>
  <c r="BF43" i="11"/>
  <c r="AQ43" i="11"/>
  <c r="AD43" i="11"/>
  <c r="Q43" i="11"/>
  <c r="CE43" i="11"/>
  <c r="BR43" i="11"/>
  <c r="BC43" i="11"/>
  <c r="AP43" i="11"/>
  <c r="AC43" i="11"/>
  <c r="CD43" i="11"/>
  <c r="BQ43" i="11"/>
  <c r="BB43" i="11"/>
  <c r="AO43" i="11"/>
  <c r="AB43" i="11"/>
  <c r="AE43" i="11"/>
  <c r="AW43" i="11"/>
  <c r="BM43" i="11"/>
  <c r="BH44" i="11"/>
  <c r="BS44" i="11"/>
  <c r="BP44" i="11"/>
  <c r="W60" i="11"/>
  <c r="BG60" i="11"/>
  <c r="BP17" i="11"/>
  <c r="BP18" i="11"/>
  <c r="X19" i="11"/>
  <c r="AI19" i="11"/>
  <c r="AT19" i="11"/>
  <c r="BE19" i="11"/>
  <c r="BP19" i="11"/>
  <c r="CA19" i="11"/>
  <c r="AQ39" i="11"/>
  <c r="BN43" i="11"/>
  <c r="BU44" i="11"/>
  <c r="BT44" i="11"/>
  <c r="X60" i="11"/>
  <c r="BQ60" i="11"/>
  <c r="BK61" i="11"/>
  <c r="M61" i="11"/>
  <c r="BM61" i="11"/>
  <c r="BL61" i="11"/>
  <c r="CP77" i="11"/>
  <c r="CM77" i="11"/>
  <c r="O77" i="11"/>
  <c r="CK77" i="11"/>
  <c r="CJ77" i="11"/>
  <c r="CI77" i="11"/>
  <c r="Y16" i="11"/>
  <c r="AJ16" i="11"/>
  <c r="AU16" i="11"/>
  <c r="M17" i="11"/>
  <c r="Y17" i="11"/>
  <c r="AJ17" i="11"/>
  <c r="AU17" i="11"/>
  <c r="M18" i="11"/>
  <c r="Y18" i="11"/>
  <c r="AJ18" i="11"/>
  <c r="AU18" i="11"/>
  <c r="Y19" i="11"/>
  <c r="AJ19" i="11"/>
  <c r="AU19" i="11"/>
  <c r="BF19" i="11"/>
  <c r="BQ19" i="11"/>
  <c r="CB19" i="11"/>
  <c r="BL30" i="11"/>
  <c r="BA30" i="11"/>
  <c r="AP30" i="11"/>
  <c r="AE30" i="11"/>
  <c r="T30" i="11"/>
  <c r="BK30" i="11"/>
  <c r="AZ30" i="11"/>
  <c r="AO30" i="11"/>
  <c r="AD30" i="11"/>
  <c r="S30" i="11"/>
  <c r="X30" i="11"/>
  <c r="AK30" i="11"/>
  <c r="AX30" i="11"/>
  <c r="BM30" i="11"/>
  <c r="L39" i="11"/>
  <c r="AG43" i="11"/>
  <c r="AY43" i="11"/>
  <c r="BT43" i="11"/>
  <c r="N44" i="11"/>
  <c r="CK44" i="11" s="1"/>
  <c r="BR44" i="11"/>
  <c r="BV49" i="11"/>
  <c r="BK49" i="11"/>
  <c r="AZ49" i="11"/>
  <c r="AO49" i="11"/>
  <c r="AD49" i="11"/>
  <c r="S49" i="11"/>
  <c r="CQ49" i="11"/>
  <c r="CF49" i="11"/>
  <c r="BU49" i="11"/>
  <c r="BJ49" i="11"/>
  <c r="AY49" i="11"/>
  <c r="AN49" i="11"/>
  <c r="AC49" i="11"/>
  <c r="R49" i="11"/>
  <c r="CE49" i="11"/>
  <c r="BT49" i="11"/>
  <c r="BI49" i="11"/>
  <c r="AX49" i="11"/>
  <c r="AM49" i="11"/>
  <c r="AB49" i="11"/>
  <c r="Q49" i="11"/>
  <c r="CO49" i="11"/>
  <c r="CD49" i="11"/>
  <c r="BS49" i="11"/>
  <c r="BH49" i="11"/>
  <c r="AW49" i="11"/>
  <c r="AL49" i="11"/>
  <c r="AA49" i="11"/>
  <c r="CN49" i="11"/>
  <c r="BY49" i="11"/>
  <c r="BF49" i="11"/>
  <c r="AQ49" i="11"/>
  <c r="X49" i="11"/>
  <c r="CM49" i="11"/>
  <c r="BX49" i="11"/>
  <c r="BE49" i="11"/>
  <c r="AP49" i="11"/>
  <c r="W49" i="11"/>
  <c r="CL49" i="11"/>
  <c r="BW49" i="11"/>
  <c r="BD49" i="11"/>
  <c r="AK49" i="11"/>
  <c r="V49" i="11"/>
  <c r="AG49" i="11"/>
  <c r="BC49" i="11"/>
  <c r="CB49" i="11"/>
  <c r="BH57" i="11"/>
  <c r="AG60" i="11"/>
  <c r="BR60" i="11"/>
  <c r="BV63" i="11"/>
  <c r="CE78" i="11"/>
  <c r="N78" i="11"/>
  <c r="CK78" i="11" s="1"/>
  <c r="CC78" i="11"/>
  <c r="BV78" i="11"/>
  <c r="U39" i="11"/>
  <c r="AG39" i="11"/>
  <c r="AS39" i="11"/>
  <c r="BE39" i="11"/>
  <c r="BQ39" i="11"/>
  <c r="Z63" i="11"/>
  <c r="AX63" i="11"/>
  <c r="BU63" i="11"/>
  <c r="CH73" i="11"/>
  <c r="CQ73" i="11"/>
  <c r="CI73" i="11"/>
  <c r="CP73" i="11"/>
  <c r="CL73" i="11"/>
  <c r="CD80" i="11"/>
  <c r="N80" i="11"/>
  <c r="CA80" i="11"/>
  <c r="BV80" i="11"/>
  <c r="BW80" i="11"/>
  <c r="V27" i="11"/>
  <c r="AG27" i="11"/>
  <c r="AR27" i="11"/>
  <c r="BC27" i="11"/>
  <c r="BN27" i="11"/>
  <c r="V39" i="11"/>
  <c r="AH39" i="11"/>
  <c r="AT39" i="11"/>
  <c r="BF39" i="11"/>
  <c r="BR39" i="11"/>
  <c r="AG63" i="11"/>
  <c r="AY63" i="11"/>
  <c r="O73" i="11"/>
  <c r="CM73" i="11"/>
  <c r="BX78" i="11"/>
  <c r="BS39" i="11"/>
  <c r="BH39" i="11"/>
  <c r="AW39" i="11"/>
  <c r="AL39" i="11"/>
  <c r="AA39" i="11"/>
  <c r="W39" i="11"/>
  <c r="AI39" i="11"/>
  <c r="AU39" i="11"/>
  <c r="BG39" i="11"/>
  <c r="CO63" i="11"/>
  <c r="CD63" i="11"/>
  <c r="BS63" i="11"/>
  <c r="BH63" i="11"/>
  <c r="AW63" i="11"/>
  <c r="AL63" i="11"/>
  <c r="AA63" i="11"/>
  <c r="CM63" i="11"/>
  <c r="CA63" i="11"/>
  <c r="BO63" i="11"/>
  <c r="BC63" i="11"/>
  <c r="AQ63" i="11"/>
  <c r="AE63" i="11"/>
  <c r="S63" i="11"/>
  <c r="CL63" i="11"/>
  <c r="BZ63" i="11"/>
  <c r="BN63" i="11"/>
  <c r="BB63" i="11"/>
  <c r="AP63" i="11"/>
  <c r="AD63" i="11"/>
  <c r="R63" i="11"/>
  <c r="CK63" i="11"/>
  <c r="BY63" i="11"/>
  <c r="BM63" i="11"/>
  <c r="BA63" i="11"/>
  <c r="AO63" i="11"/>
  <c r="AC63" i="11"/>
  <c r="Q63" i="11"/>
  <c r="BX63" i="11"/>
  <c r="BL63" i="11"/>
  <c r="AZ63" i="11"/>
  <c r="AN63" i="11"/>
  <c r="AB63" i="11"/>
  <c r="CN63" i="11"/>
  <c r="CB63" i="11"/>
  <c r="BP63" i="11"/>
  <c r="BD63" i="11"/>
  <c r="AR63" i="11"/>
  <c r="AF63" i="11"/>
  <c r="T63" i="11"/>
  <c r="AH63" i="11"/>
  <c r="BE63" i="11"/>
  <c r="BW63" i="11"/>
  <c r="CN73" i="11"/>
  <c r="CO62" i="11"/>
  <c r="CD62" i="11"/>
  <c r="BS62" i="11"/>
  <c r="BH62" i="11"/>
  <c r="AW62" i="11"/>
  <c r="AL62" i="11"/>
  <c r="AA62" i="11"/>
  <c r="W62" i="11"/>
  <c r="AI62" i="11"/>
  <c r="AU62" i="11"/>
  <c r="BG62" i="11"/>
  <c r="BT62" i="11"/>
  <c r="CF62" i="11"/>
  <c r="BL68" i="11"/>
  <c r="BA68" i="11"/>
  <c r="AP68" i="11"/>
  <c r="AE68" i="11"/>
  <c r="T68" i="11"/>
  <c r="BX68" i="11"/>
  <c r="BK68" i="11"/>
  <c r="AY68" i="11"/>
  <c r="AM68" i="11"/>
  <c r="AA68" i="11"/>
  <c r="X68" i="11"/>
  <c r="AK68" i="11"/>
  <c r="AX68" i="11"/>
  <c r="BM68" i="11"/>
  <c r="BZ68" i="11"/>
  <c r="U57" i="11"/>
  <c r="AF57" i="11"/>
  <c r="AQ57" i="11"/>
  <c r="BB57" i="11"/>
  <c r="BM57" i="11"/>
  <c r="BX57" i="11"/>
  <c r="V61" i="11"/>
  <c r="AH61" i="11"/>
  <c r="AT61" i="11"/>
  <c r="BF61" i="11"/>
  <c r="BR61" i="11"/>
  <c r="CE61" i="11"/>
  <c r="S62" i="11"/>
  <c r="AE62" i="11"/>
  <c r="AQ62" i="11"/>
  <c r="BC62" i="11"/>
  <c r="BO62" i="11"/>
  <c r="CA62" i="11"/>
  <c r="CM62" i="11"/>
  <c r="S68" i="11"/>
  <c r="AG68" i="11"/>
  <c r="AT68" i="11"/>
  <c r="BG68" i="11"/>
  <c r="BT68" i="11"/>
  <c r="V57" i="11"/>
  <c r="AG57" i="11"/>
  <c r="AR57" i="11"/>
  <c r="BC57" i="11"/>
  <c r="BN57" i="11"/>
  <c r="BY57" i="11"/>
  <c r="CD61" i="11"/>
  <c r="BS61" i="11"/>
  <c r="BH61" i="11"/>
  <c r="AW61" i="11"/>
  <c r="AL61" i="11"/>
  <c r="AA61" i="11"/>
  <c r="W61" i="11"/>
  <c r="AI61" i="11"/>
  <c r="AU61" i="11"/>
  <c r="BG61" i="11"/>
  <c r="BT61" i="11"/>
  <c r="T62" i="11"/>
  <c r="AF62" i="11"/>
  <c r="AR62" i="11"/>
  <c r="BD62" i="11"/>
  <c r="BP62" i="11"/>
  <c r="CB62" i="11"/>
  <c r="CN62" i="11"/>
  <c r="U68" i="11"/>
  <c r="AH68" i="11"/>
  <c r="AU68" i="11"/>
  <c r="BH68" i="11"/>
  <c r="V44" i="11"/>
  <c r="AG44" i="11"/>
  <c r="AR44" i="11"/>
  <c r="BC44" i="11"/>
  <c r="BN44" i="11"/>
  <c r="BY44" i="11"/>
  <c r="W57" i="11"/>
  <c r="AH57" i="11"/>
  <c r="AS57" i="11"/>
  <c r="BD57" i="11"/>
  <c r="BO57" i="11"/>
  <c r="BZ57" i="11"/>
  <c r="X61" i="11"/>
  <c r="AJ61" i="11"/>
  <c r="AV61" i="11"/>
  <c r="BI61" i="11"/>
  <c r="BU61" i="11"/>
  <c r="U62" i="11"/>
  <c r="AG62" i="11"/>
  <c r="AS62" i="11"/>
  <c r="BE62" i="11"/>
  <c r="BQ62" i="11"/>
  <c r="CC62" i="11"/>
  <c r="CP62" i="11"/>
  <c r="V68" i="11"/>
  <c r="AI68" i="11"/>
  <c r="AV68" i="11"/>
  <c r="BI68" i="11"/>
  <c r="BB69" i="11"/>
  <c r="W44" i="11"/>
  <c r="AH44" i="11"/>
  <c r="AS44" i="11"/>
  <c r="BD44" i="11"/>
  <c r="BO44" i="11"/>
  <c r="BZ44" i="11"/>
  <c r="X57" i="11"/>
  <c r="AI57" i="11"/>
  <c r="AT57" i="11"/>
  <c r="BE57" i="11"/>
  <c r="BP57" i="11"/>
  <c r="CA57" i="11"/>
  <c r="Y61" i="11"/>
  <c r="AK61" i="11"/>
  <c r="AX61" i="11"/>
  <c r="BJ61" i="11"/>
  <c r="BV61" i="11"/>
  <c r="V62" i="11"/>
  <c r="AH62" i="11"/>
  <c r="AT62" i="11"/>
  <c r="BF62" i="11"/>
  <c r="BR62" i="11"/>
  <c r="CE62" i="11"/>
  <c r="CQ62" i="11"/>
  <c r="W68" i="11"/>
  <c r="AJ68" i="11"/>
  <c r="AW68" i="11"/>
  <c r="BJ68" i="11"/>
  <c r="L69" i="11"/>
  <c r="BC69" i="11"/>
  <c r="BK69" i="11"/>
  <c r="AZ69" i="11"/>
  <c r="AO69" i="11"/>
  <c r="AD69" i="11"/>
  <c r="S69" i="11"/>
  <c r="W69" i="11"/>
  <c r="AI69" i="11"/>
  <c r="AU69" i="11"/>
  <c r="BG69" i="11"/>
  <c r="CO77" i="11"/>
  <c r="X78" i="11"/>
  <c r="AS78" i="11"/>
  <c r="BI78" i="11"/>
  <c r="CP81" i="11"/>
  <c r="CE81" i="11"/>
  <c r="BT81" i="11"/>
  <c r="BI81" i="11"/>
  <c r="AX81" i="11"/>
  <c r="AM81" i="11"/>
  <c r="AB81" i="11"/>
  <c r="Q81" i="11"/>
  <c r="CM81" i="11"/>
  <c r="CB81" i="11"/>
  <c r="BQ81" i="11"/>
  <c r="BF81" i="11"/>
  <c r="AU81" i="11"/>
  <c r="AJ81" i="11"/>
  <c r="CG81" i="11"/>
  <c r="BS81" i="11"/>
  <c r="BE81" i="11"/>
  <c r="AR81" i="11"/>
  <c r="AE81" i="11"/>
  <c r="S81" i="11"/>
  <c r="CF81" i="11"/>
  <c r="BR81" i="11"/>
  <c r="BD81" i="11"/>
  <c r="AQ81" i="11"/>
  <c r="AD81" i="11"/>
  <c r="R81" i="11"/>
  <c r="CD81" i="11"/>
  <c r="BP81" i="11"/>
  <c r="BC81" i="11"/>
  <c r="AP81" i="11"/>
  <c r="AC81" i="11"/>
  <c r="CQ81" i="11"/>
  <c r="CC81" i="11"/>
  <c r="BO81" i="11"/>
  <c r="BB81" i="11"/>
  <c r="AO81" i="11"/>
  <c r="AA81" i="11"/>
  <c r="AF81" i="11"/>
  <c r="AY81" i="11"/>
  <c r="BV81" i="11"/>
  <c r="CN81" i="11"/>
  <c r="BW78" i="11"/>
  <c r="BL78" i="11"/>
  <c r="BA78" i="11"/>
  <c r="AP78" i="11"/>
  <c r="AE78" i="11"/>
  <c r="T78" i="11"/>
  <c r="CB78" i="11"/>
  <c r="BP78" i="11"/>
  <c r="BD78" i="11"/>
  <c r="AR78" i="11"/>
  <c r="AF78" i="11"/>
  <c r="S78" i="11"/>
  <c r="CA78" i="11"/>
  <c r="BO78" i="11"/>
  <c r="BC78" i="11"/>
  <c r="AQ78" i="11"/>
  <c r="AD78" i="11"/>
  <c r="R78" i="11"/>
  <c r="BZ78" i="11"/>
  <c r="BN78" i="11"/>
  <c r="BB78" i="11"/>
  <c r="AO78" i="11"/>
  <c r="AC78" i="11"/>
  <c r="Q78" i="11"/>
  <c r="BY78" i="11"/>
  <c r="BM78" i="11"/>
  <c r="AZ78" i="11"/>
  <c r="AN78" i="11"/>
  <c r="AB78" i="11"/>
  <c r="AA78" i="11"/>
  <c r="AV78" i="11"/>
  <c r="BQ78" i="11"/>
  <c r="CJ73" i="11"/>
  <c r="S77" i="11"/>
  <c r="AF77" i="11"/>
  <c r="AR77" i="11"/>
  <c r="BD77" i="11"/>
  <c r="BP77" i="11"/>
  <c r="CB77" i="11"/>
  <c r="CN77" i="11"/>
  <c r="T80" i="11"/>
  <c r="AF80" i="11"/>
  <c r="AR80" i="11"/>
  <c r="BD80" i="11"/>
  <c r="BP80" i="11"/>
  <c r="CB80" i="11"/>
  <c r="U77" i="11"/>
  <c r="AG77" i="11"/>
  <c r="AS77" i="11"/>
  <c r="BE77" i="11"/>
  <c r="BQ77" i="11"/>
  <c r="CC77" i="11"/>
  <c r="U80" i="11"/>
  <c r="AG80" i="11"/>
  <c r="AS80" i="11"/>
  <c r="BE80" i="11"/>
  <c r="BQ80" i="11"/>
  <c r="CC80" i="11"/>
  <c r="CH77" i="11"/>
  <c r="BW77" i="11"/>
  <c r="BL77" i="11"/>
  <c r="BA77" i="11"/>
  <c r="AP77" i="11"/>
  <c r="AE77" i="11"/>
  <c r="T77" i="11"/>
  <c r="W77" i="11"/>
  <c r="AI77" i="11"/>
  <c r="AU77" i="11"/>
  <c r="BG77" i="11"/>
  <c r="BS77" i="11"/>
  <c r="CE77" i="11"/>
  <c r="CQ77" i="11"/>
  <c r="CQ80" i="11"/>
  <c r="BU80" i="11"/>
  <c r="BJ80" i="11"/>
  <c r="AY80" i="11"/>
  <c r="AN80" i="11"/>
  <c r="AC80" i="11"/>
  <c r="R80" i="11"/>
  <c r="W80" i="11"/>
  <c r="AI80" i="11"/>
  <c r="AU80" i="11"/>
  <c r="BG80" i="11"/>
  <c r="BS80" i="11"/>
  <c r="CE80" i="11"/>
  <c r="V73" i="11"/>
  <c r="AG73" i="11"/>
  <c r="AR73" i="11"/>
  <c r="BC73" i="11"/>
  <c r="BN73" i="11"/>
  <c r="BY73" i="11"/>
  <c r="H11" i="12"/>
  <c r="H13" i="12" s="1"/>
  <c r="G13" i="12"/>
  <c r="E6" i="15"/>
  <c r="E12" i="10" s="1"/>
  <c r="U23" i="15"/>
  <c r="U19" i="15" s="1"/>
  <c r="U6" i="15" s="1"/>
  <c r="U12" i="10" s="1"/>
  <c r="CC23" i="15"/>
  <c r="CC19" i="15" s="1"/>
  <c r="CC6" i="15" s="1"/>
  <c r="CC12" i="10" s="1"/>
  <c r="F6" i="15"/>
  <c r="F12" i="10" s="1"/>
  <c r="AD23" i="15"/>
  <c r="AD19" i="15" s="1"/>
  <c r="AD6" i="15" s="1"/>
  <c r="AD12" i="10" s="1"/>
  <c r="AH23" i="15"/>
  <c r="AH19" i="15" s="1"/>
  <c r="AH6" i="15" s="1"/>
  <c r="AH12" i="10" s="1"/>
  <c r="AQ23" i="15"/>
  <c r="AQ19" i="15" s="1"/>
  <c r="AQ6" i="15" s="1"/>
  <c r="AQ12" i="10" s="1"/>
  <c r="AU23" i="15"/>
  <c r="AU19" i="15" s="1"/>
  <c r="AU6" i="15" s="1"/>
  <c r="AU12" i="10" s="1"/>
  <c r="AZ23" i="15"/>
  <c r="AZ19" i="15" s="1"/>
  <c r="AZ6" i="15" s="1"/>
  <c r="AZ12" i="10" s="1"/>
  <c r="BO23" i="15"/>
  <c r="BO19" i="15" s="1"/>
  <c r="BO6" i="15" s="1"/>
  <c r="BO12" i="10" s="1"/>
  <c r="G7" i="12"/>
  <c r="I39" i="13"/>
  <c r="BP23" i="15"/>
  <c r="BP19" i="15" s="1"/>
  <c r="BP6" i="15" s="1"/>
  <c r="BP12" i="10" s="1"/>
  <c r="H7" i="12"/>
  <c r="K23" i="15"/>
  <c r="K19" i="15" s="1"/>
  <c r="K6" i="15" s="1"/>
  <c r="K12" i="10" s="1"/>
  <c r="BT23" i="15"/>
  <c r="BT19" i="15" s="1"/>
  <c r="BT6" i="15" s="1"/>
  <c r="BT12" i="10" s="1"/>
  <c r="BI23" i="15"/>
  <c r="BI19" i="15" s="1"/>
  <c r="BI6" i="15" s="1"/>
  <c r="BI12" i="10" s="1"/>
  <c r="AX23" i="15"/>
  <c r="AX19" i="15" s="1"/>
  <c r="AX6" i="15" s="1"/>
  <c r="AX12" i="10" s="1"/>
  <c r="AM23" i="15"/>
  <c r="AM19" i="15" s="1"/>
  <c r="AM6" i="15" s="1"/>
  <c r="AM12" i="10" s="1"/>
  <c r="AB23" i="15"/>
  <c r="AB19" i="15" s="1"/>
  <c r="AB6" i="15" s="1"/>
  <c r="AB12" i="10" s="1"/>
  <c r="Q23" i="15"/>
  <c r="Q19" i="15" s="1"/>
  <c r="Q6" i="15" s="1"/>
  <c r="Q12" i="10" s="1"/>
  <c r="BS23" i="15"/>
  <c r="BS19" i="15" s="1"/>
  <c r="BS6" i="15" s="1"/>
  <c r="BS12" i="10" s="1"/>
  <c r="BH23" i="15"/>
  <c r="BH19" i="15" s="1"/>
  <c r="BH6" i="15" s="1"/>
  <c r="BH12" i="10" s="1"/>
  <c r="AW23" i="15"/>
  <c r="AW19" i="15" s="1"/>
  <c r="AW6" i="15" s="1"/>
  <c r="AW12" i="10" s="1"/>
  <c r="AL23" i="15"/>
  <c r="AL19" i="15" s="1"/>
  <c r="AL6" i="15" s="1"/>
  <c r="AL12" i="10" s="1"/>
  <c r="AA23" i="15"/>
  <c r="AA19" i="15" s="1"/>
  <c r="AA6" i="15" s="1"/>
  <c r="AA12" i="10" s="1"/>
  <c r="P23" i="15"/>
  <c r="P19" i="15" s="1"/>
  <c r="P6" i="15" s="1"/>
  <c r="P12" i="10" s="1"/>
  <c r="BV23" i="15"/>
  <c r="BV19" i="15" s="1"/>
  <c r="BV6" i="15" s="1"/>
  <c r="BV12" i="10" s="1"/>
  <c r="BG23" i="15"/>
  <c r="BG19" i="15" s="1"/>
  <c r="BG6" i="15" s="1"/>
  <c r="BG12" i="10" s="1"/>
  <c r="AT23" i="15"/>
  <c r="AT19" i="15" s="1"/>
  <c r="AT6" i="15" s="1"/>
  <c r="AT12" i="10" s="1"/>
  <c r="AG23" i="15"/>
  <c r="AG19" i="15" s="1"/>
  <c r="AG6" i="15" s="1"/>
  <c r="AG12" i="10" s="1"/>
  <c r="T23" i="15"/>
  <c r="T19" i="15" s="1"/>
  <c r="T6" i="15" s="1"/>
  <c r="T12" i="10" s="1"/>
  <c r="BU23" i="15"/>
  <c r="BU19" i="15" s="1"/>
  <c r="BU6" i="15" s="1"/>
  <c r="BU12" i="10" s="1"/>
  <c r="BF23" i="15"/>
  <c r="BF19" i="15" s="1"/>
  <c r="BF6" i="15" s="1"/>
  <c r="BF12" i="10" s="1"/>
  <c r="AS23" i="15"/>
  <c r="AS19" i="15" s="1"/>
  <c r="AS6" i="15" s="1"/>
  <c r="AS12" i="10" s="1"/>
  <c r="AF23" i="15"/>
  <c r="AF19" i="15" s="1"/>
  <c r="AF6" i="15" s="1"/>
  <c r="AF12" i="10" s="1"/>
  <c r="S23" i="15"/>
  <c r="S19" i="15" s="1"/>
  <c r="S6" i="15" s="1"/>
  <c r="S12" i="10" s="1"/>
  <c r="BR23" i="15"/>
  <c r="BR19" i="15" s="1"/>
  <c r="BR6" i="15" s="1"/>
  <c r="BR12" i="10" s="1"/>
  <c r="BE23" i="15"/>
  <c r="BE19" i="15" s="1"/>
  <c r="BE6" i="15" s="1"/>
  <c r="BE12" i="10" s="1"/>
  <c r="AR23" i="15"/>
  <c r="AR19" i="15" s="1"/>
  <c r="AR6" i="15" s="1"/>
  <c r="AR12" i="10" s="1"/>
  <c r="AE23" i="15"/>
  <c r="AE19" i="15" s="1"/>
  <c r="AE6" i="15" s="1"/>
  <c r="AE12" i="10" s="1"/>
  <c r="R23" i="15"/>
  <c r="R19" i="15" s="1"/>
  <c r="R6" i="15" s="1"/>
  <c r="R12" i="10" s="1"/>
  <c r="BX23" i="15"/>
  <c r="BX19" i="15" s="1"/>
  <c r="BX6" i="15" s="1"/>
  <c r="BX12" i="10" s="1"/>
  <c r="BK23" i="15"/>
  <c r="AV23" i="15"/>
  <c r="AV19" i="15" s="1"/>
  <c r="AV6" i="15" s="1"/>
  <c r="AV12" i="10" s="1"/>
  <c r="AI23" i="15"/>
  <c r="AI19" i="15" s="1"/>
  <c r="AI6" i="15" s="1"/>
  <c r="AI12" i="10" s="1"/>
  <c r="V23" i="15"/>
  <c r="V19" i="15" s="1"/>
  <c r="V6" i="15" s="1"/>
  <c r="V12" i="10" s="1"/>
  <c r="CB23" i="15"/>
  <c r="CB19" i="15" s="1"/>
  <c r="CB6" i="15" s="1"/>
  <c r="CB12" i="10" s="1"/>
  <c r="BJ23" i="15"/>
  <c r="BJ19" i="15" s="1"/>
  <c r="BJ6" i="15" s="1"/>
  <c r="BJ12" i="10" s="1"/>
  <c r="AN23" i="15"/>
  <c r="AN19" i="15" s="1"/>
  <c r="AN6" i="15" s="1"/>
  <c r="AN12" i="10" s="1"/>
  <c r="O23" i="15"/>
  <c r="O19" i="15" s="1"/>
  <c r="O6" i="15" s="1"/>
  <c r="O12" i="10" s="1"/>
  <c r="CA23" i="15"/>
  <c r="BD23" i="15"/>
  <c r="BD19" i="15" s="1"/>
  <c r="BD6" i="15" s="1"/>
  <c r="BD12" i="10" s="1"/>
  <c r="AK23" i="15"/>
  <c r="AK19" i="15" s="1"/>
  <c r="AK6" i="15" s="1"/>
  <c r="AK12" i="10" s="1"/>
  <c r="N23" i="15"/>
  <c r="N19" i="15" s="1"/>
  <c r="N6" i="15" s="1"/>
  <c r="N12" i="10" s="1"/>
  <c r="BZ23" i="15"/>
  <c r="BZ19" i="15" s="1"/>
  <c r="BZ6" i="15" s="1"/>
  <c r="BZ12" i="10" s="1"/>
  <c r="BC23" i="15"/>
  <c r="BC19" i="15" s="1"/>
  <c r="BC6" i="15" s="1"/>
  <c r="BC12" i="10" s="1"/>
  <c r="AJ23" i="15"/>
  <c r="AJ19" i="15" s="1"/>
  <c r="AJ6" i="15" s="1"/>
  <c r="AJ12" i="10" s="1"/>
  <c r="M23" i="15"/>
  <c r="M19" i="15" s="1"/>
  <c r="M6" i="15" s="1"/>
  <c r="M12" i="10" s="1"/>
  <c r="BM23" i="15"/>
  <c r="BM19" i="15" s="1"/>
  <c r="BM6" i="15" s="1"/>
  <c r="BM12" i="10" s="1"/>
  <c r="AP23" i="15"/>
  <c r="AP19" i="15" s="1"/>
  <c r="AP6" i="15" s="1"/>
  <c r="AP12" i="10" s="1"/>
  <c r="W23" i="15"/>
  <c r="W19" i="15" s="1"/>
  <c r="W6" i="15" s="1"/>
  <c r="W12" i="10" s="1"/>
  <c r="BN23" i="15"/>
  <c r="BN19" i="15" s="1"/>
  <c r="BN6" i="15" s="1"/>
  <c r="BN12" i="10" s="1"/>
  <c r="AC23" i="15"/>
  <c r="AC19" i="15" s="1"/>
  <c r="AC6" i="15" s="1"/>
  <c r="AC12" i="10" s="1"/>
  <c r="BL23" i="15"/>
  <c r="BL19" i="15" s="1"/>
  <c r="BL6" i="15" s="1"/>
  <c r="BL12" i="10" s="1"/>
  <c r="Z23" i="15"/>
  <c r="Z19" i="15" s="1"/>
  <c r="BB23" i="15"/>
  <c r="BB19" i="15" s="1"/>
  <c r="BB6" i="15" s="1"/>
  <c r="BB12" i="10" s="1"/>
  <c r="Y23" i="15"/>
  <c r="Y19" i="15" s="1"/>
  <c r="Y6" i="15" s="1"/>
  <c r="Y12" i="10" s="1"/>
  <c r="BA23" i="15"/>
  <c r="BA19" i="15" s="1"/>
  <c r="BA6" i="15" s="1"/>
  <c r="BA12" i="10" s="1"/>
  <c r="X23" i="15"/>
  <c r="X19" i="15" s="1"/>
  <c r="X6" i="15" s="1"/>
  <c r="X12" i="10" s="1"/>
  <c r="BQ23" i="15"/>
  <c r="BQ19" i="15" s="1"/>
  <c r="BQ6" i="15" s="1"/>
  <c r="BQ12" i="10" s="1"/>
  <c r="AO23" i="15"/>
  <c r="AO19" i="15" s="1"/>
  <c r="AO6" i="15" s="1"/>
  <c r="AO12" i="10" s="1"/>
  <c r="L23" i="15"/>
  <c r="L19" i="15" s="1"/>
  <c r="L6" i="15" s="1"/>
  <c r="L12" i="10" s="1"/>
  <c r="BY23" i="15"/>
  <c r="BY19" i="15" s="1"/>
  <c r="BY6" i="15" s="1"/>
  <c r="BY12" i="10" s="1"/>
  <c r="CA19" i="15"/>
  <c r="CA6" i="15" s="1"/>
  <c r="CA12" i="10" s="1"/>
  <c r="H17" i="12"/>
  <c r="G19" i="12"/>
  <c r="G25" i="12" s="1"/>
  <c r="G31" i="12" s="1"/>
  <c r="F7" i="12"/>
  <c r="F23" i="12"/>
  <c r="F29" i="12" s="1"/>
  <c r="B10" i="17"/>
  <c r="B24" i="17"/>
  <c r="AY19" i="15"/>
  <c r="AY6" i="15" s="1"/>
  <c r="AY12" i="10" s="1"/>
  <c r="D6" i="15"/>
  <c r="D12" i="10" s="1"/>
  <c r="Z6" i="15"/>
  <c r="Z12" i="10" s="1"/>
  <c r="H19" i="15"/>
  <c r="H6" i="15" s="1"/>
  <c r="H12" i="10" s="1"/>
  <c r="BK19" i="15"/>
  <c r="BK6" i="15" s="1"/>
  <c r="BK12" i="10" s="1"/>
  <c r="B38" i="17"/>
  <c r="F76" i="11" l="1"/>
  <c r="F62" i="4"/>
  <c r="B37" i="19"/>
  <c r="B35" i="19"/>
  <c r="B36" i="19"/>
  <c r="G40" i="1"/>
  <c r="S4" i="3"/>
  <c r="F22" i="11"/>
  <c r="F45" i="11"/>
  <c r="F48" i="11"/>
  <c r="F46" i="11"/>
  <c r="CS59" i="11"/>
  <c r="F31" i="11"/>
  <c r="F85" i="11"/>
  <c r="F53" i="11"/>
  <c r="H18" i="13"/>
  <c r="G61" i="4"/>
  <c r="D61" i="17"/>
  <c r="E61" i="17" s="1"/>
  <c r="F61" i="17" s="1"/>
  <c r="G61" i="17" s="1"/>
  <c r="H61" i="17" s="1"/>
  <c r="I61" i="17" s="1"/>
  <c r="J61" i="17" s="1"/>
  <c r="K61" i="17" s="1"/>
  <c r="L61" i="17" s="1"/>
  <c r="M61" i="17" s="1"/>
  <c r="N61" i="17" s="1"/>
  <c r="F8" i="17" s="1"/>
  <c r="E81" i="4" s="1"/>
  <c r="CP80" i="11"/>
  <c r="CI80" i="11"/>
  <c r="CH80" i="11"/>
  <c r="O80" i="11"/>
  <c r="CG80" i="11"/>
  <c r="CM80" i="11"/>
  <c r="CL80" i="11"/>
  <c r="CK80" i="11"/>
  <c r="CJ80" i="11"/>
  <c r="H40" i="13"/>
  <c r="CO80" i="11"/>
  <c r="CS57" i="11"/>
  <c r="CB57" i="11"/>
  <c r="N57" i="11"/>
  <c r="BW57" i="11"/>
  <c r="BV57" i="11"/>
  <c r="CE57" i="11"/>
  <c r="CD57" i="11"/>
  <c r="CC57" i="11"/>
  <c r="BU57" i="11"/>
  <c r="BT57" i="11"/>
  <c r="CB47" i="11"/>
  <c r="BR6" i="11"/>
  <c r="BQ6" i="11"/>
  <c r="M6" i="11"/>
  <c r="BP6" i="11"/>
  <c r="BI6" i="11"/>
  <c r="BJ6" i="11"/>
  <c r="BH6" i="11"/>
  <c r="BL6" i="11"/>
  <c r="BS6" i="11"/>
  <c r="BO6" i="11"/>
  <c r="BN6" i="11"/>
  <c r="BK6" i="11"/>
  <c r="BM6" i="11"/>
  <c r="Q33" i="15"/>
  <c r="Q41" i="15" s="1"/>
  <c r="Q11" i="10"/>
  <c r="Q10" i="10" s="1"/>
  <c r="AO33" i="15"/>
  <c r="AO41" i="15" s="1"/>
  <c r="AO11" i="10"/>
  <c r="AO10" i="10" s="1"/>
  <c r="AN33" i="15"/>
  <c r="AN41" i="15" s="1"/>
  <c r="AN11" i="10"/>
  <c r="AN10" i="10" s="1"/>
  <c r="AB33" i="15"/>
  <c r="AB41" i="15" s="1"/>
  <c r="AB11" i="10"/>
  <c r="AB10" i="10" s="1"/>
  <c r="BN33" i="15"/>
  <c r="BN41" i="15" s="1"/>
  <c r="BN11" i="10"/>
  <c r="BN10" i="10" s="1"/>
  <c r="BK33" i="15"/>
  <c r="BK41" i="15" s="1"/>
  <c r="BK11" i="10"/>
  <c r="BK10" i="10" s="1"/>
  <c r="AS33" i="15"/>
  <c r="AS41" i="15" s="1"/>
  <c r="AS11" i="10"/>
  <c r="AS10" i="10" s="1"/>
  <c r="BO33" i="15"/>
  <c r="BO41" i="15" s="1"/>
  <c r="BO11" i="10"/>
  <c r="BO10" i="10" s="1"/>
  <c r="AD26" i="7"/>
  <c r="AB26" i="7"/>
  <c r="AG26" i="7"/>
  <c r="AF26" i="7"/>
  <c r="W26" i="7"/>
  <c r="V26" i="7"/>
  <c r="Y26" i="7"/>
  <c r="X26" i="7"/>
  <c r="AE26" i="7"/>
  <c r="AC26" i="7"/>
  <c r="AA26" i="7"/>
  <c r="Z26" i="7"/>
  <c r="CL24" i="11"/>
  <c r="CA24" i="11"/>
  <c r="BP24" i="11"/>
  <c r="BE24" i="11"/>
  <c r="AT24" i="11"/>
  <c r="AI24" i="11"/>
  <c r="X24" i="11"/>
  <c r="CH24" i="11"/>
  <c r="BV24" i="11"/>
  <c r="BJ24" i="11"/>
  <c r="AX24" i="11"/>
  <c r="AL24" i="11"/>
  <c r="Z24" i="11"/>
  <c r="CG24" i="11"/>
  <c r="BU24" i="11"/>
  <c r="BI24" i="11"/>
  <c r="AW24" i="11"/>
  <c r="AK24" i="11"/>
  <c r="Y24" i="11"/>
  <c r="CF24" i="11"/>
  <c r="BT24" i="11"/>
  <c r="BH24" i="11"/>
  <c r="AV24" i="11"/>
  <c r="AJ24" i="11"/>
  <c r="W24" i="11"/>
  <c r="CQ24" i="11"/>
  <c r="CE24" i="11"/>
  <c r="BS24" i="11"/>
  <c r="BG24" i="11"/>
  <c r="AU24" i="11"/>
  <c r="AH24" i="11"/>
  <c r="V24" i="11"/>
  <c r="CP24" i="11"/>
  <c r="BY24" i="11"/>
  <c r="BD24" i="11"/>
  <c r="AN24" i="11"/>
  <c r="S24" i="11"/>
  <c r="CO24" i="11"/>
  <c r="BX24" i="11"/>
  <c r="BC24" i="11"/>
  <c r="AM24" i="11"/>
  <c r="R24" i="11"/>
  <c r="CN24" i="11"/>
  <c r="BW24" i="11"/>
  <c r="BB24" i="11"/>
  <c r="AG24" i="11"/>
  <c r="Q24" i="11"/>
  <c r="CJ24" i="11"/>
  <c r="BO24" i="11"/>
  <c r="AY24" i="11"/>
  <c r="AD24" i="11"/>
  <c r="CD24" i="11"/>
  <c r="BM24" i="11"/>
  <c r="AR24" i="11"/>
  <c r="AB24" i="11"/>
  <c r="CC24" i="11"/>
  <c r="BL24" i="11"/>
  <c r="AQ24" i="11"/>
  <c r="AA24" i="11"/>
  <c r="CB24" i="11"/>
  <c r="BK24" i="11"/>
  <c r="AP24" i="11"/>
  <c r="U24" i="11"/>
  <c r="AZ24" i="11"/>
  <c r="AS24" i="11"/>
  <c r="CM24" i="11"/>
  <c r="AO24" i="11"/>
  <c r="CK24" i="11"/>
  <c r="AF24" i="11"/>
  <c r="BR24" i="11"/>
  <c r="T24" i="11"/>
  <c r="BF24" i="11"/>
  <c r="CI24" i="11"/>
  <c r="BZ24" i="11"/>
  <c r="BQ24" i="11"/>
  <c r="BN24" i="11"/>
  <c r="BA24" i="11"/>
  <c r="AE24" i="11"/>
  <c r="AC24" i="11"/>
  <c r="I52" i="13"/>
  <c r="H53" i="13" s="1"/>
  <c r="CU77" i="11"/>
  <c r="CU76" i="11"/>
  <c r="CU85" i="11"/>
  <c r="CU81" i="11"/>
  <c r="CU73" i="11"/>
  <c r="CU79" i="11"/>
  <c r="CU67" i="11"/>
  <c r="CU75" i="11"/>
  <c r="CU70" i="11"/>
  <c r="CU69" i="11"/>
  <c r="CU72" i="11"/>
  <c r="CU47" i="11"/>
  <c r="CU32" i="11"/>
  <c r="CU84" i="11"/>
  <c r="CU80" i="11"/>
  <c r="CU61" i="11"/>
  <c r="CU58" i="11"/>
  <c r="CU46" i="11"/>
  <c r="CU83" i="11"/>
  <c r="CU64" i="11"/>
  <c r="CU55" i="11"/>
  <c r="CU48" i="11"/>
  <c r="CU65" i="11"/>
  <c r="CU63" i="11"/>
  <c r="CU54" i="11"/>
  <c r="CU44" i="11"/>
  <c r="CU35" i="11"/>
  <c r="CU29" i="11"/>
  <c r="CU62" i="11"/>
  <c r="CU38" i="11"/>
  <c r="CU59" i="11"/>
  <c r="CU57" i="11"/>
  <c r="CU82" i="11"/>
  <c r="CU39" i="11"/>
  <c r="CU36" i="11"/>
  <c r="CU24" i="11"/>
  <c r="CU21" i="11"/>
  <c r="CU78" i="11"/>
  <c r="CU33" i="11"/>
  <c r="CU41" i="11"/>
  <c r="CU26" i="11"/>
  <c r="CU20" i="11"/>
  <c r="CU60" i="11"/>
  <c r="CU74" i="11"/>
  <c r="CU49" i="11"/>
  <c r="CU66" i="11"/>
  <c r="CU43" i="11"/>
  <c r="CU34" i="11"/>
  <c r="CU68" i="11"/>
  <c r="CU52" i="11"/>
  <c r="CU51" i="11"/>
  <c r="CU50" i="11"/>
  <c r="CU19" i="11"/>
  <c r="CU12" i="11"/>
  <c r="CU45" i="11"/>
  <c r="CU37" i="11"/>
  <c r="CU30" i="11"/>
  <c r="CU53" i="11"/>
  <c r="CU40" i="11"/>
  <c r="CU42" i="11"/>
  <c r="CU28" i="11"/>
  <c r="CU27" i="11"/>
  <c r="CU56" i="11"/>
  <c r="CU25" i="11"/>
  <c r="CU71" i="11"/>
  <c r="CU15" i="11"/>
  <c r="CU5" i="11"/>
  <c r="CU17" i="11"/>
  <c r="CU4" i="11"/>
  <c r="CU11" i="11"/>
  <c r="CU10" i="11"/>
  <c r="CU16" i="11"/>
  <c r="CU22" i="11"/>
  <c r="CU6" i="11"/>
  <c r="CU7" i="11"/>
  <c r="CU14" i="11"/>
  <c r="CU13" i="11"/>
  <c r="CU31" i="11"/>
  <c r="CU23" i="11"/>
  <c r="CU9" i="11"/>
  <c r="CU18" i="11"/>
  <c r="CU8" i="11"/>
  <c r="C47" i="17"/>
  <c r="D47" i="17" s="1"/>
  <c r="E47" i="17" s="1"/>
  <c r="F47" i="17" s="1"/>
  <c r="G47" i="17" s="1"/>
  <c r="H47" i="17" s="1"/>
  <c r="I47" i="17" s="1"/>
  <c r="J47" i="17" s="1"/>
  <c r="K47" i="17" s="1"/>
  <c r="L47" i="17" s="1"/>
  <c r="M47" i="17" s="1"/>
  <c r="N47" i="17" s="1"/>
  <c r="F6" i="17" s="1"/>
  <c r="C50" i="17"/>
  <c r="D50" i="17" s="1"/>
  <c r="E50" i="17" s="1"/>
  <c r="F50" i="17" s="1"/>
  <c r="G50" i="17" s="1"/>
  <c r="H50" i="17" s="1"/>
  <c r="I50" i="17" s="1"/>
  <c r="J50" i="17" s="1"/>
  <c r="K50" i="17" s="1"/>
  <c r="L50" i="17" s="1"/>
  <c r="M50" i="17" s="1"/>
  <c r="N50" i="17" s="1"/>
  <c r="I6" i="17" s="1"/>
  <c r="O78" i="11"/>
  <c r="CF78" i="11"/>
  <c r="CO78" i="11"/>
  <c r="CJ78" i="11"/>
  <c r="CI78" i="11"/>
  <c r="CP78" i="11"/>
  <c r="CQ78" i="11"/>
  <c r="BJ69" i="11"/>
  <c r="M69" i="11"/>
  <c r="BQ69" i="11"/>
  <c r="BP69" i="11"/>
  <c r="BO69" i="11"/>
  <c r="BN69" i="11"/>
  <c r="BR69" i="11"/>
  <c r="BM69" i="11"/>
  <c r="BL69" i="11"/>
  <c r="BI69" i="11"/>
  <c r="BH69" i="11"/>
  <c r="BW68" i="11"/>
  <c r="CB17" i="11"/>
  <c r="CA17" i="11"/>
  <c r="BZ17" i="11"/>
  <c r="BY17" i="11"/>
  <c r="BW17" i="11"/>
  <c r="BV17" i="11"/>
  <c r="BU17" i="11"/>
  <c r="CC17" i="11"/>
  <c r="BT17" i="11"/>
  <c r="N17" i="11"/>
  <c r="CD17" i="11"/>
  <c r="CE17" i="11"/>
  <c r="BX17" i="11"/>
  <c r="CQ43" i="11"/>
  <c r="CF43" i="11"/>
  <c r="CG34" i="11"/>
  <c r="BZ47" i="11"/>
  <c r="CS26" i="11"/>
  <c r="CB16" i="11"/>
  <c r="BZ16" i="11"/>
  <c r="CE16" i="11"/>
  <c r="CD16" i="11"/>
  <c r="CC16" i="11"/>
  <c r="N16" i="11"/>
  <c r="BT16" i="11"/>
  <c r="CA16" i="11"/>
  <c r="BW16" i="11"/>
  <c r="BY16" i="11"/>
  <c r="BX16" i="11"/>
  <c r="BV16" i="11"/>
  <c r="BU16" i="11"/>
  <c r="BA33" i="15"/>
  <c r="BA41" i="15" s="1"/>
  <c r="BA11" i="10"/>
  <c r="BA10" i="10" s="1"/>
  <c r="AP33" i="15"/>
  <c r="AP41" i="15" s="1"/>
  <c r="AP11" i="10"/>
  <c r="AP10" i="10" s="1"/>
  <c r="BV33" i="15"/>
  <c r="BV41" i="15" s="1"/>
  <c r="BV11" i="10"/>
  <c r="BV10" i="10" s="1"/>
  <c r="AU33" i="15"/>
  <c r="AU41" i="15" s="1"/>
  <c r="AU11" i="10"/>
  <c r="AU10" i="10" s="1"/>
  <c r="G33" i="15"/>
  <c r="G41" i="15" s="1"/>
  <c r="G11" i="10"/>
  <c r="G10" i="10" s="1"/>
  <c r="BY33" i="15"/>
  <c r="BY41" i="15" s="1"/>
  <c r="BY11" i="10"/>
  <c r="BY10" i="10" s="1"/>
  <c r="BE33" i="15"/>
  <c r="BE41" i="15" s="1"/>
  <c r="BE11" i="10"/>
  <c r="BE10" i="10" s="1"/>
  <c r="BZ33" i="15"/>
  <c r="BZ41" i="15" s="1"/>
  <c r="BZ11" i="10"/>
  <c r="BZ10" i="10" s="1"/>
  <c r="CP36" i="11"/>
  <c r="CE36" i="11"/>
  <c r="BT36" i="11"/>
  <c r="BI36" i="11"/>
  <c r="AX36" i="11"/>
  <c r="AM36" i="11"/>
  <c r="AB36" i="11"/>
  <c r="Q36" i="11"/>
  <c r="CQ36" i="11"/>
  <c r="CD36" i="11"/>
  <c r="BR36" i="11"/>
  <c r="BF36" i="11"/>
  <c r="AT36" i="11"/>
  <c r="AH36" i="11"/>
  <c r="V36" i="11"/>
  <c r="CO36" i="11"/>
  <c r="CC36" i="11"/>
  <c r="BQ36" i="11"/>
  <c r="BE36" i="11"/>
  <c r="AS36" i="11"/>
  <c r="AG36" i="11"/>
  <c r="U36" i="11"/>
  <c r="CN36" i="11"/>
  <c r="CB36" i="11"/>
  <c r="BP36" i="11"/>
  <c r="BD36" i="11"/>
  <c r="AR36" i="11"/>
  <c r="AF36" i="11"/>
  <c r="T36" i="11"/>
  <c r="BZ36" i="11"/>
  <c r="BK36" i="11"/>
  <c r="AU36" i="11"/>
  <c r="AC36" i="11"/>
  <c r="BY36" i="11"/>
  <c r="BJ36" i="11"/>
  <c r="AQ36" i="11"/>
  <c r="AA36" i="11"/>
  <c r="CM36" i="11"/>
  <c r="BX36" i="11"/>
  <c r="BH36" i="11"/>
  <c r="AP36" i="11"/>
  <c r="Z36" i="11"/>
  <c r="CL36" i="11"/>
  <c r="BW36" i="11"/>
  <c r="BG36" i="11"/>
  <c r="AO36" i="11"/>
  <c r="Y36" i="11"/>
  <c r="CF36" i="11"/>
  <c r="BM36" i="11"/>
  <c r="AW36" i="11"/>
  <c r="AE36" i="11"/>
  <c r="BO36" i="11"/>
  <c r="AK36" i="11"/>
  <c r="BN36" i="11"/>
  <c r="AJ36" i="11"/>
  <c r="CK36" i="11"/>
  <c r="BL36" i="11"/>
  <c r="AI36" i="11"/>
  <c r="CJ36" i="11"/>
  <c r="BC36" i="11"/>
  <c r="AD36" i="11"/>
  <c r="CI36" i="11"/>
  <c r="BB36" i="11"/>
  <c r="X36" i="11"/>
  <c r="CH36" i="11"/>
  <c r="BA36" i="11"/>
  <c r="W36" i="11"/>
  <c r="CG36" i="11"/>
  <c r="AZ36" i="11"/>
  <c r="S36" i="11"/>
  <c r="CA36" i="11"/>
  <c r="AY36" i="11"/>
  <c r="R36" i="11"/>
  <c r="BV36" i="11"/>
  <c r="AV36" i="11"/>
  <c r="BU36" i="11"/>
  <c r="AN36" i="11"/>
  <c r="BS36" i="11"/>
  <c r="AL36" i="11"/>
  <c r="D59" i="17"/>
  <c r="E59" i="17" s="1"/>
  <c r="F59" i="17" s="1"/>
  <c r="G59" i="17" s="1"/>
  <c r="H59" i="17" s="1"/>
  <c r="I59" i="17" s="1"/>
  <c r="J59" i="17" s="1"/>
  <c r="K59" i="17" s="1"/>
  <c r="L59" i="17" s="1"/>
  <c r="M59" i="17" s="1"/>
  <c r="N59" i="17" s="1"/>
  <c r="D8" i="17" s="1"/>
  <c r="C81" i="4" s="1"/>
  <c r="O49" i="11"/>
  <c r="CH49" i="11"/>
  <c r="CK49" i="11"/>
  <c r="CJ49" i="11"/>
  <c r="CI49" i="11"/>
  <c r="BC33" i="15"/>
  <c r="BC41" i="15" s="1"/>
  <c r="BC11" i="10"/>
  <c r="BC10" i="10" s="1"/>
  <c r="P33" i="15"/>
  <c r="P41" i="15" s="1"/>
  <c r="P11" i="10"/>
  <c r="P10" i="10" s="1"/>
  <c r="N33" i="15"/>
  <c r="N41" i="15" s="1"/>
  <c r="N11" i="10"/>
  <c r="N10" i="10" s="1"/>
  <c r="BT33" i="15"/>
  <c r="T33" i="15"/>
  <c r="T41" i="15" s="1"/>
  <c r="T11" i="10"/>
  <c r="T10" i="10" s="1"/>
  <c r="I33" i="15"/>
  <c r="I41" i="15" s="1"/>
  <c r="I11" i="10"/>
  <c r="I10" i="10" s="1"/>
  <c r="BQ33" i="15"/>
  <c r="BQ41" i="15" s="1"/>
  <c r="BQ11" i="10"/>
  <c r="BQ10" i="10" s="1"/>
  <c r="W10" i="7"/>
  <c r="AG10" i="7"/>
  <c r="V10" i="7"/>
  <c r="AF10" i="7"/>
  <c r="Z10" i="7"/>
  <c r="Y10" i="7"/>
  <c r="AC10" i="7"/>
  <c r="AB10" i="7"/>
  <c r="AA10" i="7"/>
  <c r="X10" i="7"/>
  <c r="AE10" i="7"/>
  <c r="AD10" i="7"/>
  <c r="CO54" i="11"/>
  <c r="CD54" i="11"/>
  <c r="BS54" i="11"/>
  <c r="BH54" i="11"/>
  <c r="AW54" i="11"/>
  <c r="AL54" i="11"/>
  <c r="AA54" i="11"/>
  <c r="CN54" i="11"/>
  <c r="CC54" i="11"/>
  <c r="BR54" i="11"/>
  <c r="BG54" i="11"/>
  <c r="AV54" i="11"/>
  <c r="AK54" i="11"/>
  <c r="Z54" i="11"/>
  <c r="CM54" i="11"/>
  <c r="CB54" i="11"/>
  <c r="BQ54" i="11"/>
  <c r="BF54" i="11"/>
  <c r="AU54" i="11"/>
  <c r="AJ54" i="11"/>
  <c r="Y54" i="11"/>
  <c r="CL54" i="11"/>
  <c r="CA54" i="11"/>
  <c r="BP54" i="11"/>
  <c r="BE54" i="11"/>
  <c r="AT54" i="11"/>
  <c r="AI54" i="11"/>
  <c r="X54" i="11"/>
  <c r="CF54" i="11"/>
  <c r="BM54" i="11"/>
  <c r="AX54" i="11"/>
  <c r="AE54" i="11"/>
  <c r="CE54" i="11"/>
  <c r="BL54" i="11"/>
  <c r="AS54" i="11"/>
  <c r="AD54" i="11"/>
  <c r="BZ54" i="11"/>
  <c r="BK54" i="11"/>
  <c r="AR54" i="11"/>
  <c r="AC54" i="11"/>
  <c r="CJ54" i="11"/>
  <c r="BU54" i="11"/>
  <c r="BB54" i="11"/>
  <c r="AM54" i="11"/>
  <c r="T54" i="11"/>
  <c r="CI54" i="11"/>
  <c r="BT54" i="11"/>
  <c r="BA54" i="11"/>
  <c r="AH54" i="11"/>
  <c r="S54" i="11"/>
  <c r="BO54" i="11"/>
  <c r="AN54" i="11"/>
  <c r="BN54" i="11"/>
  <c r="AG54" i="11"/>
  <c r="CQ54" i="11"/>
  <c r="BJ54" i="11"/>
  <c r="AF54" i="11"/>
  <c r="CP54" i="11"/>
  <c r="BI54" i="11"/>
  <c r="AB54" i="11"/>
  <c r="CK54" i="11"/>
  <c r="BD54" i="11"/>
  <c r="W54" i="11"/>
  <c r="CH54" i="11"/>
  <c r="BC54" i="11"/>
  <c r="V54" i="11"/>
  <c r="CG54" i="11"/>
  <c r="AZ54" i="11"/>
  <c r="U54" i="11"/>
  <c r="BW54" i="11"/>
  <c r="AP54" i="11"/>
  <c r="R54" i="11"/>
  <c r="Q54" i="11"/>
  <c r="BY54" i="11"/>
  <c r="BX54" i="11"/>
  <c r="BV54" i="11"/>
  <c r="AY54" i="11"/>
  <c r="AQ54" i="11"/>
  <c r="AO54" i="11"/>
  <c r="CS23" i="11"/>
  <c r="B11" i="17"/>
  <c r="B25" i="17"/>
  <c r="B81" i="17"/>
  <c r="CG78" i="11"/>
  <c r="BW61" i="11"/>
  <c r="BZ61" i="11"/>
  <c r="BY61" i="11"/>
  <c r="BX61" i="11"/>
  <c r="N61" i="11"/>
  <c r="CC61" i="11"/>
  <c r="CB61" i="11"/>
  <c r="CA61" i="11"/>
  <c r="CN34" i="11"/>
  <c r="CK34" i="11"/>
  <c r="CS29" i="11"/>
  <c r="BR5" i="11"/>
  <c r="BQ5" i="11"/>
  <c r="M5" i="11"/>
  <c r="BP5" i="11"/>
  <c r="BI5" i="11"/>
  <c r="BL5" i="11"/>
  <c r="BK5" i="11"/>
  <c r="BJ5" i="11"/>
  <c r="BH5" i="11"/>
  <c r="BN5" i="11"/>
  <c r="BS5" i="11"/>
  <c r="BM5" i="11"/>
  <c r="BO5" i="11"/>
  <c r="CF80" i="11"/>
  <c r="CM78" i="11"/>
  <c r="BY68" i="11"/>
  <c r="BV68" i="11"/>
  <c r="CG49" i="11"/>
  <c r="CH43" i="11"/>
  <c r="CS35" i="11"/>
  <c r="BJ30" i="11"/>
  <c r="BI30" i="11"/>
  <c r="BH30" i="11"/>
  <c r="BO30" i="11"/>
  <c r="BS30" i="11"/>
  <c r="BR30" i="11"/>
  <c r="M30" i="11"/>
  <c r="BQ30" i="11"/>
  <c r="BP30" i="11"/>
  <c r="BN30" i="11"/>
  <c r="CS32" i="11"/>
  <c r="BQ14" i="11"/>
  <c r="M14" i="11"/>
  <c r="BO14" i="11"/>
  <c r="BN14" i="11"/>
  <c r="BM14" i="11"/>
  <c r="BR14" i="11"/>
  <c r="BS14" i="11"/>
  <c r="BP14" i="11"/>
  <c r="BL14" i="11"/>
  <c r="BK14" i="11"/>
  <c r="BJ14" i="11"/>
  <c r="BI14" i="11"/>
  <c r="BH14" i="11"/>
  <c r="BG33" i="15"/>
  <c r="BG41" i="15" s="1"/>
  <c r="BG11" i="10"/>
  <c r="BG10" i="10" s="1"/>
  <c r="AQ33" i="15"/>
  <c r="AQ41" i="15" s="1"/>
  <c r="AQ11" i="10"/>
  <c r="AQ10" i="10" s="1"/>
  <c r="AE33" i="15"/>
  <c r="AE41" i="15" s="1"/>
  <c r="AE11" i="10"/>
  <c r="AE10" i="10" s="1"/>
  <c r="F33" i="15"/>
  <c r="F41" i="15" s="1"/>
  <c r="F11" i="10"/>
  <c r="F10" i="10" s="1"/>
  <c r="AG33" i="15"/>
  <c r="AG41" i="15" s="1"/>
  <c r="AG11" i="10"/>
  <c r="AG10" i="10" s="1"/>
  <c r="V33" i="15"/>
  <c r="V41" i="15" s="1"/>
  <c r="V11" i="10"/>
  <c r="V10" i="10" s="1"/>
  <c r="CC33" i="15"/>
  <c r="CC41" i="15" s="1"/>
  <c r="CC11" i="10"/>
  <c r="CC10" i="10" s="1"/>
  <c r="BK26" i="7"/>
  <c r="BI26" i="7"/>
  <c r="BH26" i="7"/>
  <c r="BG26" i="7"/>
  <c r="BF26" i="7"/>
  <c r="BQ26" i="7"/>
  <c r="BO26" i="7"/>
  <c r="BN26" i="7"/>
  <c r="BM26" i="7"/>
  <c r="BL26" i="7"/>
  <c r="BJ26" i="7"/>
  <c r="BP26" i="7"/>
  <c r="CH33" i="11"/>
  <c r="BW33" i="11"/>
  <c r="BL33" i="11"/>
  <c r="BA33" i="11"/>
  <c r="AP33" i="11"/>
  <c r="AE33" i="11"/>
  <c r="T33" i="11"/>
  <c r="CQ33" i="11"/>
  <c r="CE33" i="11"/>
  <c r="BS33" i="11"/>
  <c r="BG33" i="11"/>
  <c r="AU33" i="11"/>
  <c r="AI33" i="11"/>
  <c r="W33" i="11"/>
  <c r="CP33" i="11"/>
  <c r="CD33" i="11"/>
  <c r="BR33" i="11"/>
  <c r="BF33" i="11"/>
  <c r="AT33" i="11"/>
  <c r="AH33" i="11"/>
  <c r="V33" i="11"/>
  <c r="CO33" i="11"/>
  <c r="CC33" i="11"/>
  <c r="BQ33" i="11"/>
  <c r="BE33" i="11"/>
  <c r="AS33" i="11"/>
  <c r="AG33" i="11"/>
  <c r="U33" i="11"/>
  <c r="CB33" i="11"/>
  <c r="BM33" i="11"/>
  <c r="AW33" i="11"/>
  <c r="AD33" i="11"/>
  <c r="CA33" i="11"/>
  <c r="BK33" i="11"/>
  <c r="AV33" i="11"/>
  <c r="AC33" i="11"/>
  <c r="BZ33" i="11"/>
  <c r="BJ33" i="11"/>
  <c r="AR33" i="11"/>
  <c r="AB33" i="11"/>
  <c r="CN33" i="11"/>
  <c r="BY33" i="11"/>
  <c r="BI33" i="11"/>
  <c r="AQ33" i="11"/>
  <c r="AA33" i="11"/>
  <c r="CG33" i="11"/>
  <c r="BO33" i="11"/>
  <c r="AY33" i="11"/>
  <c r="AJ33" i="11"/>
  <c r="Q33" i="11"/>
  <c r="BP33" i="11"/>
  <c r="AL33" i="11"/>
  <c r="CM33" i="11"/>
  <c r="BN33" i="11"/>
  <c r="AK33" i="11"/>
  <c r="CL33" i="11"/>
  <c r="BH33" i="11"/>
  <c r="AF33" i="11"/>
  <c r="CK33" i="11"/>
  <c r="BD33" i="11"/>
  <c r="Z33" i="11"/>
  <c r="CJ33" i="11"/>
  <c r="BC33" i="11"/>
  <c r="Y33" i="11"/>
  <c r="CI33" i="11"/>
  <c r="BB33" i="11"/>
  <c r="X33" i="11"/>
  <c r="CF33" i="11"/>
  <c r="AZ33" i="11"/>
  <c r="S33" i="11"/>
  <c r="BX33" i="11"/>
  <c r="AX33" i="11"/>
  <c r="R33" i="11"/>
  <c r="BV33" i="11"/>
  <c r="AO33" i="11"/>
  <c r="BU33" i="11"/>
  <c r="AN33" i="11"/>
  <c r="BT33" i="11"/>
  <c r="AM33" i="11"/>
  <c r="C45" i="17"/>
  <c r="D45" i="17" s="1"/>
  <c r="E45" i="17" s="1"/>
  <c r="F45" i="17" s="1"/>
  <c r="G45" i="17" s="1"/>
  <c r="H45" i="17" s="1"/>
  <c r="I45" i="17" s="1"/>
  <c r="J45" i="17" s="1"/>
  <c r="K45" i="17" s="1"/>
  <c r="L45" i="17" s="1"/>
  <c r="M45" i="17" s="1"/>
  <c r="N45" i="17" s="1"/>
  <c r="D6" i="17" s="1"/>
  <c r="D63" i="17"/>
  <c r="E63" i="17" s="1"/>
  <c r="F63" i="17" s="1"/>
  <c r="G63" i="17" s="1"/>
  <c r="H63" i="17" s="1"/>
  <c r="I63" i="17" s="1"/>
  <c r="J63" i="17" s="1"/>
  <c r="K63" i="17" s="1"/>
  <c r="L63" i="17" s="1"/>
  <c r="M63" i="17" s="1"/>
  <c r="N63" i="17" s="1"/>
  <c r="H8" i="17" s="1"/>
  <c r="G81" i="4" s="1"/>
  <c r="D29" i="18"/>
  <c r="C9" i="18"/>
  <c r="J33" i="15"/>
  <c r="J41" i="15" s="1"/>
  <c r="J11" i="10"/>
  <c r="J10" i="10" s="1"/>
  <c r="AD33" i="15"/>
  <c r="AD41" i="15" s="1"/>
  <c r="AD11" i="10"/>
  <c r="AD10" i="10" s="1"/>
  <c r="BB33" i="15"/>
  <c r="BB41" i="15" s="1"/>
  <c r="BB11" i="10"/>
  <c r="BB10" i="10" s="1"/>
  <c r="AC33" i="15"/>
  <c r="AC41" i="15" s="1"/>
  <c r="AC11" i="10"/>
  <c r="AC10" i="10" s="1"/>
  <c r="AV33" i="15"/>
  <c r="AK33" i="15"/>
  <c r="AK41" i="15" s="1"/>
  <c r="AK11" i="10"/>
  <c r="AK10" i="10" s="1"/>
  <c r="M33" i="15"/>
  <c r="M41" i="15" s="1"/>
  <c r="M11" i="10"/>
  <c r="M10" i="10" s="1"/>
  <c r="BV26" i="7"/>
  <c r="BT26" i="7"/>
  <c r="BW26" i="7"/>
  <c r="BU26" i="7"/>
  <c r="BS26" i="7"/>
  <c r="BZ26" i="7"/>
  <c r="BY26" i="7"/>
  <c r="BX26" i="7"/>
  <c r="BR26" i="7"/>
  <c r="CC26" i="7"/>
  <c r="CB26" i="7"/>
  <c r="CA26" i="7"/>
  <c r="CQ59" i="11"/>
  <c r="CF59" i="11"/>
  <c r="BU59" i="11"/>
  <c r="BJ59" i="11"/>
  <c r="AY59" i="11"/>
  <c r="AN59" i="11"/>
  <c r="AC59" i="11"/>
  <c r="R59" i="11"/>
  <c r="CP59" i="11"/>
  <c r="CD59" i="11"/>
  <c r="BR59" i="11"/>
  <c r="BF59" i="11"/>
  <c r="AT59" i="11"/>
  <c r="AH59" i="11"/>
  <c r="V59" i="11"/>
  <c r="CO59" i="11"/>
  <c r="CC59" i="11"/>
  <c r="BQ59" i="11"/>
  <c r="BE59" i="11"/>
  <c r="AS59" i="11"/>
  <c r="AG59" i="11"/>
  <c r="U59" i="11"/>
  <c r="CN59" i="11"/>
  <c r="CB59" i="11"/>
  <c r="BP59" i="11"/>
  <c r="BD59" i="11"/>
  <c r="AR59" i="11"/>
  <c r="AF59" i="11"/>
  <c r="T59" i="11"/>
  <c r="CM59" i="11"/>
  <c r="CA59" i="11"/>
  <c r="BO59" i="11"/>
  <c r="BC59" i="11"/>
  <c r="AQ59" i="11"/>
  <c r="AE59" i="11"/>
  <c r="S59" i="11"/>
  <c r="CE59" i="11"/>
  <c r="BS59" i="11"/>
  <c r="BG59" i="11"/>
  <c r="AU59" i="11"/>
  <c r="AI59" i="11"/>
  <c r="W59" i="11"/>
  <c r="CJ59" i="11"/>
  <c r="BM59" i="11"/>
  <c r="AP59" i="11"/>
  <c r="X59" i="11"/>
  <c r="CI59" i="11"/>
  <c r="BL59" i="11"/>
  <c r="AO59" i="11"/>
  <c r="Q59" i="11"/>
  <c r="CH59" i="11"/>
  <c r="BK59" i="11"/>
  <c r="AM59" i="11"/>
  <c r="BW59" i="11"/>
  <c r="AZ59" i="11"/>
  <c r="AB59" i="11"/>
  <c r="BV59" i="11"/>
  <c r="AX59" i="11"/>
  <c r="AA59" i="11"/>
  <c r="BY59" i="11"/>
  <c r="AK59" i="11"/>
  <c r="BX59" i="11"/>
  <c r="AJ59" i="11"/>
  <c r="BT59" i="11"/>
  <c r="AD59" i="11"/>
  <c r="BN59" i="11"/>
  <c r="Z59" i="11"/>
  <c r="BI59" i="11"/>
  <c r="Y59" i="11"/>
  <c r="BH59" i="11"/>
  <c r="BB59" i="11"/>
  <c r="CG59" i="11"/>
  <c r="AV59" i="11"/>
  <c r="CL59" i="11"/>
  <c r="CK59" i="11"/>
  <c r="BZ59" i="11"/>
  <c r="BA59" i="11"/>
  <c r="AW59" i="11"/>
  <c r="AL59" i="11"/>
  <c r="C45" i="5"/>
  <c r="C10" i="6" s="1"/>
  <c r="C46" i="5"/>
  <c r="C11" i="6" s="1"/>
  <c r="C44" i="5"/>
  <c r="C9" i="6" s="1"/>
  <c r="D14" i="2"/>
  <c r="C47" i="5"/>
  <c r="C12" i="6" s="1"/>
  <c r="C43" i="5"/>
  <c r="BR12" i="11"/>
  <c r="BK12" i="11"/>
  <c r="M12" i="11"/>
  <c r="BJ12" i="11"/>
  <c r="BI12" i="11"/>
  <c r="BM12" i="11"/>
  <c r="BQ12" i="11"/>
  <c r="BP12" i="11"/>
  <c r="BO12" i="11"/>
  <c r="BN12" i="11"/>
  <c r="BH12" i="11"/>
  <c r="BS12" i="11"/>
  <c r="BL12" i="11"/>
  <c r="CD47" i="11"/>
  <c r="BT47" i="11"/>
  <c r="N47" i="11"/>
  <c r="CS22" i="11"/>
  <c r="BR9" i="11"/>
  <c r="BQ9" i="11"/>
  <c r="M9" i="11"/>
  <c r="BP9" i="11"/>
  <c r="BI9" i="11"/>
  <c r="BO9" i="11"/>
  <c r="BN9" i="11"/>
  <c r="BM9" i="11"/>
  <c r="BL9" i="11"/>
  <c r="BS9" i="11"/>
  <c r="BJ9" i="11"/>
  <c r="BH9" i="11"/>
  <c r="BK9" i="11"/>
  <c r="BR7" i="11"/>
  <c r="BQ7" i="11"/>
  <c r="M7" i="11"/>
  <c r="BP7" i="11"/>
  <c r="BI7" i="11"/>
  <c r="BS7" i="11"/>
  <c r="BJ7" i="11"/>
  <c r="BM7" i="11"/>
  <c r="BL7" i="11"/>
  <c r="BK7" i="11"/>
  <c r="BN7" i="11"/>
  <c r="BO7" i="11"/>
  <c r="BH7" i="11"/>
  <c r="AS10" i="7"/>
  <c r="AH10" i="7"/>
  <c r="AR10" i="7"/>
  <c r="AQ10" i="7"/>
  <c r="AN10" i="7"/>
  <c r="AM10" i="7"/>
  <c r="AO10" i="7"/>
  <c r="AP10" i="7"/>
  <c r="AJ10" i="7"/>
  <c r="AL10" i="7"/>
  <c r="AK10" i="7"/>
  <c r="AI10" i="7"/>
  <c r="BH33" i="15"/>
  <c r="BI33" i="15"/>
  <c r="BI41" i="15" s="1"/>
  <c r="BI11" i="10"/>
  <c r="BI10" i="10" s="1"/>
  <c r="BW33" i="15"/>
  <c r="BW41" i="15" s="1"/>
  <c r="BW11" i="10"/>
  <c r="BW10" i="10" s="1"/>
  <c r="AY33" i="15"/>
  <c r="AY41" i="15" s="1"/>
  <c r="AY11" i="10"/>
  <c r="AY10" i="10" s="1"/>
  <c r="BJ33" i="15"/>
  <c r="BJ41" i="15" s="1"/>
  <c r="BJ11" i="10"/>
  <c r="BJ10" i="10" s="1"/>
  <c r="AX33" i="15"/>
  <c r="AX41" i="15" s="1"/>
  <c r="AX11" i="10"/>
  <c r="AX10" i="10" s="1"/>
  <c r="X33" i="15"/>
  <c r="CM23" i="11"/>
  <c r="CB23" i="11"/>
  <c r="BQ23" i="11"/>
  <c r="BF23" i="11"/>
  <c r="AU23" i="11"/>
  <c r="AJ23" i="11"/>
  <c r="CL23" i="11"/>
  <c r="BZ23" i="11"/>
  <c r="BN23" i="11"/>
  <c r="BB23" i="11"/>
  <c r="AP23" i="11"/>
  <c r="AD23" i="11"/>
  <c r="S23" i="11"/>
  <c r="CK23" i="11"/>
  <c r="BY23" i="11"/>
  <c r="BM23" i="11"/>
  <c r="BA23" i="11"/>
  <c r="AO23" i="11"/>
  <c r="AC23" i="11"/>
  <c r="R23" i="11"/>
  <c r="CJ23" i="11"/>
  <c r="BX23" i="11"/>
  <c r="BL23" i="11"/>
  <c r="AZ23" i="11"/>
  <c r="AN23" i="11"/>
  <c r="AB23" i="11"/>
  <c r="Q23" i="11"/>
  <c r="CI23" i="11"/>
  <c r="BW23" i="11"/>
  <c r="BK23" i="11"/>
  <c r="AY23" i="11"/>
  <c r="AM23" i="11"/>
  <c r="AA23" i="11"/>
  <c r="CO23" i="11"/>
  <c r="BT23" i="11"/>
  <c r="BC23" i="11"/>
  <c r="AH23" i="11"/>
  <c r="CN23" i="11"/>
  <c r="BS23" i="11"/>
  <c r="AX23" i="11"/>
  <c r="AG23" i="11"/>
  <c r="CH23" i="11"/>
  <c r="BR23" i="11"/>
  <c r="AW23" i="11"/>
  <c r="AF23" i="11"/>
  <c r="CE23" i="11"/>
  <c r="BJ23" i="11"/>
  <c r="AS23" i="11"/>
  <c r="Y23" i="11"/>
  <c r="CC23" i="11"/>
  <c r="BH23" i="11"/>
  <c r="AQ23" i="11"/>
  <c r="W23" i="11"/>
  <c r="CA23" i="11"/>
  <c r="BG23" i="11"/>
  <c r="AL23" i="11"/>
  <c r="V23" i="11"/>
  <c r="CQ23" i="11"/>
  <c r="BV23" i="11"/>
  <c r="BE23" i="11"/>
  <c r="AK23" i="11"/>
  <c r="U23" i="11"/>
  <c r="CP23" i="11"/>
  <c r="AR23" i="11"/>
  <c r="CG23" i="11"/>
  <c r="AI23" i="11"/>
  <c r="CF23" i="11"/>
  <c r="AE23" i="11"/>
  <c r="CD23" i="11"/>
  <c r="Z23" i="11"/>
  <c r="BO23" i="11"/>
  <c r="AV23" i="11"/>
  <c r="BP23" i="11"/>
  <c r="BI23" i="11"/>
  <c r="BD23" i="11"/>
  <c r="AT23" i="11"/>
  <c r="X23" i="11"/>
  <c r="BU23" i="11"/>
  <c r="T23" i="11"/>
  <c r="CG58" i="11"/>
  <c r="BV58" i="11"/>
  <c r="BK58" i="11"/>
  <c r="AZ58" i="11"/>
  <c r="AO58" i="11"/>
  <c r="AD58" i="11"/>
  <c r="S58" i="11"/>
  <c r="CI58" i="11"/>
  <c r="BW58" i="11"/>
  <c r="BJ58" i="11"/>
  <c r="AX58" i="11"/>
  <c r="AL58" i="11"/>
  <c r="Z58" i="11"/>
  <c r="CH58" i="11"/>
  <c r="BU58" i="11"/>
  <c r="BI58" i="11"/>
  <c r="AW58" i="11"/>
  <c r="AK58" i="11"/>
  <c r="Y58" i="11"/>
  <c r="CF58" i="11"/>
  <c r="BT58" i="11"/>
  <c r="BH58" i="11"/>
  <c r="AV58" i="11"/>
  <c r="AJ58" i="11"/>
  <c r="X58" i="11"/>
  <c r="CQ58" i="11"/>
  <c r="CE58" i="11"/>
  <c r="BS58" i="11"/>
  <c r="BG58" i="11"/>
  <c r="AU58" i="11"/>
  <c r="AI58" i="11"/>
  <c r="W58" i="11"/>
  <c r="CJ58" i="11"/>
  <c r="BX58" i="11"/>
  <c r="BL58" i="11"/>
  <c r="AY58" i="11"/>
  <c r="AM58" i="11"/>
  <c r="AA58" i="11"/>
  <c r="CL58" i="11"/>
  <c r="BO58" i="11"/>
  <c r="AR58" i="11"/>
  <c r="U58" i="11"/>
  <c r="CK58" i="11"/>
  <c r="BN58" i="11"/>
  <c r="AQ58" i="11"/>
  <c r="T58" i="11"/>
  <c r="CD58" i="11"/>
  <c r="BM58" i="11"/>
  <c r="AP58" i="11"/>
  <c r="R58" i="11"/>
  <c r="CP58" i="11"/>
  <c r="BY58" i="11"/>
  <c r="BB58" i="11"/>
  <c r="AE58" i="11"/>
  <c r="CO58" i="11"/>
  <c r="BR58" i="11"/>
  <c r="BA58" i="11"/>
  <c r="AC58" i="11"/>
  <c r="CC58" i="11"/>
  <c r="AS58" i="11"/>
  <c r="CB58" i="11"/>
  <c r="AN58" i="11"/>
  <c r="CA58" i="11"/>
  <c r="AH58" i="11"/>
  <c r="BZ58" i="11"/>
  <c r="AG58" i="11"/>
  <c r="BQ58" i="11"/>
  <c r="AF58" i="11"/>
  <c r="BP58" i="11"/>
  <c r="AB58" i="11"/>
  <c r="BF58" i="11"/>
  <c r="V58" i="11"/>
  <c r="CN58" i="11"/>
  <c r="BC58" i="11"/>
  <c r="CM58" i="11"/>
  <c r="BE58" i="11"/>
  <c r="BD58" i="11"/>
  <c r="AT58" i="11"/>
  <c r="Q58" i="11"/>
  <c r="C51" i="17"/>
  <c r="D51" i="17" s="1"/>
  <c r="E51" i="17" s="1"/>
  <c r="F51" i="17" s="1"/>
  <c r="G51" i="17" s="1"/>
  <c r="H51" i="17" s="1"/>
  <c r="I51" i="17" s="1"/>
  <c r="J51" i="17" s="1"/>
  <c r="K51" i="17" s="1"/>
  <c r="L51" i="17" s="1"/>
  <c r="M51" i="17" s="1"/>
  <c r="N51" i="17" s="1"/>
  <c r="D64" i="5"/>
  <c r="E64" i="5" s="1"/>
  <c r="F64" i="5" s="1"/>
  <c r="G64" i="5" s="1"/>
  <c r="H64" i="5" s="1"/>
  <c r="I64" i="5" s="1"/>
  <c r="J64" i="5" s="1"/>
  <c r="D63" i="5"/>
  <c r="E63" i="5" s="1"/>
  <c r="F63" i="5" s="1"/>
  <c r="G63" i="5" s="1"/>
  <c r="H63" i="5" s="1"/>
  <c r="I63" i="5" s="1"/>
  <c r="J63" i="5" s="1"/>
  <c r="D62" i="5"/>
  <c r="E62" i="5" s="1"/>
  <c r="F62" i="5" s="1"/>
  <c r="G62" i="5" s="1"/>
  <c r="H62" i="5" s="1"/>
  <c r="I62" i="5" s="1"/>
  <c r="J62" i="5" s="1"/>
  <c r="D31" i="5"/>
  <c r="E31" i="5" s="1"/>
  <c r="F31" i="5" s="1"/>
  <c r="G31" i="5" s="1"/>
  <c r="H31" i="5" s="1"/>
  <c r="I31" i="5" s="1"/>
  <c r="J31" i="5" s="1"/>
  <c r="BR11" i="11"/>
  <c r="BN11" i="11"/>
  <c r="BM11" i="11"/>
  <c r="BL11" i="11"/>
  <c r="BP11" i="11"/>
  <c r="BO11" i="11"/>
  <c r="BK11" i="11"/>
  <c r="BJ11" i="11"/>
  <c r="BI11" i="11"/>
  <c r="BS11" i="11"/>
  <c r="BQ11" i="11"/>
  <c r="BH11" i="11"/>
  <c r="M11" i="11"/>
  <c r="CH78" i="11"/>
  <c r="CJ44" i="11"/>
  <c r="CA47" i="11"/>
  <c r="BW47" i="11"/>
  <c r="N68" i="11"/>
  <c r="CC68" i="11"/>
  <c r="CB68" i="11"/>
  <c r="CE68" i="11"/>
  <c r="CD68" i="11"/>
  <c r="CA68" i="11"/>
  <c r="BS10" i="11"/>
  <c r="BH10" i="11"/>
  <c r="BR10" i="11"/>
  <c r="BQ10" i="11"/>
  <c r="M10" i="11"/>
  <c r="BJ10" i="11"/>
  <c r="BN10" i="11"/>
  <c r="BM10" i="11"/>
  <c r="BL10" i="11"/>
  <c r="BK10" i="11"/>
  <c r="BP10" i="11"/>
  <c r="BO10" i="11"/>
  <c r="BI10" i="11"/>
  <c r="BD10" i="7"/>
  <c r="BC10" i="7"/>
  <c r="BB10" i="7"/>
  <c r="BE10" i="7"/>
  <c r="BA10" i="7"/>
  <c r="AW10" i="7"/>
  <c r="AV10" i="7"/>
  <c r="AU10" i="7"/>
  <c r="AT10" i="7"/>
  <c r="AY10" i="7"/>
  <c r="AX10" i="7"/>
  <c r="AZ10" i="7"/>
  <c r="O33" i="15"/>
  <c r="O41" i="15" s="1"/>
  <c r="O11" i="10"/>
  <c r="O10" i="10" s="1"/>
  <c r="AF33" i="15"/>
  <c r="AF41" i="15" s="1"/>
  <c r="AF11" i="10"/>
  <c r="AF10" i="10" s="1"/>
  <c r="D33" i="15"/>
  <c r="D41" i="15" s="1"/>
  <c r="D11" i="10"/>
  <c r="D10" i="10" s="1"/>
  <c r="BU33" i="15"/>
  <c r="BU41" i="15" s="1"/>
  <c r="BU11" i="10"/>
  <c r="BU10" i="10" s="1"/>
  <c r="BX33" i="15"/>
  <c r="BX41" i="15" s="1"/>
  <c r="BX11" i="10"/>
  <c r="BX10" i="10" s="1"/>
  <c r="BL33" i="15"/>
  <c r="BL41" i="15" s="1"/>
  <c r="BL11" i="10"/>
  <c r="BL10" i="10" s="1"/>
  <c r="AI33" i="15"/>
  <c r="AI41" i="15" s="1"/>
  <c r="AI11" i="10"/>
  <c r="AI10" i="10" s="1"/>
  <c r="AZ26" i="7"/>
  <c r="AX26" i="7"/>
  <c r="AU26" i="7"/>
  <c r="AT26" i="7"/>
  <c r="BE26" i="7"/>
  <c r="BD26" i="7"/>
  <c r="BA26" i="7"/>
  <c r="AW26" i="7"/>
  <c r="AV26" i="7"/>
  <c r="BC26" i="7"/>
  <c r="BB26" i="7"/>
  <c r="AY26" i="7"/>
  <c r="CH22" i="11"/>
  <c r="BW22" i="11"/>
  <c r="BL22" i="11"/>
  <c r="BA22" i="11"/>
  <c r="AP22" i="11"/>
  <c r="AE22" i="11"/>
  <c r="T22" i="11"/>
  <c r="CG22" i="11"/>
  <c r="BV22" i="11"/>
  <c r="BK22" i="11"/>
  <c r="AZ22" i="11"/>
  <c r="AO22" i="11"/>
  <c r="AD22" i="11"/>
  <c r="S22" i="11"/>
  <c r="CQ22" i="11"/>
  <c r="CF22" i="11"/>
  <c r="BU22" i="11"/>
  <c r="BJ22" i="11"/>
  <c r="AY22" i="11"/>
  <c r="AN22" i="11"/>
  <c r="AC22" i="11"/>
  <c r="R22" i="11"/>
  <c r="CP22" i="11"/>
  <c r="CE22" i="11"/>
  <c r="BT22" i="11"/>
  <c r="BI22" i="11"/>
  <c r="AX22" i="11"/>
  <c r="AM22" i="11"/>
  <c r="AB22" i="11"/>
  <c r="Q22" i="11"/>
  <c r="CK22" i="11"/>
  <c r="BR22" i="11"/>
  <c r="BC22" i="11"/>
  <c r="AJ22" i="11"/>
  <c r="U22" i="11"/>
  <c r="CJ22" i="11"/>
  <c r="BQ22" i="11"/>
  <c r="BB22" i="11"/>
  <c r="AI22" i="11"/>
  <c r="CI22" i="11"/>
  <c r="BP22" i="11"/>
  <c r="AW22" i="11"/>
  <c r="AH22" i="11"/>
  <c r="CM22" i="11"/>
  <c r="BX22" i="11"/>
  <c r="BE22" i="11"/>
  <c r="AL22" i="11"/>
  <c r="W22" i="11"/>
  <c r="CN22" i="11"/>
  <c r="BM22" i="11"/>
  <c r="AK22" i="11"/>
  <c r="CL22" i="11"/>
  <c r="BH22" i="11"/>
  <c r="AG22" i="11"/>
  <c r="CD22" i="11"/>
  <c r="BG22" i="11"/>
  <c r="AF22" i="11"/>
  <c r="CC22" i="11"/>
  <c r="BF22" i="11"/>
  <c r="AA22" i="11"/>
  <c r="BZ22" i="11"/>
  <c r="AU22" i="11"/>
  <c r="X22" i="11"/>
  <c r="BO22" i="11"/>
  <c r="AR22" i="11"/>
  <c r="AT22" i="11"/>
  <c r="AS22" i="11"/>
  <c r="AQ22" i="11"/>
  <c r="CO22" i="11"/>
  <c r="Z22" i="11"/>
  <c r="BN22" i="11"/>
  <c r="BD22" i="11"/>
  <c r="AV22" i="11"/>
  <c r="Y22" i="11"/>
  <c r="V22" i="11"/>
  <c r="BS22" i="11"/>
  <c r="CB22" i="11"/>
  <c r="CA22" i="11"/>
  <c r="BY22" i="11"/>
  <c r="CJ45" i="11"/>
  <c r="BY45" i="11"/>
  <c r="BN45" i="11"/>
  <c r="BC45" i="11"/>
  <c r="AR45" i="11"/>
  <c r="AG45" i="11"/>
  <c r="V45" i="11"/>
  <c r="CI45" i="11"/>
  <c r="BX45" i="11"/>
  <c r="BM45" i="11"/>
  <c r="BB45" i="11"/>
  <c r="AQ45" i="11"/>
  <c r="AF45" i="11"/>
  <c r="U45" i="11"/>
  <c r="CN45" i="11"/>
  <c r="CA45" i="11"/>
  <c r="BL45" i="11"/>
  <c r="AY45" i="11"/>
  <c r="AL45" i="11"/>
  <c r="Y45" i="11"/>
  <c r="CM45" i="11"/>
  <c r="BZ45" i="11"/>
  <c r="BK45" i="11"/>
  <c r="AX45" i="11"/>
  <c r="AK45" i="11"/>
  <c r="X45" i="11"/>
  <c r="CL45" i="11"/>
  <c r="BW45" i="11"/>
  <c r="BJ45" i="11"/>
  <c r="AW45" i="11"/>
  <c r="AJ45" i="11"/>
  <c r="W45" i="11"/>
  <c r="CO45" i="11"/>
  <c r="BT45" i="11"/>
  <c r="BD45" i="11"/>
  <c r="AI45" i="11"/>
  <c r="Q45" i="11"/>
  <c r="CK45" i="11"/>
  <c r="BS45" i="11"/>
  <c r="BA45" i="11"/>
  <c r="AH45" i="11"/>
  <c r="CH45" i="11"/>
  <c r="BR45" i="11"/>
  <c r="AZ45" i="11"/>
  <c r="AE45" i="11"/>
  <c r="CG45" i="11"/>
  <c r="BQ45" i="11"/>
  <c r="AV45" i="11"/>
  <c r="AD45" i="11"/>
  <c r="CE45" i="11"/>
  <c r="BO45" i="11"/>
  <c r="CQ45" i="11"/>
  <c r="BV45" i="11"/>
  <c r="BF45" i="11"/>
  <c r="AN45" i="11"/>
  <c r="S45" i="11"/>
  <c r="BI45" i="11"/>
  <c r="AB45" i="11"/>
  <c r="BH45" i="11"/>
  <c r="AA45" i="11"/>
  <c r="BG45" i="11"/>
  <c r="Z45" i="11"/>
  <c r="BE45" i="11"/>
  <c r="T45" i="11"/>
  <c r="CP45" i="11"/>
  <c r="AU45" i="11"/>
  <c r="R45" i="11"/>
  <c r="CF45" i="11"/>
  <c r="AT45" i="11"/>
  <c r="CD45" i="11"/>
  <c r="AS45" i="11"/>
  <c r="CC45" i="11"/>
  <c r="AP45" i="11"/>
  <c r="CB45" i="11"/>
  <c r="AO45" i="11"/>
  <c r="BU45" i="11"/>
  <c r="AM45" i="11"/>
  <c r="BP45" i="11"/>
  <c r="AC45" i="11"/>
  <c r="C58" i="17"/>
  <c r="D58" i="17" s="1"/>
  <c r="E58" i="17" s="1"/>
  <c r="F58" i="17" s="1"/>
  <c r="G58" i="17" s="1"/>
  <c r="H58" i="17" s="1"/>
  <c r="I58" i="17" s="1"/>
  <c r="J58" i="17" s="1"/>
  <c r="K58" i="17" s="1"/>
  <c r="L58" i="17" s="1"/>
  <c r="M58" i="17" s="1"/>
  <c r="N58" i="17" s="1"/>
  <c r="D68" i="5"/>
  <c r="E68" i="5" s="1"/>
  <c r="F68" i="5" s="1"/>
  <c r="G68" i="5" s="1"/>
  <c r="H68" i="5" s="1"/>
  <c r="I68" i="5" s="1"/>
  <c r="J68" i="5" s="1"/>
  <c r="K68" i="5" s="1"/>
  <c r="L68" i="5" s="1"/>
  <c r="M68" i="5" s="1"/>
  <c r="N68" i="5" s="1"/>
  <c r="O68" i="5" s="1"/>
  <c r="P68" i="5" s="1"/>
  <c r="Q68" i="5" s="1"/>
  <c r="R68" i="5" s="1"/>
  <c r="S68" i="5" s="1"/>
  <c r="T68" i="5" s="1"/>
  <c r="U68" i="5" s="1"/>
  <c r="V68" i="5" s="1"/>
  <c r="W68" i="5" s="1"/>
  <c r="X68" i="5" s="1"/>
  <c r="Y68" i="5" s="1"/>
  <c r="Z68" i="5" s="1"/>
  <c r="AA68" i="5" s="1"/>
  <c r="AB68" i="5" s="1"/>
  <c r="AC68" i="5" s="1"/>
  <c r="AD68" i="5" s="1"/>
  <c r="AE68" i="5" s="1"/>
  <c r="AF68" i="5" s="1"/>
  <c r="AG68" i="5" s="1"/>
  <c r="D70" i="5"/>
  <c r="E70" i="5" s="1"/>
  <c r="F70" i="5" s="1"/>
  <c r="G70" i="5" s="1"/>
  <c r="H70" i="5" s="1"/>
  <c r="I70" i="5" s="1"/>
  <c r="J70" i="5" s="1"/>
  <c r="K70" i="5" s="1"/>
  <c r="L70" i="5" s="1"/>
  <c r="M70" i="5" s="1"/>
  <c r="N70" i="5" s="1"/>
  <c r="O70" i="5" s="1"/>
  <c r="P70" i="5" s="1"/>
  <c r="Q70" i="5" s="1"/>
  <c r="R70" i="5" s="1"/>
  <c r="S70" i="5" s="1"/>
  <c r="T70" i="5" s="1"/>
  <c r="U70" i="5" s="1"/>
  <c r="V70" i="5" s="1"/>
  <c r="W70" i="5" s="1"/>
  <c r="X70" i="5" s="1"/>
  <c r="Y70" i="5" s="1"/>
  <c r="Z70" i="5" s="1"/>
  <c r="AA70" i="5" s="1"/>
  <c r="AB70" i="5" s="1"/>
  <c r="AC70" i="5" s="1"/>
  <c r="AD70" i="5" s="1"/>
  <c r="AE70" i="5" s="1"/>
  <c r="AF70" i="5" s="1"/>
  <c r="AG70" i="5" s="1"/>
  <c r="AH70" i="5" s="1"/>
  <c r="AI70" i="5" s="1"/>
  <c r="AJ70" i="5" s="1"/>
  <c r="AK70" i="5" s="1"/>
  <c r="AL70" i="5" s="1"/>
  <c r="AM70" i="5" s="1"/>
  <c r="AN70" i="5" s="1"/>
  <c r="AO70" i="5" s="1"/>
  <c r="AP70" i="5" s="1"/>
  <c r="AQ70" i="5" s="1"/>
  <c r="AR70" i="5" s="1"/>
  <c r="AS70" i="5" s="1"/>
  <c r="AT70" i="5" s="1"/>
  <c r="AU70" i="5" s="1"/>
  <c r="AV70" i="5" s="1"/>
  <c r="AW70" i="5" s="1"/>
  <c r="AX70" i="5" s="1"/>
  <c r="AY70" i="5" s="1"/>
  <c r="AZ70" i="5" s="1"/>
  <c r="BA70" i="5" s="1"/>
  <c r="BB70" i="5" s="1"/>
  <c r="BC70" i="5" s="1"/>
  <c r="BD70" i="5" s="1"/>
  <c r="BE70" i="5" s="1"/>
  <c r="BF70" i="5" s="1"/>
  <c r="BG70" i="5" s="1"/>
  <c r="BH70" i="5" s="1"/>
  <c r="BI70" i="5" s="1"/>
  <c r="BJ70" i="5" s="1"/>
  <c r="BK70" i="5" s="1"/>
  <c r="BL70" i="5" s="1"/>
  <c r="BM70" i="5" s="1"/>
  <c r="BN70" i="5" s="1"/>
  <c r="BO70" i="5" s="1"/>
  <c r="BP70" i="5" s="1"/>
  <c r="BQ70" i="5" s="1"/>
  <c r="BR70" i="5" s="1"/>
  <c r="BS70" i="5" s="1"/>
  <c r="BT70" i="5" s="1"/>
  <c r="BU70" i="5" s="1"/>
  <c r="BV70" i="5" s="1"/>
  <c r="BW70" i="5" s="1"/>
  <c r="BX70" i="5" s="1"/>
  <c r="BY70" i="5" s="1"/>
  <c r="BZ70" i="5" s="1"/>
  <c r="CA70" i="5" s="1"/>
  <c r="CB70" i="5" s="1"/>
  <c r="CC70" i="5" s="1"/>
  <c r="D71" i="5"/>
  <c r="E71" i="5" s="1"/>
  <c r="F71" i="5" s="1"/>
  <c r="G71" i="5" s="1"/>
  <c r="H71" i="5" s="1"/>
  <c r="I71" i="5" s="1"/>
  <c r="J71" i="5" s="1"/>
  <c r="K71" i="5" s="1"/>
  <c r="L71" i="5" s="1"/>
  <c r="M71" i="5" s="1"/>
  <c r="N71" i="5" s="1"/>
  <c r="O71" i="5" s="1"/>
  <c r="P71" i="5" s="1"/>
  <c r="Q71" i="5" s="1"/>
  <c r="R71" i="5" s="1"/>
  <c r="S71" i="5" s="1"/>
  <c r="T71" i="5" s="1"/>
  <c r="U71" i="5" s="1"/>
  <c r="V71" i="5" s="1"/>
  <c r="W71" i="5" s="1"/>
  <c r="X71" i="5" s="1"/>
  <c r="Y71" i="5" s="1"/>
  <c r="Z71" i="5" s="1"/>
  <c r="AA71" i="5" s="1"/>
  <c r="AB71" i="5" s="1"/>
  <c r="AC71" i="5" s="1"/>
  <c r="AD71" i="5" s="1"/>
  <c r="AE71" i="5" s="1"/>
  <c r="AF71" i="5" s="1"/>
  <c r="AG71" i="5" s="1"/>
  <c r="AH71" i="5" s="1"/>
  <c r="AI71" i="5" s="1"/>
  <c r="AJ71" i="5" s="1"/>
  <c r="AK71" i="5" s="1"/>
  <c r="AL71" i="5" s="1"/>
  <c r="AM71" i="5" s="1"/>
  <c r="AN71" i="5" s="1"/>
  <c r="AO71" i="5" s="1"/>
  <c r="AP71" i="5" s="1"/>
  <c r="AQ71" i="5" s="1"/>
  <c r="AR71" i="5" s="1"/>
  <c r="AS71" i="5" s="1"/>
  <c r="AT71" i="5" s="1"/>
  <c r="AU71" i="5" s="1"/>
  <c r="AV71" i="5" s="1"/>
  <c r="AW71" i="5" s="1"/>
  <c r="AX71" i="5" s="1"/>
  <c r="AY71" i="5" s="1"/>
  <c r="AZ71" i="5" s="1"/>
  <c r="BA71" i="5" s="1"/>
  <c r="BB71" i="5" s="1"/>
  <c r="BC71" i="5" s="1"/>
  <c r="BD71" i="5" s="1"/>
  <c r="BE71" i="5" s="1"/>
  <c r="BF71" i="5" s="1"/>
  <c r="BG71" i="5" s="1"/>
  <c r="BH71" i="5" s="1"/>
  <c r="BI71" i="5" s="1"/>
  <c r="BJ71" i="5" s="1"/>
  <c r="BK71" i="5" s="1"/>
  <c r="BL71" i="5" s="1"/>
  <c r="BM71" i="5" s="1"/>
  <c r="BN71" i="5" s="1"/>
  <c r="BO71" i="5" s="1"/>
  <c r="BP71" i="5" s="1"/>
  <c r="BQ71" i="5" s="1"/>
  <c r="D38" i="5"/>
  <c r="E38" i="5" s="1"/>
  <c r="F38" i="5" s="1"/>
  <c r="G38" i="5" s="1"/>
  <c r="H38" i="5" s="1"/>
  <c r="I38" i="5" s="1"/>
  <c r="J38" i="5" s="1"/>
  <c r="D39" i="5"/>
  <c r="E39" i="5" s="1"/>
  <c r="F39" i="5" s="1"/>
  <c r="G39" i="5" s="1"/>
  <c r="H39" i="5" s="1"/>
  <c r="I39" i="5" s="1"/>
  <c r="J39" i="5" s="1"/>
  <c r="D69" i="5"/>
  <c r="E69" i="5" s="1"/>
  <c r="F69" i="5" s="1"/>
  <c r="G69" i="5" s="1"/>
  <c r="H69" i="5" s="1"/>
  <c r="I69" i="5" s="1"/>
  <c r="J69" i="5" s="1"/>
  <c r="K69" i="5" s="1"/>
  <c r="L69" i="5" s="1"/>
  <c r="M69" i="5" s="1"/>
  <c r="N69" i="5" s="1"/>
  <c r="O69" i="5" s="1"/>
  <c r="P69" i="5" s="1"/>
  <c r="Q69" i="5" s="1"/>
  <c r="R69" i="5" s="1"/>
  <c r="S69" i="5" s="1"/>
  <c r="T69" i="5" s="1"/>
  <c r="U69" i="5" s="1"/>
  <c r="V69" i="5" s="1"/>
  <c r="W69" i="5" s="1"/>
  <c r="X69" i="5" s="1"/>
  <c r="Y69" i="5" s="1"/>
  <c r="Z69" i="5" s="1"/>
  <c r="AA69" i="5" s="1"/>
  <c r="AB69" i="5" s="1"/>
  <c r="AC69" i="5" s="1"/>
  <c r="AD69" i="5" s="1"/>
  <c r="AE69" i="5" s="1"/>
  <c r="AF69" i="5" s="1"/>
  <c r="AG69" i="5" s="1"/>
  <c r="AH69" i="5" s="1"/>
  <c r="AI69" i="5" s="1"/>
  <c r="AJ69" i="5" s="1"/>
  <c r="AK69" i="5" s="1"/>
  <c r="AL69" i="5" s="1"/>
  <c r="AM69" i="5" s="1"/>
  <c r="AN69" i="5" s="1"/>
  <c r="AO69" i="5" s="1"/>
  <c r="AP69" i="5" s="1"/>
  <c r="AQ69" i="5" s="1"/>
  <c r="AR69" i="5" s="1"/>
  <c r="AS69" i="5" s="1"/>
  <c r="AT69" i="5" s="1"/>
  <c r="AU69" i="5" s="1"/>
  <c r="AV69" i="5" s="1"/>
  <c r="AW69" i="5" s="1"/>
  <c r="AX69" i="5" s="1"/>
  <c r="AY69" i="5" s="1"/>
  <c r="AZ69" i="5" s="1"/>
  <c r="BA69" i="5" s="1"/>
  <c r="BB69" i="5" s="1"/>
  <c r="BC69" i="5" s="1"/>
  <c r="BD69" i="5" s="1"/>
  <c r="BE69" i="5" s="1"/>
  <c r="BF69" i="5" s="1"/>
  <c r="BG69" i="5" s="1"/>
  <c r="BH69" i="5" s="1"/>
  <c r="BI69" i="5" s="1"/>
  <c r="BJ69" i="5" s="1"/>
  <c r="BK69" i="5" s="1"/>
  <c r="BL69" i="5" s="1"/>
  <c r="BM69" i="5" s="1"/>
  <c r="BN69" i="5" s="1"/>
  <c r="BO69" i="5" s="1"/>
  <c r="BP69" i="5" s="1"/>
  <c r="BQ69" i="5" s="1"/>
  <c r="D40" i="5"/>
  <c r="E40" i="5" s="1"/>
  <c r="F40" i="5" s="1"/>
  <c r="G40" i="5" s="1"/>
  <c r="H40" i="5" s="1"/>
  <c r="I40" i="5" s="1"/>
  <c r="J40" i="5" s="1"/>
  <c r="BR8" i="11"/>
  <c r="BQ8" i="11"/>
  <c r="M8" i="11"/>
  <c r="BP8" i="11"/>
  <c r="BI8" i="11"/>
  <c r="BS8" i="11"/>
  <c r="BO8" i="11"/>
  <c r="BN8" i="11"/>
  <c r="BH8" i="11"/>
  <c r="BK8" i="11"/>
  <c r="BJ8" i="11"/>
  <c r="BL8" i="11"/>
  <c r="BM8" i="11"/>
  <c r="CB33" i="15"/>
  <c r="CB41" i="15" s="1"/>
  <c r="CB11" i="10"/>
  <c r="CB10" i="10" s="1"/>
  <c r="BM33" i="15"/>
  <c r="BM41" i="15" s="1"/>
  <c r="BM11" i="10"/>
  <c r="BM10" i="10" s="1"/>
  <c r="AA33" i="15"/>
  <c r="AA41" i="15" s="1"/>
  <c r="AA11" i="10"/>
  <c r="AA10" i="10" s="1"/>
  <c r="K33" i="15"/>
  <c r="K41" i="15" s="1"/>
  <c r="K11" i="10"/>
  <c r="K10" i="10" s="1"/>
  <c r="H33" i="15"/>
  <c r="H41" i="15" s="1"/>
  <c r="H11" i="10"/>
  <c r="H10" i="10" s="1"/>
  <c r="CA33" i="15"/>
  <c r="CA41" i="15" s="1"/>
  <c r="CA11" i="10"/>
  <c r="CA10" i="10" s="1"/>
  <c r="AT33" i="15"/>
  <c r="AT41" i="15" s="1"/>
  <c r="AT11" i="10"/>
  <c r="AT10" i="10" s="1"/>
  <c r="CH48" i="11"/>
  <c r="BW48" i="11"/>
  <c r="BL48" i="11"/>
  <c r="BA48" i="11"/>
  <c r="AP48" i="11"/>
  <c r="AE48" i="11"/>
  <c r="T48" i="11"/>
  <c r="CG48" i="11"/>
  <c r="BV48" i="11"/>
  <c r="BK48" i="11"/>
  <c r="AZ48" i="11"/>
  <c r="AO48" i="11"/>
  <c r="AD48" i="11"/>
  <c r="S48" i="11"/>
  <c r="CQ48" i="11"/>
  <c r="CF48" i="11"/>
  <c r="BU48" i="11"/>
  <c r="BJ48" i="11"/>
  <c r="AY48" i="11"/>
  <c r="AN48" i="11"/>
  <c r="AC48" i="11"/>
  <c r="CP48" i="11"/>
  <c r="CE48" i="11"/>
  <c r="BT48" i="11"/>
  <c r="BI48" i="11"/>
  <c r="AX48" i="11"/>
  <c r="AM48" i="11"/>
  <c r="CA48" i="11"/>
  <c r="BH48" i="11"/>
  <c r="AS48" i="11"/>
  <c r="AA48" i="11"/>
  <c r="CO48" i="11"/>
  <c r="BZ48" i="11"/>
  <c r="BG48" i="11"/>
  <c r="AR48" i="11"/>
  <c r="Z48" i="11"/>
  <c r="CN48" i="11"/>
  <c r="BY48" i="11"/>
  <c r="BF48" i="11"/>
  <c r="AQ48" i="11"/>
  <c r="Y48" i="11"/>
  <c r="BS48" i="11"/>
  <c r="AW48" i="11"/>
  <c r="AB48" i="11"/>
  <c r="BR48" i="11"/>
  <c r="AV48" i="11"/>
  <c r="X48" i="11"/>
  <c r="CM48" i="11"/>
  <c r="BQ48" i="11"/>
  <c r="AU48" i="11"/>
  <c r="W48" i="11"/>
  <c r="CL48" i="11"/>
  <c r="BP48" i="11"/>
  <c r="AT48" i="11"/>
  <c r="V48" i="11"/>
  <c r="CJ48" i="11"/>
  <c r="BN48" i="11"/>
  <c r="AK48" i="11"/>
  <c r="R48" i="11"/>
  <c r="CB48" i="11"/>
  <c r="BC48" i="11"/>
  <c r="AG48" i="11"/>
  <c r="CI48" i="11"/>
  <c r="AI48" i="11"/>
  <c r="CD48" i="11"/>
  <c r="AH48" i="11"/>
  <c r="CC48" i="11"/>
  <c r="AF48" i="11"/>
  <c r="BX48" i="11"/>
  <c r="U48" i="11"/>
  <c r="BO48" i="11"/>
  <c r="Q48" i="11"/>
  <c r="BM48" i="11"/>
  <c r="BE48" i="11"/>
  <c r="BD48" i="11"/>
  <c r="BB48" i="11"/>
  <c r="AL48" i="11"/>
  <c r="CK48" i="11"/>
  <c r="AJ48" i="11"/>
  <c r="CJ46" i="11"/>
  <c r="BY46" i="11"/>
  <c r="BN46" i="11"/>
  <c r="BC46" i="11"/>
  <c r="AR46" i="11"/>
  <c r="AG46" i="11"/>
  <c r="V46" i="11"/>
  <c r="CI46" i="11"/>
  <c r="BX46" i="11"/>
  <c r="BM46" i="11"/>
  <c r="BB46" i="11"/>
  <c r="AQ46" i="11"/>
  <c r="AF46" i="11"/>
  <c r="U46" i="11"/>
  <c r="CF46" i="11"/>
  <c r="BS46" i="11"/>
  <c r="BF46" i="11"/>
  <c r="AS46" i="11"/>
  <c r="AD46" i="11"/>
  <c r="Q46" i="11"/>
  <c r="CE46" i="11"/>
  <c r="BR46" i="11"/>
  <c r="BE46" i="11"/>
  <c r="AP46" i="11"/>
  <c r="AC46" i="11"/>
  <c r="CQ46" i="11"/>
  <c r="CD46" i="11"/>
  <c r="BQ46" i="11"/>
  <c r="BD46" i="11"/>
  <c r="AO46" i="11"/>
  <c r="AB46" i="11"/>
  <c r="CP46" i="11"/>
  <c r="BZ46" i="11"/>
  <c r="BH46" i="11"/>
  <c r="AM46" i="11"/>
  <c r="W46" i="11"/>
  <c r="CO46" i="11"/>
  <c r="BW46" i="11"/>
  <c r="BG46" i="11"/>
  <c r="AL46" i="11"/>
  <c r="T46" i="11"/>
  <c r="CN46" i="11"/>
  <c r="BV46" i="11"/>
  <c r="BA46" i="11"/>
  <c r="AK46" i="11"/>
  <c r="S46" i="11"/>
  <c r="CM46" i="11"/>
  <c r="BU46" i="11"/>
  <c r="AZ46" i="11"/>
  <c r="AJ46" i="11"/>
  <c r="R46" i="11"/>
  <c r="CK46" i="11"/>
  <c r="BP46" i="11"/>
  <c r="AX46" i="11"/>
  <c r="AH46" i="11"/>
  <c r="CB46" i="11"/>
  <c r="BJ46" i="11"/>
  <c r="AT46" i="11"/>
  <c r="Y46" i="11"/>
  <c r="BI46" i="11"/>
  <c r="AY46" i="11"/>
  <c r="CL46" i="11"/>
  <c r="AW46" i="11"/>
  <c r="CH46" i="11"/>
  <c r="AV46" i="11"/>
  <c r="CG46" i="11"/>
  <c r="AU46" i="11"/>
  <c r="CC46" i="11"/>
  <c r="AN46" i="11"/>
  <c r="CA46" i="11"/>
  <c r="AI46" i="11"/>
  <c r="BT46" i="11"/>
  <c r="AE46" i="11"/>
  <c r="BO46" i="11"/>
  <c r="AA46" i="11"/>
  <c r="BL46" i="11"/>
  <c r="Z46" i="11"/>
  <c r="BK46" i="11"/>
  <c r="X46" i="11"/>
  <c r="C48" i="17"/>
  <c r="D48" i="17" s="1"/>
  <c r="E48" i="17" s="1"/>
  <c r="F48" i="17" s="1"/>
  <c r="G48" i="17" s="1"/>
  <c r="H48" i="17" s="1"/>
  <c r="I48" i="17" s="1"/>
  <c r="J48" i="17" s="1"/>
  <c r="K48" i="17" s="1"/>
  <c r="L48" i="17" s="1"/>
  <c r="M48" i="17" s="1"/>
  <c r="N48" i="17" s="1"/>
  <c r="G6" i="17" s="1"/>
  <c r="C44" i="17"/>
  <c r="D44" i="17" s="1"/>
  <c r="E44" i="17" s="1"/>
  <c r="F44" i="17" s="1"/>
  <c r="G44" i="17" s="1"/>
  <c r="H44" i="17" s="1"/>
  <c r="I44" i="17" s="1"/>
  <c r="J44" i="17" s="1"/>
  <c r="K44" i="17" s="1"/>
  <c r="L44" i="17" s="1"/>
  <c r="M44" i="17" s="1"/>
  <c r="N44" i="17" s="1"/>
  <c r="D55" i="5"/>
  <c r="E55" i="5" s="1"/>
  <c r="F55" i="5" s="1"/>
  <c r="G55" i="5" s="1"/>
  <c r="H55" i="5" s="1"/>
  <c r="I55" i="5" s="1"/>
  <c r="J55" i="5" s="1"/>
  <c r="D25" i="5"/>
  <c r="D24" i="5"/>
  <c r="D57" i="5"/>
  <c r="E57" i="5" s="1"/>
  <c r="F57" i="5" s="1"/>
  <c r="G57" i="5" s="1"/>
  <c r="H57" i="5" s="1"/>
  <c r="I57" i="5" s="1"/>
  <c r="J57" i="5" s="1"/>
  <c r="D26" i="5"/>
  <c r="D56" i="5"/>
  <c r="E56" i="5" s="1"/>
  <c r="F56" i="5" s="1"/>
  <c r="G56" i="5" s="1"/>
  <c r="H56" i="5" s="1"/>
  <c r="I56" i="5" s="1"/>
  <c r="J56" i="5" s="1"/>
  <c r="O34" i="11"/>
  <c r="CH34" i="11"/>
  <c r="CF34" i="11"/>
  <c r="CB13" i="11"/>
  <c r="CE13" i="11"/>
  <c r="CD13" i="11"/>
  <c r="CC13" i="11"/>
  <c r="BU13" i="11"/>
  <c r="N13" i="11"/>
  <c r="BV13" i="11"/>
  <c r="BY13" i="11"/>
  <c r="BX13" i="11"/>
  <c r="BW13" i="11"/>
  <c r="BT13" i="11"/>
  <c r="CA13" i="11"/>
  <c r="BZ13" i="11"/>
  <c r="C12" i="14"/>
  <c r="C13" i="6"/>
  <c r="R33" i="15"/>
  <c r="R41" i="15" s="1"/>
  <c r="R11" i="10"/>
  <c r="R10" i="10" s="1"/>
  <c r="AL33" i="15"/>
  <c r="AL41" i="15" s="1"/>
  <c r="AL11" i="10"/>
  <c r="AL10" i="10" s="1"/>
  <c r="AR33" i="15"/>
  <c r="AR41" i="15" s="1"/>
  <c r="AR11" i="10"/>
  <c r="AR10" i="10" s="1"/>
  <c r="Z33" i="15"/>
  <c r="Z41" i="15" s="1"/>
  <c r="Z11" i="10"/>
  <c r="Z10" i="10" s="1"/>
  <c r="U33" i="15"/>
  <c r="U41" i="15" s="1"/>
  <c r="U11" i="10"/>
  <c r="U10" i="10" s="1"/>
  <c r="L33" i="15"/>
  <c r="BF33" i="15"/>
  <c r="BF41" i="15" s="1"/>
  <c r="BF11" i="10"/>
  <c r="BF10" i="10" s="1"/>
  <c r="CJ31" i="11"/>
  <c r="BY31" i="11"/>
  <c r="BN31" i="11"/>
  <c r="BC31" i="11"/>
  <c r="AR31" i="11"/>
  <c r="AG31" i="11"/>
  <c r="CN31" i="11"/>
  <c r="CB31" i="11"/>
  <c r="BP31" i="11"/>
  <c r="BD31" i="11"/>
  <c r="CM31" i="11"/>
  <c r="CA31" i="11"/>
  <c r="BO31" i="11"/>
  <c r="BB31" i="11"/>
  <c r="AP31" i="11"/>
  <c r="AD31" i="11"/>
  <c r="S31" i="11"/>
  <c r="CL31" i="11"/>
  <c r="BZ31" i="11"/>
  <c r="BM31" i="11"/>
  <c r="BA31" i="11"/>
  <c r="AO31" i="11"/>
  <c r="AC31" i="11"/>
  <c r="R31" i="11"/>
  <c r="CP31" i="11"/>
  <c r="BW31" i="11"/>
  <c r="BH31" i="11"/>
  <c r="AS31" i="11"/>
  <c r="AB31" i="11"/>
  <c r="CO31" i="11"/>
  <c r="BV31" i="11"/>
  <c r="BG31" i="11"/>
  <c r="AQ31" i="11"/>
  <c r="AA31" i="11"/>
  <c r="CK31" i="11"/>
  <c r="BU31" i="11"/>
  <c r="BF31" i="11"/>
  <c r="AN31" i="11"/>
  <c r="Z31" i="11"/>
  <c r="CI31" i="11"/>
  <c r="BT31" i="11"/>
  <c r="BE31" i="11"/>
  <c r="AM31" i="11"/>
  <c r="Y31" i="11"/>
  <c r="CC31" i="11"/>
  <c r="BJ31" i="11"/>
  <c r="AU31" i="11"/>
  <c r="AF31" i="11"/>
  <c r="Q31" i="11"/>
  <c r="BL31" i="11"/>
  <c r="AJ31" i="11"/>
  <c r="CQ31" i="11"/>
  <c r="BK31" i="11"/>
  <c r="AI31" i="11"/>
  <c r="CH31" i="11"/>
  <c r="BI31" i="11"/>
  <c r="AH31" i="11"/>
  <c r="CG31" i="11"/>
  <c r="AZ31" i="11"/>
  <c r="AE31" i="11"/>
  <c r="CF31" i="11"/>
  <c r="AY31" i="11"/>
  <c r="X31" i="11"/>
  <c r="CE31" i="11"/>
  <c r="AX31" i="11"/>
  <c r="W31" i="11"/>
  <c r="CD31" i="11"/>
  <c r="AW31" i="11"/>
  <c r="V31" i="11"/>
  <c r="BX31" i="11"/>
  <c r="AV31" i="11"/>
  <c r="U31" i="11"/>
  <c r="BS31" i="11"/>
  <c r="AT31" i="11"/>
  <c r="T31" i="11"/>
  <c r="BR31" i="11"/>
  <c r="AL31" i="11"/>
  <c r="BQ31" i="11"/>
  <c r="AK31" i="11"/>
  <c r="CM85" i="11"/>
  <c r="CB85" i="11"/>
  <c r="BQ85" i="11"/>
  <c r="BF85" i="11"/>
  <c r="AU85" i="11"/>
  <c r="AJ85" i="11"/>
  <c r="Y85" i="11"/>
  <c r="CL85" i="11"/>
  <c r="CA85" i="11"/>
  <c r="BP85" i="11"/>
  <c r="BE85" i="11"/>
  <c r="CJ85" i="11"/>
  <c r="BY85" i="11"/>
  <c r="BN85" i="11"/>
  <c r="BC85" i="11"/>
  <c r="AR85" i="11"/>
  <c r="AG85" i="11"/>
  <c r="V85" i="11"/>
  <c r="CI85" i="11"/>
  <c r="BX85" i="11"/>
  <c r="BM85" i="11"/>
  <c r="BB85" i="11"/>
  <c r="CN85" i="11"/>
  <c r="CC85" i="11"/>
  <c r="BR85" i="11"/>
  <c r="BG85" i="11"/>
  <c r="AV85" i="11"/>
  <c r="AK85" i="11"/>
  <c r="Z85" i="11"/>
  <c r="CQ85" i="11"/>
  <c r="BV85" i="11"/>
  <c r="BA85" i="11"/>
  <c r="AM85" i="11"/>
  <c r="W85" i="11"/>
  <c r="CP85" i="11"/>
  <c r="BU85" i="11"/>
  <c r="AZ85" i="11"/>
  <c r="AL85" i="11"/>
  <c r="U85" i="11"/>
  <c r="CO85" i="11"/>
  <c r="BT85" i="11"/>
  <c r="AY85" i="11"/>
  <c r="AI85" i="11"/>
  <c r="T85" i="11"/>
  <c r="CK85" i="11"/>
  <c r="BS85" i="11"/>
  <c r="AX85" i="11"/>
  <c r="AH85" i="11"/>
  <c r="S85" i="11"/>
  <c r="CE85" i="11"/>
  <c r="AW85" i="11"/>
  <c r="AB85" i="11"/>
  <c r="CD85" i="11"/>
  <c r="AT85" i="11"/>
  <c r="AA85" i="11"/>
  <c r="BZ85" i="11"/>
  <c r="AS85" i="11"/>
  <c r="X85" i="11"/>
  <c r="BW85" i="11"/>
  <c r="AQ85" i="11"/>
  <c r="R85" i="11"/>
  <c r="CF85" i="11"/>
  <c r="BD85" i="11"/>
  <c r="AC85" i="11"/>
  <c r="BH85" i="11"/>
  <c r="AP85" i="11"/>
  <c r="AO85" i="11"/>
  <c r="AN85" i="11"/>
  <c r="CH85" i="11"/>
  <c r="AF85" i="11"/>
  <c r="CG85" i="11"/>
  <c r="AE85" i="11"/>
  <c r="BI85" i="11"/>
  <c r="BO85" i="11"/>
  <c r="BL85" i="11"/>
  <c r="BK85" i="11"/>
  <c r="BJ85" i="11"/>
  <c r="AD85" i="11"/>
  <c r="Q85" i="11"/>
  <c r="H19" i="12"/>
  <c r="H25" i="12" s="1"/>
  <c r="H31" i="12" s="1"/>
  <c r="H23" i="12"/>
  <c r="H29" i="12" s="1"/>
  <c r="CL78" i="11"/>
  <c r="CS78" i="11"/>
  <c r="CN80" i="11"/>
  <c r="CQ34" i="11"/>
  <c r="CL34" i="11"/>
  <c r="O63" i="11"/>
  <c r="CG63" i="11"/>
  <c r="CF63" i="11"/>
  <c r="CQ63" i="11"/>
  <c r="CP63" i="11"/>
  <c r="CI63" i="11"/>
  <c r="CH63" i="11"/>
  <c r="BU47" i="11"/>
  <c r="CF19" i="11"/>
  <c r="CS16" i="11" s="1"/>
  <c r="O19" i="11"/>
  <c r="CH19" i="11"/>
  <c r="CQ19" i="11"/>
  <c r="CP19" i="11"/>
  <c r="CO19" i="11"/>
  <c r="CN19" i="11"/>
  <c r="CI19" i="11"/>
  <c r="CG19" i="11"/>
  <c r="CP34" i="11"/>
  <c r="BR4" i="11"/>
  <c r="BQ4" i="11"/>
  <c r="M4" i="11"/>
  <c r="BP4" i="11"/>
  <c r="BI4" i="11"/>
  <c r="BN4" i="11"/>
  <c r="BM4" i="11"/>
  <c r="BL4" i="11"/>
  <c r="BK4" i="11"/>
  <c r="BS4" i="11"/>
  <c r="BO4" i="11"/>
  <c r="BJ4" i="11"/>
  <c r="BH4" i="11"/>
  <c r="E29" i="18"/>
  <c r="CM19" i="11"/>
  <c r="S33" i="15"/>
  <c r="S41" i="15" s="1"/>
  <c r="S11" i="10"/>
  <c r="S10" i="10" s="1"/>
  <c r="BP33" i="15"/>
  <c r="BP41" i="15" s="1"/>
  <c r="BP11" i="10"/>
  <c r="BP10" i="10" s="1"/>
  <c r="BS33" i="15"/>
  <c r="BS41" i="15" s="1"/>
  <c r="BS11" i="10"/>
  <c r="BS10" i="10" s="1"/>
  <c r="AM33" i="15"/>
  <c r="AM41" i="15" s="1"/>
  <c r="AM11" i="10"/>
  <c r="AM10" i="10" s="1"/>
  <c r="AJ33" i="15"/>
  <c r="W33" i="15"/>
  <c r="W41" i="15" s="1"/>
  <c r="W11" i="10"/>
  <c r="W10" i="10" s="1"/>
  <c r="BR33" i="15"/>
  <c r="BR41" i="15" s="1"/>
  <c r="BR11" i="10"/>
  <c r="BR10" i="10" s="1"/>
  <c r="CP53" i="11"/>
  <c r="CE53" i="11"/>
  <c r="BT53" i="11"/>
  <c r="BI53" i="11"/>
  <c r="AX53" i="11"/>
  <c r="AM53" i="11"/>
  <c r="AB53" i="11"/>
  <c r="Q53" i="11"/>
  <c r="CO53" i="11"/>
  <c r="CD53" i="11"/>
  <c r="BS53" i="11"/>
  <c r="BH53" i="11"/>
  <c r="AW53" i="11"/>
  <c r="AL53" i="11"/>
  <c r="AA53" i="11"/>
  <c r="CN53" i="11"/>
  <c r="CC53" i="11"/>
  <c r="BR53" i="11"/>
  <c r="BG53" i="11"/>
  <c r="AV53" i="11"/>
  <c r="AK53" i="11"/>
  <c r="Z53" i="11"/>
  <c r="CM53" i="11"/>
  <c r="CB53" i="11"/>
  <c r="BQ53" i="11"/>
  <c r="BF53" i="11"/>
  <c r="AU53" i="11"/>
  <c r="AJ53" i="11"/>
  <c r="Y53" i="11"/>
  <c r="CH53" i="11"/>
  <c r="BO53" i="11"/>
  <c r="AZ53" i="11"/>
  <c r="AG53" i="11"/>
  <c r="R53" i="11"/>
  <c r="CG53" i="11"/>
  <c r="BN53" i="11"/>
  <c r="AY53" i="11"/>
  <c r="AF53" i="11"/>
  <c r="CF53" i="11"/>
  <c r="BM53" i="11"/>
  <c r="AT53" i="11"/>
  <c r="AE53" i="11"/>
  <c r="CL53" i="11"/>
  <c r="BW53" i="11"/>
  <c r="BD53" i="11"/>
  <c r="AO53" i="11"/>
  <c r="V53" i="11"/>
  <c r="CK53" i="11"/>
  <c r="BV53" i="11"/>
  <c r="BC53" i="11"/>
  <c r="AN53" i="11"/>
  <c r="U53" i="11"/>
  <c r="BL53" i="11"/>
  <c r="AH53" i="11"/>
  <c r="BK53" i="11"/>
  <c r="AD53" i="11"/>
  <c r="CQ53" i="11"/>
  <c r="BJ53" i="11"/>
  <c r="AC53" i="11"/>
  <c r="CJ53" i="11"/>
  <c r="BE53" i="11"/>
  <c r="X53" i="11"/>
  <c r="CI53" i="11"/>
  <c r="BB53" i="11"/>
  <c r="W53" i="11"/>
  <c r="CA53" i="11"/>
  <c r="BA53" i="11"/>
  <c r="T53" i="11"/>
  <c r="BZ53" i="11"/>
  <c r="AS53" i="11"/>
  <c r="S53" i="11"/>
  <c r="BU53" i="11"/>
  <c r="AP53" i="11"/>
  <c r="BY53" i="11"/>
  <c r="BX53" i="11"/>
  <c r="BP53" i="11"/>
  <c r="AR53" i="11"/>
  <c r="AQ53" i="11"/>
  <c r="AI53" i="11"/>
  <c r="CK20" i="11"/>
  <c r="BZ20" i="11"/>
  <c r="BO20" i="11"/>
  <c r="BD20" i="11"/>
  <c r="AS20" i="11"/>
  <c r="AH20" i="11"/>
  <c r="W20" i="11"/>
  <c r="CJ20" i="11"/>
  <c r="BY20" i="11"/>
  <c r="BN20" i="11"/>
  <c r="BC20" i="11"/>
  <c r="AR20" i="11"/>
  <c r="AG20" i="11"/>
  <c r="V20" i="11"/>
  <c r="CI20" i="11"/>
  <c r="BX20" i="11"/>
  <c r="BM20" i="11"/>
  <c r="BB20" i="11"/>
  <c r="AQ20" i="11"/>
  <c r="AF20" i="11"/>
  <c r="U20" i="11"/>
  <c r="CH20" i="11"/>
  <c r="BW20" i="11"/>
  <c r="BL20" i="11"/>
  <c r="BA20" i="11"/>
  <c r="AP20" i="11"/>
  <c r="AE20" i="11"/>
  <c r="T20" i="11"/>
  <c r="CP20" i="11"/>
  <c r="CA20" i="11"/>
  <c r="BH20" i="11"/>
  <c r="AO20" i="11"/>
  <c r="Z20" i="11"/>
  <c r="CO20" i="11"/>
  <c r="BV20" i="11"/>
  <c r="BG20" i="11"/>
  <c r="AN20" i="11"/>
  <c r="Y20" i="11"/>
  <c r="CN20" i="11"/>
  <c r="BU20" i="11"/>
  <c r="BF20" i="11"/>
  <c r="AM20" i="11"/>
  <c r="X20" i="11"/>
  <c r="CC20" i="11"/>
  <c r="BJ20" i="11"/>
  <c r="AU20" i="11"/>
  <c r="AB20" i="11"/>
  <c r="CD20" i="11"/>
  <c r="AY20" i="11"/>
  <c r="AA20" i="11"/>
  <c r="CB20" i="11"/>
  <c r="AX20" i="11"/>
  <c r="S20" i="11"/>
  <c r="BT20" i="11"/>
  <c r="AW20" i="11"/>
  <c r="R20" i="11"/>
  <c r="BS20" i="11"/>
  <c r="AV20" i="11"/>
  <c r="Q20" i="11"/>
  <c r="CM20" i="11"/>
  <c r="BP20" i="11"/>
  <c r="AK20" i="11"/>
  <c r="CF20" i="11"/>
  <c r="BE20" i="11"/>
  <c r="AD20" i="11"/>
  <c r="AZ20" i="11"/>
  <c r="AT20" i="11"/>
  <c r="AL20" i="11"/>
  <c r="CQ20" i="11"/>
  <c r="AJ20" i="11"/>
  <c r="BR20" i="11"/>
  <c r="BQ20" i="11"/>
  <c r="BK20" i="11"/>
  <c r="BI20" i="11"/>
  <c r="AI20" i="11"/>
  <c r="CG20" i="11"/>
  <c r="CE20" i="11"/>
  <c r="AC20" i="11"/>
  <c r="CL20" i="11"/>
  <c r="D64" i="17"/>
  <c r="E64" i="17" s="1"/>
  <c r="F64" i="17" s="1"/>
  <c r="G64" i="17" s="1"/>
  <c r="H64" i="17" s="1"/>
  <c r="I64" i="17" s="1"/>
  <c r="J64" i="17" s="1"/>
  <c r="K64" i="17" s="1"/>
  <c r="L64" i="17" s="1"/>
  <c r="M64" i="17" s="1"/>
  <c r="N64" i="17" s="1"/>
  <c r="I8" i="17" s="1"/>
  <c r="H81" i="4" s="1"/>
  <c r="C49" i="17"/>
  <c r="D49" i="17" s="1"/>
  <c r="E49" i="17" s="1"/>
  <c r="F49" i="17" s="1"/>
  <c r="G49" i="17" s="1"/>
  <c r="H49" i="17" s="1"/>
  <c r="I49" i="17" s="1"/>
  <c r="J49" i="17" s="1"/>
  <c r="K49" i="17" s="1"/>
  <c r="L49" i="17" s="1"/>
  <c r="M49" i="17" s="1"/>
  <c r="N49" i="17" s="1"/>
  <c r="H6" i="17" s="1"/>
  <c r="B26" i="17"/>
  <c r="CH44" i="11"/>
  <c r="CG44" i="11"/>
  <c r="CF44" i="11"/>
  <c r="CM44" i="11"/>
  <c r="CL44" i="11"/>
  <c r="CI44" i="11"/>
  <c r="CO44" i="11"/>
  <c r="O44" i="11"/>
  <c r="CQ44" i="11"/>
  <c r="CP44" i="11"/>
  <c r="CN44" i="11"/>
  <c r="O43" i="11"/>
  <c r="CI43" i="11"/>
  <c r="CG43" i="11"/>
  <c r="CN43" i="11"/>
  <c r="CP43" i="11"/>
  <c r="CO43" i="11"/>
  <c r="CM43" i="11"/>
  <c r="CB18" i="11"/>
  <c r="CA18" i="11"/>
  <c r="BZ18" i="11"/>
  <c r="BY18" i="11"/>
  <c r="BU18" i="11"/>
  <c r="BT18" i="11"/>
  <c r="BW18" i="11"/>
  <c r="CE18" i="11"/>
  <c r="CD18" i="11"/>
  <c r="BV18" i="11"/>
  <c r="N18" i="11"/>
  <c r="CC18" i="11"/>
  <c r="BX18" i="11"/>
  <c r="CK43" i="11"/>
  <c r="CN78" i="11"/>
  <c r="BS69" i="11"/>
  <c r="CJ63" i="11"/>
  <c r="CP49" i="11"/>
  <c r="BK39" i="11"/>
  <c r="BJ39" i="11"/>
  <c r="BI39" i="11"/>
  <c r="BM39" i="11"/>
  <c r="BP39" i="11"/>
  <c r="BO39" i="11"/>
  <c r="BN39" i="11"/>
  <c r="BL39" i="11"/>
  <c r="M39" i="11"/>
  <c r="CL19" i="11"/>
  <c r="BY47" i="11"/>
  <c r="BS27" i="11"/>
  <c r="BR27" i="11"/>
  <c r="BQ27" i="11"/>
  <c r="BP27" i="11"/>
  <c r="BI27" i="11"/>
  <c r="BM27" i="11"/>
  <c r="BL27" i="11"/>
  <c r="BK27" i="11"/>
  <c r="BJ27" i="11"/>
  <c r="BH27" i="11"/>
  <c r="M27" i="11"/>
  <c r="BO27" i="11"/>
  <c r="C29" i="18"/>
  <c r="BQ15" i="11"/>
  <c r="M15" i="11"/>
  <c r="BO15" i="11"/>
  <c r="BM15" i="11"/>
  <c r="BL15" i="11"/>
  <c r="BK15" i="11"/>
  <c r="BP15" i="11"/>
  <c r="BH15" i="11"/>
  <c r="BN15" i="11"/>
  <c r="BJ15" i="11"/>
  <c r="BI15" i="11"/>
  <c r="BR15" i="11"/>
  <c r="BS15" i="11"/>
  <c r="Y33" i="15"/>
  <c r="Y41" i="15" s="1"/>
  <c r="Y11" i="10"/>
  <c r="Y10" i="10" s="1"/>
  <c r="C33" i="15"/>
  <c r="C41" i="15" s="1"/>
  <c r="C11" i="10"/>
  <c r="C10" i="10" s="1"/>
  <c r="E33" i="15"/>
  <c r="E41" i="15" s="1"/>
  <c r="E11" i="10"/>
  <c r="E10" i="10" s="1"/>
  <c r="AZ33" i="15"/>
  <c r="AZ41" i="15" s="1"/>
  <c r="AZ11" i="10"/>
  <c r="AZ10" i="10" s="1"/>
  <c r="AW33" i="15"/>
  <c r="AW41" i="15" s="1"/>
  <c r="AW11" i="10"/>
  <c r="AW10" i="10" s="1"/>
  <c r="AH33" i="15"/>
  <c r="AH41" i="15" s="1"/>
  <c r="AH11" i="10"/>
  <c r="AH10" i="10" s="1"/>
  <c r="BD33" i="15"/>
  <c r="BD41" i="15" s="1"/>
  <c r="BD11" i="10"/>
  <c r="BD10" i="10" s="1"/>
  <c r="AO26" i="7"/>
  <c r="AM26" i="7"/>
  <c r="AH26" i="7"/>
  <c r="AS26" i="7"/>
  <c r="AN26" i="7"/>
  <c r="AL26" i="7"/>
  <c r="AI26" i="7"/>
  <c r="AK26" i="7"/>
  <c r="AJ26" i="7"/>
  <c r="AR26" i="7"/>
  <c r="AQ26" i="7"/>
  <c r="AP26" i="7"/>
  <c r="CI76" i="11"/>
  <c r="BX76" i="11"/>
  <c r="BM76" i="11"/>
  <c r="BB76" i="11"/>
  <c r="AQ76" i="11"/>
  <c r="AF76" i="11"/>
  <c r="U76" i="11"/>
  <c r="CJ76" i="11"/>
  <c r="BW76" i="11"/>
  <c r="BK76" i="11"/>
  <c r="AY76" i="11"/>
  <c r="AM76" i="11"/>
  <c r="AA76" i="11"/>
  <c r="CH76" i="11"/>
  <c r="BV76" i="11"/>
  <c r="BJ76" i="11"/>
  <c r="AX76" i="11"/>
  <c r="AL76" i="11"/>
  <c r="Z76" i="11"/>
  <c r="CG76" i="11"/>
  <c r="BU76" i="11"/>
  <c r="BI76" i="11"/>
  <c r="AW76" i="11"/>
  <c r="AK76" i="11"/>
  <c r="Y76" i="11"/>
  <c r="CF76" i="11"/>
  <c r="BT76" i="11"/>
  <c r="BH76" i="11"/>
  <c r="AV76" i="11"/>
  <c r="AJ76" i="11"/>
  <c r="X76" i="11"/>
  <c r="CE76" i="11"/>
  <c r="BO76" i="11"/>
  <c r="AT76" i="11"/>
  <c r="AC76" i="11"/>
  <c r="CD76" i="11"/>
  <c r="BN76" i="11"/>
  <c r="AS76" i="11"/>
  <c r="AB76" i="11"/>
  <c r="CC76" i="11"/>
  <c r="BL76" i="11"/>
  <c r="AR76" i="11"/>
  <c r="W76" i="11"/>
  <c r="CB76" i="11"/>
  <c r="BG76" i="11"/>
  <c r="AP76" i="11"/>
  <c r="V76" i="11"/>
  <c r="BZ76" i="11"/>
  <c r="AZ76" i="11"/>
  <c r="R76" i="11"/>
  <c r="BY76" i="11"/>
  <c r="AU76" i="11"/>
  <c r="Q76" i="11"/>
  <c r="BS76" i="11"/>
  <c r="AO76" i="11"/>
  <c r="CQ76" i="11"/>
  <c r="BR76" i="11"/>
  <c r="AN76" i="11"/>
  <c r="CA76" i="11"/>
  <c r="BA76" i="11"/>
  <c r="S76" i="11"/>
  <c r="CK76" i="11"/>
  <c r="AD76" i="11"/>
  <c r="BQ76" i="11"/>
  <c r="T76" i="11"/>
  <c r="BP76" i="11"/>
  <c r="CO76" i="11"/>
  <c r="AI76" i="11"/>
  <c r="CN76" i="11"/>
  <c r="AH76" i="11"/>
  <c r="AE76" i="11"/>
  <c r="CP76" i="11"/>
  <c r="CM76" i="11"/>
  <c r="CL76" i="11"/>
  <c r="BF76" i="11"/>
  <c r="BC76" i="11"/>
  <c r="BD76" i="11"/>
  <c r="AG76" i="11"/>
  <c r="BE76" i="11"/>
  <c r="CI21" i="11"/>
  <c r="BX21" i="11"/>
  <c r="BM21" i="11"/>
  <c r="BB21" i="11"/>
  <c r="AQ21" i="11"/>
  <c r="AF21" i="11"/>
  <c r="U21" i="11"/>
  <c r="CH21" i="11"/>
  <c r="BW21" i="11"/>
  <c r="BL21" i="11"/>
  <c r="BA21" i="11"/>
  <c r="AP21" i="11"/>
  <c r="AE21" i="11"/>
  <c r="T21" i="11"/>
  <c r="CG21" i="11"/>
  <c r="BV21" i="11"/>
  <c r="BK21" i="11"/>
  <c r="AZ21" i="11"/>
  <c r="AO21" i="11"/>
  <c r="AD21" i="11"/>
  <c r="S21" i="11"/>
  <c r="CQ21" i="11"/>
  <c r="CF21" i="11"/>
  <c r="BU21" i="11"/>
  <c r="BJ21" i="11"/>
  <c r="AY21" i="11"/>
  <c r="AN21" i="11"/>
  <c r="AC21" i="11"/>
  <c r="R21" i="11"/>
  <c r="CM21" i="11"/>
  <c r="BT21" i="11"/>
  <c r="BE21" i="11"/>
  <c r="AL21" i="11"/>
  <c r="W21" i="11"/>
  <c r="CL21" i="11"/>
  <c r="BS21" i="11"/>
  <c r="BD21" i="11"/>
  <c r="AK21" i="11"/>
  <c r="V21" i="11"/>
  <c r="CK21" i="11"/>
  <c r="BR21" i="11"/>
  <c r="BC21" i="11"/>
  <c r="AJ21" i="11"/>
  <c r="Q21" i="11"/>
  <c r="CO21" i="11"/>
  <c r="BZ21" i="11"/>
  <c r="BG21" i="11"/>
  <c r="AR21" i="11"/>
  <c r="Y21" i="11"/>
  <c r="BQ21" i="11"/>
  <c r="AT21" i="11"/>
  <c r="BP21" i="11"/>
  <c r="AS21" i="11"/>
  <c r="CP21" i="11"/>
  <c r="BO21" i="11"/>
  <c r="AM21" i="11"/>
  <c r="CN21" i="11"/>
  <c r="BN21" i="11"/>
  <c r="AI21" i="11"/>
  <c r="CD21" i="11"/>
  <c r="BF21" i="11"/>
  <c r="AB21" i="11"/>
  <c r="CA21" i="11"/>
  <c r="AV21" i="11"/>
  <c r="X21" i="11"/>
  <c r="CB21" i="11"/>
  <c r="BY21" i="11"/>
  <c r="BI21" i="11"/>
  <c r="BH21" i="11"/>
  <c r="AW21" i="11"/>
  <c r="AU21" i="11"/>
  <c r="AH21" i="11"/>
  <c r="AG21" i="11"/>
  <c r="AA21" i="11"/>
  <c r="CJ21" i="11"/>
  <c r="CE21" i="11"/>
  <c r="CC21" i="11"/>
  <c r="AX21" i="11"/>
  <c r="Z21" i="11"/>
  <c r="C46" i="17"/>
  <c r="D46" i="17" s="1"/>
  <c r="E46" i="17" s="1"/>
  <c r="F46" i="17" s="1"/>
  <c r="G46" i="17" s="1"/>
  <c r="H46" i="17" s="1"/>
  <c r="I46" i="17" s="1"/>
  <c r="J46" i="17" s="1"/>
  <c r="K46" i="17" s="1"/>
  <c r="L46" i="17" s="1"/>
  <c r="M46" i="17" s="1"/>
  <c r="N46" i="17" s="1"/>
  <c r="E6" i="17" s="1"/>
  <c r="D60" i="17"/>
  <c r="E60" i="17" s="1"/>
  <c r="F60" i="17" s="1"/>
  <c r="G60" i="17" s="1"/>
  <c r="H60" i="17" s="1"/>
  <c r="I60" i="17" s="1"/>
  <c r="J60" i="17" s="1"/>
  <c r="K60" i="17" s="1"/>
  <c r="L60" i="17" s="1"/>
  <c r="M60" i="17" s="1"/>
  <c r="N60" i="17" s="1"/>
  <c r="E8" i="17" s="1"/>
  <c r="D81" i="4" s="1"/>
  <c r="CS40" i="11" l="1"/>
  <c r="CS41" i="11"/>
  <c r="CS31" i="11"/>
  <c r="CS60" i="11"/>
  <c r="CS75" i="11"/>
  <c r="BO10" i="7"/>
  <c r="BG10" i="7"/>
  <c r="BQ10" i="7"/>
  <c r="BN10" i="7"/>
  <c r="BM10" i="7"/>
  <c r="BH10" i="7"/>
  <c r="BP10" i="7"/>
  <c r="BK10" i="7"/>
  <c r="G60" i="4"/>
  <c r="BJ10" i="7"/>
  <c r="BF10" i="7"/>
  <c r="BI10" i="7"/>
  <c r="BL10" i="7"/>
  <c r="B62" i="19"/>
  <c r="B63" i="19"/>
  <c r="B61" i="19"/>
  <c r="F83" i="11"/>
  <c r="G63" i="4"/>
  <c r="S5" i="3"/>
  <c r="F70" i="11"/>
  <c r="F63" i="4"/>
  <c r="F42" i="11"/>
  <c r="F65" i="11"/>
  <c r="D63" i="4"/>
  <c r="D60" i="4" s="1"/>
  <c r="F50" i="11"/>
  <c r="F56" i="11"/>
  <c r="G41" i="1"/>
  <c r="H63" i="4"/>
  <c r="F64" i="11"/>
  <c r="E63" i="4"/>
  <c r="F52" i="11"/>
  <c r="F40" i="11"/>
  <c r="H19" i="13"/>
  <c r="F41" i="11"/>
  <c r="F75" i="11"/>
  <c r="F72" i="11"/>
  <c r="CS46" i="11"/>
  <c r="F29" i="18"/>
  <c r="D12" i="18"/>
  <c r="D45" i="5"/>
  <c r="D10" i="6" s="1"/>
  <c r="E24" i="5"/>
  <c r="CS43" i="11"/>
  <c r="CC9" i="11"/>
  <c r="N9" i="11"/>
  <c r="CB9" i="11"/>
  <c r="CA9" i="11"/>
  <c r="CE9" i="11"/>
  <c r="BT9" i="11"/>
  <c r="CD9" i="11"/>
  <c r="BU9" i="11"/>
  <c r="BX9" i="11"/>
  <c r="BW9" i="11"/>
  <c r="BV9" i="11"/>
  <c r="BZ9" i="11"/>
  <c r="BY9" i="11"/>
  <c r="CS30" i="11"/>
  <c r="CS51" i="11"/>
  <c r="CS19" i="11"/>
  <c r="CC7" i="11"/>
  <c r="N7" i="11"/>
  <c r="CB7" i="11"/>
  <c r="CA7" i="11"/>
  <c r="CE7" i="11"/>
  <c r="BT7" i="11"/>
  <c r="BW7" i="11"/>
  <c r="BV7" i="11"/>
  <c r="BU7" i="11"/>
  <c r="BY7" i="11"/>
  <c r="CD7" i="11"/>
  <c r="BZ7" i="11"/>
  <c r="BX7" i="11"/>
  <c r="O47" i="11"/>
  <c r="CG47" i="11"/>
  <c r="CO47" i="11"/>
  <c r="CM47" i="11"/>
  <c r="CJ47" i="11"/>
  <c r="CF47" i="11"/>
  <c r="CN47" i="11"/>
  <c r="CH47" i="11"/>
  <c r="CQ47" i="11"/>
  <c r="CI47" i="11"/>
  <c r="CP47" i="11"/>
  <c r="CL47" i="11"/>
  <c r="CK47" i="11"/>
  <c r="CM16" i="11"/>
  <c r="CL16" i="11"/>
  <c r="CK16" i="11"/>
  <c r="O16" i="11"/>
  <c r="CQ16" i="11"/>
  <c r="CS13" i="11" s="1"/>
  <c r="CG16" i="11"/>
  <c r="CI16" i="11"/>
  <c r="CH16" i="11"/>
  <c r="CF16" i="11"/>
  <c r="CN16" i="11"/>
  <c r="CO16" i="11"/>
  <c r="CJ16" i="11"/>
  <c r="CP16" i="11"/>
  <c r="D13" i="18"/>
  <c r="E25" i="5"/>
  <c r="CQ68" i="11"/>
  <c r="CP68" i="11"/>
  <c r="CO68" i="11"/>
  <c r="O68" i="11"/>
  <c r="CN68" i="11"/>
  <c r="CF68" i="11"/>
  <c r="CJ68" i="11"/>
  <c r="CM68" i="11"/>
  <c r="CG68" i="11"/>
  <c r="CH68" i="11"/>
  <c r="CI68" i="11"/>
  <c r="CK68" i="11"/>
  <c r="CL68" i="11"/>
  <c r="CC11" i="11"/>
  <c r="N11" i="11"/>
  <c r="BZ11" i="11"/>
  <c r="BY11" i="11"/>
  <c r="BX11" i="11"/>
  <c r="CB11" i="11"/>
  <c r="CE11" i="11"/>
  <c r="CD11" i="11"/>
  <c r="CA11" i="11"/>
  <c r="BW11" i="11"/>
  <c r="BU11" i="11"/>
  <c r="BT11" i="11"/>
  <c r="BV11" i="11"/>
  <c r="C7" i="17"/>
  <c r="B80" i="4" s="1"/>
  <c r="B7" i="17"/>
  <c r="CS20" i="11"/>
  <c r="CB14" i="11"/>
  <c r="CA14" i="11"/>
  <c r="BZ14" i="11"/>
  <c r="BY14" i="11"/>
  <c r="CD14" i="11"/>
  <c r="N14" i="11"/>
  <c r="BU14" i="11"/>
  <c r="BT14" i="11"/>
  <c r="CC14" i="11"/>
  <c r="BX14" i="11"/>
  <c r="BW14" i="11"/>
  <c r="BV14" i="11"/>
  <c r="CE14" i="11"/>
  <c r="BY30" i="11"/>
  <c r="BX30" i="11"/>
  <c r="BU30" i="11"/>
  <c r="CB30" i="11"/>
  <c r="CA30" i="11"/>
  <c r="BT30" i="11"/>
  <c r="N30" i="11"/>
  <c r="CE30" i="11"/>
  <c r="CD30" i="11"/>
  <c r="CC30" i="11"/>
  <c r="BZ30" i="11"/>
  <c r="BV30" i="11"/>
  <c r="BW30" i="11"/>
  <c r="CS50" i="11"/>
  <c r="CM13" i="11"/>
  <c r="CQ13" i="11"/>
  <c r="CS10" i="11" s="1"/>
  <c r="CP13" i="11"/>
  <c r="CO13" i="11"/>
  <c r="CG13" i="11"/>
  <c r="CJ13" i="11"/>
  <c r="CI13" i="11"/>
  <c r="O13" i="11"/>
  <c r="CH13" i="11"/>
  <c r="CF13" i="11"/>
  <c r="CL13" i="11"/>
  <c r="CN13" i="11"/>
  <c r="CK13" i="11"/>
  <c r="CS42" i="11"/>
  <c r="CD10" i="11"/>
  <c r="CC10" i="11"/>
  <c r="N10" i="11"/>
  <c r="CB10" i="11"/>
  <c r="BU10" i="11"/>
  <c r="CE10" i="11"/>
  <c r="CA10" i="11"/>
  <c r="BZ10" i="11"/>
  <c r="BT10" i="11"/>
  <c r="BX10" i="11"/>
  <c r="BW10" i="11"/>
  <c r="BV10" i="11"/>
  <c r="BY10" i="11"/>
  <c r="CS55" i="11"/>
  <c r="CC12" i="11"/>
  <c r="N12" i="11"/>
  <c r="BW12" i="11"/>
  <c r="BV12" i="11"/>
  <c r="BU12" i="11"/>
  <c r="BY12" i="11"/>
  <c r="CE12" i="11"/>
  <c r="BT12" i="11"/>
  <c r="CD12" i="11"/>
  <c r="CB12" i="11"/>
  <c r="CA12" i="11"/>
  <c r="BZ12" i="11"/>
  <c r="BX12" i="11"/>
  <c r="C79" i="4"/>
  <c r="BW69" i="11"/>
  <c r="CD69" i="11"/>
  <c r="CC69" i="11"/>
  <c r="CB69" i="11"/>
  <c r="N69" i="11"/>
  <c r="BX69" i="11"/>
  <c r="BU69" i="11"/>
  <c r="BT69" i="11"/>
  <c r="CA69" i="11"/>
  <c r="BY69" i="11"/>
  <c r="BZ69" i="11"/>
  <c r="BV69" i="11"/>
  <c r="CE69" i="11"/>
  <c r="CM18" i="11"/>
  <c r="CL18" i="11"/>
  <c r="CK18" i="11"/>
  <c r="CJ18" i="11"/>
  <c r="CN18" i="11"/>
  <c r="CI18" i="11"/>
  <c r="CH18" i="11"/>
  <c r="CP18" i="11"/>
  <c r="CG18" i="11"/>
  <c r="CF18" i="11"/>
  <c r="CQ18" i="11"/>
  <c r="CS15" i="11" s="1"/>
  <c r="CO18" i="11"/>
  <c r="O18" i="11"/>
  <c r="B6" i="17"/>
  <c r="C6" i="17"/>
  <c r="C8" i="17"/>
  <c r="B81" i="4" s="1"/>
  <c r="B8" i="17"/>
  <c r="CM17" i="11"/>
  <c r="CL17" i="11"/>
  <c r="CK17" i="11"/>
  <c r="CJ17" i="11"/>
  <c r="CP17" i="11"/>
  <c r="CO17" i="11"/>
  <c r="CN17" i="11"/>
  <c r="O17" i="11"/>
  <c r="CQ17" i="11"/>
  <c r="CG17" i="11"/>
  <c r="CI17" i="11"/>
  <c r="CH17" i="11"/>
  <c r="CF17" i="11"/>
  <c r="CS14" i="11" s="1"/>
  <c r="CS21" i="11"/>
  <c r="F79" i="4"/>
  <c r="O52" i="13"/>
  <c r="CC6" i="11"/>
  <c r="N6" i="11"/>
  <c r="CB6" i="11"/>
  <c r="CA6" i="11"/>
  <c r="CE6" i="11"/>
  <c r="BT6" i="11"/>
  <c r="BY6" i="11"/>
  <c r="BX6" i="11"/>
  <c r="BW6" i="11"/>
  <c r="BV6" i="11"/>
  <c r="CD6" i="11"/>
  <c r="BU6" i="11"/>
  <c r="BZ6" i="11"/>
  <c r="AN10" i="14"/>
  <c r="D79" i="4"/>
  <c r="G79" i="4"/>
  <c r="CS17" i="11"/>
  <c r="BR69" i="5"/>
  <c r="BS69" i="5" s="1"/>
  <c r="BT69" i="5" s="1"/>
  <c r="BU69" i="5" s="1"/>
  <c r="BV69" i="5" s="1"/>
  <c r="BW69" i="5" s="1"/>
  <c r="BX69" i="5" s="1"/>
  <c r="BY69" i="5" s="1"/>
  <c r="BZ69" i="5" s="1"/>
  <c r="CA69" i="5" s="1"/>
  <c r="CB69" i="5" s="1"/>
  <c r="CC69" i="5" s="1"/>
  <c r="C8" i="6"/>
  <c r="C42" i="5"/>
  <c r="C9" i="5"/>
  <c r="C8" i="5" s="1"/>
  <c r="C5" i="6" s="1"/>
  <c r="O61" i="11"/>
  <c r="CI61" i="11"/>
  <c r="CP61" i="11"/>
  <c r="CJ61" i="11"/>
  <c r="CL61" i="11"/>
  <c r="CK61" i="11"/>
  <c r="CN61" i="11"/>
  <c r="CM61" i="11"/>
  <c r="CQ61" i="11"/>
  <c r="CO61" i="11"/>
  <c r="CG61" i="11"/>
  <c r="CH61" i="11"/>
  <c r="CF61" i="11"/>
  <c r="I53" i="13"/>
  <c r="I40" i="13"/>
  <c r="BZ10" i="14" s="1"/>
  <c r="BR9" i="8"/>
  <c r="BF9" i="8"/>
  <c r="AH9" i="8"/>
  <c r="V9" i="8"/>
  <c r="AT9" i="8"/>
  <c r="J9" i="8"/>
  <c r="X10" i="14"/>
  <c r="BA10" i="14"/>
  <c r="BC10" i="14"/>
  <c r="AI10" i="14"/>
  <c r="AR10" i="14"/>
  <c r="BW10" i="14"/>
  <c r="AQ10" i="14"/>
  <c r="W10" i="14"/>
  <c r="K10" i="14"/>
  <c r="BF10" i="14"/>
  <c r="BB10" i="14"/>
  <c r="BI10" i="14"/>
  <c r="D10" i="14"/>
  <c r="V10" i="14"/>
  <c r="BT10" i="14"/>
  <c r="BK10" i="14"/>
  <c r="AE10" i="14"/>
  <c r="BS10" i="14"/>
  <c r="E10" i="14"/>
  <c r="AU10" i="14"/>
  <c r="U10" i="14"/>
  <c r="AX10" i="14"/>
  <c r="Q10" i="14"/>
  <c r="B10" i="14"/>
  <c r="AW10" i="14"/>
  <c r="AY10" i="14"/>
  <c r="AZ10" i="14"/>
  <c r="AJ10" i="14"/>
  <c r="AL10" i="14"/>
  <c r="AH10" i="14"/>
  <c r="AT10" i="14"/>
  <c r="T10" i="14"/>
  <c r="AG10" i="14"/>
  <c r="BG10" i="14"/>
  <c r="R10" i="14"/>
  <c r="H10" i="14"/>
  <c r="CC8" i="11"/>
  <c r="N8" i="11"/>
  <c r="CB8" i="11"/>
  <c r="CA8" i="11"/>
  <c r="CE8" i="11"/>
  <c r="BT8" i="11"/>
  <c r="BU8" i="11"/>
  <c r="BW8" i="11"/>
  <c r="CD8" i="11"/>
  <c r="BZ8" i="11"/>
  <c r="BY8" i="11"/>
  <c r="BX8" i="11"/>
  <c r="BV8" i="11"/>
  <c r="CB15" i="11"/>
  <c r="BZ15" i="11"/>
  <c r="CA15" i="11"/>
  <c r="BY15" i="11"/>
  <c r="N15" i="11"/>
  <c r="BX15" i="11"/>
  <c r="CD15" i="11"/>
  <c r="BW15" i="11"/>
  <c r="BV15" i="11"/>
  <c r="BU15" i="11"/>
  <c r="BT15" i="11"/>
  <c r="CE15" i="11"/>
  <c r="CC15" i="11"/>
  <c r="BZ39" i="11"/>
  <c r="BY39" i="11"/>
  <c r="BX39" i="11"/>
  <c r="BW39" i="11"/>
  <c r="CB39" i="11"/>
  <c r="N39" i="11"/>
  <c r="BV39" i="11"/>
  <c r="BU39" i="11"/>
  <c r="CA39" i="11"/>
  <c r="BT39" i="11"/>
  <c r="CC39" i="11"/>
  <c r="CD39" i="11"/>
  <c r="CE39" i="11"/>
  <c r="CS82" i="11"/>
  <c r="D14" i="18"/>
  <c r="E26" i="5"/>
  <c r="CS56" i="11"/>
  <c r="CC5" i="11"/>
  <c r="N5" i="11"/>
  <c r="CB5" i="11"/>
  <c r="CA5" i="11"/>
  <c r="CE5" i="11"/>
  <c r="BT5" i="11"/>
  <c r="CD5" i="11"/>
  <c r="BZ5" i="11"/>
  <c r="BY5" i="11"/>
  <c r="BX5" i="11"/>
  <c r="BW5" i="11"/>
  <c r="BV5" i="11"/>
  <c r="BU5" i="11"/>
  <c r="CS33" i="11"/>
  <c r="H79" i="4"/>
  <c r="CN57" i="11"/>
  <c r="CO57" i="11"/>
  <c r="CI57" i="11"/>
  <c r="O57" i="11"/>
  <c r="CG57" i="11"/>
  <c r="CQ57" i="11"/>
  <c r="CP57" i="11"/>
  <c r="CF57" i="11"/>
  <c r="CL57" i="11"/>
  <c r="CM57" i="11"/>
  <c r="CK57" i="11"/>
  <c r="CH57" i="11"/>
  <c r="CJ57" i="11"/>
  <c r="AD10" i="14"/>
  <c r="CE27" i="11"/>
  <c r="CD27" i="11"/>
  <c r="CC27" i="11"/>
  <c r="CB27" i="11"/>
  <c r="BU27" i="11"/>
  <c r="N27" i="11"/>
  <c r="CA27" i="11"/>
  <c r="BZ27" i="11"/>
  <c r="BX27" i="11"/>
  <c r="BW27" i="11"/>
  <c r="BV27" i="11"/>
  <c r="BT27" i="11"/>
  <c r="BY27" i="11"/>
  <c r="CC4" i="11"/>
  <c r="N4" i="11"/>
  <c r="CB4" i="11"/>
  <c r="CA4" i="11"/>
  <c r="CE4" i="11"/>
  <c r="BT4" i="11"/>
  <c r="CD4" i="11"/>
  <c r="BZ4" i="11"/>
  <c r="BU4" i="11"/>
  <c r="BV4" i="11"/>
  <c r="BY4" i="11"/>
  <c r="BW4" i="11"/>
  <c r="BX4" i="11"/>
  <c r="BR71" i="5"/>
  <c r="BS71" i="5" s="1"/>
  <c r="BT71" i="5" s="1"/>
  <c r="BU71" i="5" s="1"/>
  <c r="BV71" i="5" s="1"/>
  <c r="BW71" i="5" s="1"/>
  <c r="BX71" i="5" s="1"/>
  <c r="BY71" i="5" s="1"/>
  <c r="BZ71" i="5" s="1"/>
  <c r="CA71" i="5" s="1"/>
  <c r="CB71" i="5" s="1"/>
  <c r="CC71" i="5" s="1"/>
  <c r="E79" i="4"/>
  <c r="AK10" i="14"/>
  <c r="CS54" i="11" l="1"/>
  <c r="F10" i="14"/>
  <c r="CC41" i="7"/>
  <c r="CA41" i="7"/>
  <c r="H60" i="4"/>
  <c r="BU41" i="7"/>
  <c r="BT41" i="7"/>
  <c r="BZ41" i="7"/>
  <c r="BY41" i="7"/>
  <c r="BW41" i="7"/>
  <c r="BV41" i="7"/>
  <c r="BS41" i="7"/>
  <c r="BR41" i="7"/>
  <c r="CB41" i="7"/>
  <c r="BX41" i="7"/>
  <c r="CC83" i="11"/>
  <c r="AH83" i="11"/>
  <c r="BM83" i="11"/>
  <c r="BX83" i="11"/>
  <c r="AP83" i="11"/>
  <c r="BP83" i="11"/>
  <c r="CJ83" i="11"/>
  <c r="BW83" i="11"/>
  <c r="BZ83" i="11"/>
  <c r="AA83" i="11"/>
  <c r="X83" i="11"/>
  <c r="BI83" i="11"/>
  <c r="AR83" i="11"/>
  <c r="BT83" i="11"/>
  <c r="BO83" i="11"/>
  <c r="CP83" i="11"/>
  <c r="CL83" i="11"/>
  <c r="S83" i="11"/>
  <c r="U83" i="11"/>
  <c r="AE83" i="11"/>
  <c r="BD83" i="11"/>
  <c r="CA83" i="11"/>
  <c r="BK83" i="11"/>
  <c r="CE83" i="11"/>
  <c r="BS83" i="11"/>
  <c r="BV83" i="11"/>
  <c r="AS83" i="11"/>
  <c r="AZ83" i="11"/>
  <c r="AX83" i="11"/>
  <c r="BH83" i="11"/>
  <c r="AD83" i="11"/>
  <c r="BU83" i="11"/>
  <c r="CN83" i="11"/>
  <c r="W83" i="11"/>
  <c r="AM83" i="11"/>
  <c r="AJ83" i="11"/>
  <c r="AO83" i="11"/>
  <c r="BQ83" i="11"/>
  <c r="AU83" i="11"/>
  <c r="BR83" i="11"/>
  <c r="CO83" i="11"/>
  <c r="Y83" i="11"/>
  <c r="V83" i="11"/>
  <c r="R83" i="11"/>
  <c r="AC83" i="11"/>
  <c r="AT83" i="11"/>
  <c r="AN83" i="11"/>
  <c r="BG83" i="11"/>
  <c r="CQ83" i="11"/>
  <c r="CM83" i="11"/>
  <c r="CG83" i="11"/>
  <c r="CD83" i="11"/>
  <c r="BE83" i="11"/>
  <c r="AG83" i="11"/>
  <c r="AV83" i="11"/>
  <c r="CB83" i="11"/>
  <c r="BY83" i="11"/>
  <c r="BJ83" i="11"/>
  <c r="BF83" i="11"/>
  <c r="AB83" i="11"/>
  <c r="AF83" i="11"/>
  <c r="AL83" i="11"/>
  <c r="CF83" i="11"/>
  <c r="CH83" i="11"/>
  <c r="AW83" i="11"/>
  <c r="AK83" i="11"/>
  <c r="BN83" i="11"/>
  <c r="BL83" i="11"/>
  <c r="AQ83" i="11"/>
  <c r="AI83" i="11"/>
  <c r="BC83" i="11"/>
  <c r="CI83" i="11"/>
  <c r="Q83" i="11"/>
  <c r="Z83" i="11"/>
  <c r="BA83" i="11"/>
  <c r="AY83" i="11"/>
  <c r="T83" i="11"/>
  <c r="BB83" i="11"/>
  <c r="CK83" i="11"/>
  <c r="B85" i="19"/>
  <c r="B86" i="19"/>
  <c r="B87" i="19"/>
  <c r="F66" i="11"/>
  <c r="F71" i="11"/>
  <c r="F51" i="11"/>
  <c r="F67" i="11"/>
  <c r="D64" i="4"/>
  <c r="G64" i="4"/>
  <c r="F64" i="4"/>
  <c r="E64" i="4"/>
  <c r="H20" i="13"/>
  <c r="H64" i="4"/>
  <c r="S6" i="3"/>
  <c r="F74" i="11"/>
  <c r="G42" i="1"/>
  <c r="CM56" i="11"/>
  <c r="AT56" i="11"/>
  <c r="BY56" i="11"/>
  <c r="AK56" i="11"/>
  <c r="BL56" i="11"/>
  <c r="CO56" i="11"/>
  <c r="BU56" i="11"/>
  <c r="CP56" i="11"/>
  <c r="CB56" i="11"/>
  <c r="AI56" i="11"/>
  <c r="BN56" i="11"/>
  <c r="Z56" i="11"/>
  <c r="AQ56" i="11"/>
  <c r="AZ56" i="11"/>
  <c r="AM56" i="11"/>
  <c r="BK56" i="11"/>
  <c r="BQ56" i="11"/>
  <c r="X56" i="11"/>
  <c r="BC56" i="11"/>
  <c r="CI56" i="11"/>
  <c r="AA56" i="11"/>
  <c r="R56" i="11"/>
  <c r="BT56" i="11"/>
  <c r="BF56" i="11"/>
  <c r="CK56" i="11"/>
  <c r="AR56" i="11"/>
  <c r="BS56" i="11"/>
  <c r="BW56" i="11"/>
  <c r="CF56" i="11"/>
  <c r="AE56" i="11"/>
  <c r="AU56" i="11"/>
  <c r="BZ56" i="11"/>
  <c r="AG56" i="11"/>
  <c r="AX56" i="11"/>
  <c r="BB56" i="11"/>
  <c r="AY56" i="11"/>
  <c r="BI56" i="11"/>
  <c r="Y56" i="11"/>
  <c r="BD56" i="11"/>
  <c r="CN56" i="11"/>
  <c r="CH56" i="11"/>
  <c r="Q56" i="11"/>
  <c r="AP56" i="11"/>
  <c r="BJ56" i="11"/>
  <c r="CL56" i="11"/>
  <c r="AS56" i="11"/>
  <c r="CC56" i="11"/>
  <c r="BM56" i="11"/>
  <c r="CQ56" i="11"/>
  <c r="CD56" i="11"/>
  <c r="BH56" i="11"/>
  <c r="CA56" i="11"/>
  <c r="AH56" i="11"/>
  <c r="BR56" i="11"/>
  <c r="AW56" i="11"/>
  <c r="BV56" i="11"/>
  <c r="AO56" i="11"/>
  <c r="AD56" i="11"/>
  <c r="BP56" i="11"/>
  <c r="W56" i="11"/>
  <c r="BG56" i="11"/>
  <c r="AB56" i="11"/>
  <c r="BA56" i="11"/>
  <c r="BX56" i="11"/>
  <c r="U56" i="11"/>
  <c r="CE56" i="11"/>
  <c r="AJ56" i="11"/>
  <c r="AN56" i="11"/>
  <c r="BE56" i="11"/>
  <c r="T56" i="11"/>
  <c r="BO56" i="11"/>
  <c r="S56" i="11"/>
  <c r="CJ56" i="11"/>
  <c r="V56" i="11"/>
  <c r="AV56" i="11"/>
  <c r="AC56" i="11"/>
  <c r="CG56" i="11"/>
  <c r="AL56" i="11"/>
  <c r="AF56" i="11"/>
  <c r="BC72" i="11"/>
  <c r="CJ72" i="11"/>
  <c r="CH72" i="11"/>
  <c r="BQ72" i="11"/>
  <c r="AT72" i="11"/>
  <c r="BJ72" i="11"/>
  <c r="CE72" i="11"/>
  <c r="BD72" i="11"/>
  <c r="BY72" i="11"/>
  <c r="CI72" i="11"/>
  <c r="AY72" i="11"/>
  <c r="AU72" i="11"/>
  <c r="BK72" i="11"/>
  <c r="AF72" i="11"/>
  <c r="AO72" i="11"/>
  <c r="AL72" i="11"/>
  <c r="CF72" i="11"/>
  <c r="CQ72" i="11"/>
  <c r="AP72" i="11"/>
  <c r="AS72" i="11"/>
  <c r="BM72" i="11"/>
  <c r="BT72" i="11"/>
  <c r="AJ72" i="11"/>
  <c r="X72" i="11"/>
  <c r="AA72" i="11"/>
  <c r="CP72" i="11"/>
  <c r="AH72" i="11"/>
  <c r="BA72" i="11"/>
  <c r="BE72" i="11"/>
  <c r="T72" i="11"/>
  <c r="BU72" i="11"/>
  <c r="CO72" i="11"/>
  <c r="CD72" i="11"/>
  <c r="W72" i="11"/>
  <c r="CN72" i="11"/>
  <c r="AC72" i="11"/>
  <c r="V72" i="11"/>
  <c r="AX72" i="11"/>
  <c r="BN72" i="11"/>
  <c r="CM72" i="11"/>
  <c r="CB72" i="11"/>
  <c r="Q72" i="11"/>
  <c r="BS72" i="11"/>
  <c r="AI72" i="11"/>
  <c r="AR72" i="11"/>
  <c r="AM72" i="11"/>
  <c r="BO72" i="11"/>
  <c r="CL72" i="11"/>
  <c r="AB72" i="11"/>
  <c r="BV72" i="11"/>
  <c r="AD72" i="11"/>
  <c r="AG72" i="11"/>
  <c r="BP72" i="11"/>
  <c r="BX72" i="11"/>
  <c r="BB72" i="11"/>
  <c r="R72" i="11"/>
  <c r="CA72" i="11"/>
  <c r="BI72" i="11"/>
  <c r="AQ72" i="11"/>
  <c r="BL72" i="11"/>
  <c r="AK72" i="11"/>
  <c r="BW72" i="11"/>
  <c r="AW72" i="11"/>
  <c r="BH72" i="11"/>
  <c r="BR72" i="11"/>
  <c r="CK72" i="11"/>
  <c r="AE72" i="11"/>
  <c r="AZ72" i="11"/>
  <c r="U72" i="11"/>
  <c r="AV72" i="11"/>
  <c r="Z72" i="11"/>
  <c r="BG72" i="11"/>
  <c r="CG72" i="11"/>
  <c r="BZ72" i="11"/>
  <c r="S72" i="11"/>
  <c r="AN72" i="11"/>
  <c r="Y72" i="11"/>
  <c r="CC72" i="11"/>
  <c r="BF72" i="11"/>
  <c r="S50" i="11"/>
  <c r="BT50" i="11"/>
  <c r="AL50" i="11"/>
  <c r="V50" i="11"/>
  <c r="AI50" i="11"/>
  <c r="BO50" i="11"/>
  <c r="Y50" i="11"/>
  <c r="CQ50" i="11"/>
  <c r="BI50" i="11"/>
  <c r="AA50" i="11"/>
  <c r="CK50" i="11"/>
  <c r="CC50" i="11"/>
  <c r="AS50" i="11"/>
  <c r="BQ50" i="11"/>
  <c r="CF50" i="11"/>
  <c r="AX50" i="11"/>
  <c r="CM50" i="11"/>
  <c r="BR50" i="11"/>
  <c r="BG50" i="11"/>
  <c r="T50" i="11"/>
  <c r="X50" i="11"/>
  <c r="BU50" i="11"/>
  <c r="AM50" i="11"/>
  <c r="BX50" i="11"/>
  <c r="BC50" i="11"/>
  <c r="AH50" i="11"/>
  <c r="AU50" i="11"/>
  <c r="BP50" i="11"/>
  <c r="BJ50" i="11"/>
  <c r="AB50" i="11"/>
  <c r="BE50" i="11"/>
  <c r="AJ50" i="11"/>
  <c r="CB50" i="11"/>
  <c r="AT50" i="11"/>
  <c r="BN50" i="11"/>
  <c r="CG50" i="11"/>
  <c r="AY50" i="11"/>
  <c r="Q50" i="11"/>
  <c r="AP50" i="11"/>
  <c r="U50" i="11"/>
  <c r="BF50" i="11"/>
  <c r="AR50" i="11"/>
  <c r="BB50" i="11"/>
  <c r="BV50" i="11"/>
  <c r="AN50" i="11"/>
  <c r="CO50" i="11"/>
  <c r="W50" i="11"/>
  <c r="CI50" i="11"/>
  <c r="AG50" i="11"/>
  <c r="CJ50" i="11"/>
  <c r="AV50" i="11"/>
  <c r="BK50" i="11"/>
  <c r="AC50" i="11"/>
  <c r="CD50" i="11"/>
  <c r="CL50" i="11"/>
  <c r="BM50" i="11"/>
  <c r="BZ50" i="11"/>
  <c r="AF50" i="11"/>
  <c r="AZ50" i="11"/>
  <c r="R50" i="11"/>
  <c r="BS50" i="11"/>
  <c r="BW50" i="11"/>
  <c r="AQ50" i="11"/>
  <c r="BA50" i="11"/>
  <c r="CA50" i="11"/>
  <c r="AO50" i="11"/>
  <c r="CP50" i="11"/>
  <c r="BH50" i="11"/>
  <c r="BD50" i="11"/>
  <c r="CH50" i="11"/>
  <c r="AE50" i="11"/>
  <c r="Z50" i="11"/>
  <c r="AD50" i="11"/>
  <c r="CE50" i="11"/>
  <c r="AW50" i="11"/>
  <c r="AK50" i="11"/>
  <c r="BL50" i="11"/>
  <c r="CN50" i="11"/>
  <c r="BY50" i="11"/>
  <c r="CB75" i="11"/>
  <c r="AD75" i="11"/>
  <c r="BL75" i="11"/>
  <c r="W75" i="11"/>
  <c r="AW75" i="11"/>
  <c r="BK75" i="11"/>
  <c r="CG75" i="11"/>
  <c r="BP75" i="11"/>
  <c r="CL75" i="11"/>
  <c r="AB75" i="11"/>
  <c r="U75" i="11"/>
  <c r="BS75" i="11"/>
  <c r="AI75" i="11"/>
  <c r="CJ75" i="11"/>
  <c r="AE75" i="11"/>
  <c r="BA75" i="11"/>
  <c r="AS75" i="11"/>
  <c r="BF75" i="11"/>
  <c r="AX75" i="11"/>
  <c r="CP75" i="11"/>
  <c r="BD75" i="11"/>
  <c r="BZ75" i="11"/>
  <c r="CD75" i="11"/>
  <c r="CQ75" i="11"/>
  <c r="AT75" i="11"/>
  <c r="AA75" i="11"/>
  <c r="AQ75" i="11"/>
  <c r="BM75" i="11"/>
  <c r="BI75" i="11"/>
  <c r="BV75" i="11"/>
  <c r="CF75" i="11"/>
  <c r="Z75" i="11"/>
  <c r="BY75" i="11"/>
  <c r="S75" i="11"/>
  <c r="AO75" i="11"/>
  <c r="X75" i="11"/>
  <c r="AK75" i="11"/>
  <c r="Y75" i="11"/>
  <c r="CO75" i="11"/>
  <c r="BN75" i="11"/>
  <c r="CM75" i="11"/>
  <c r="AC75" i="11"/>
  <c r="CC75" i="11"/>
  <c r="T75" i="11"/>
  <c r="BQ75" i="11"/>
  <c r="AY75" i="11"/>
  <c r="R75" i="11"/>
  <c r="AN75" i="11"/>
  <c r="AU75" i="11"/>
  <c r="BC75" i="11"/>
  <c r="CA75" i="11"/>
  <c r="Q75" i="11"/>
  <c r="BH75" i="11"/>
  <c r="CE75" i="11"/>
  <c r="BJ75" i="11"/>
  <c r="BR75" i="11"/>
  <c r="AR75" i="11"/>
  <c r="BO75" i="11"/>
  <c r="CK75" i="11"/>
  <c r="AM75" i="11"/>
  <c r="BU75" i="11"/>
  <c r="CI75" i="11"/>
  <c r="BE75" i="11"/>
  <c r="CN75" i="11"/>
  <c r="AL75" i="11"/>
  <c r="AF75" i="11"/>
  <c r="AG75" i="11"/>
  <c r="BB75" i="11"/>
  <c r="BX75" i="11"/>
  <c r="BW75" i="11"/>
  <c r="AV75" i="11"/>
  <c r="AH75" i="11"/>
  <c r="AJ75" i="11"/>
  <c r="BT75" i="11"/>
  <c r="V75" i="11"/>
  <c r="AP75" i="11"/>
  <c r="AZ75" i="11"/>
  <c r="BG75" i="11"/>
  <c r="CH75" i="11"/>
  <c r="AV41" i="11"/>
  <c r="BW41" i="11"/>
  <c r="F55" i="11"/>
  <c r="CD41" i="11"/>
  <c r="CN41" i="11"/>
  <c r="AN41" i="11"/>
  <c r="AL41" i="11"/>
  <c r="R41" i="11"/>
  <c r="BC41" i="11"/>
  <c r="AP41" i="11"/>
  <c r="AC41" i="11"/>
  <c r="AO41" i="11"/>
  <c r="CC41" i="11"/>
  <c r="AB41" i="11"/>
  <c r="Y41" i="11"/>
  <c r="BN41" i="11"/>
  <c r="AJ41" i="11"/>
  <c r="BQ41" i="11"/>
  <c r="CL41" i="11"/>
  <c r="BR41" i="11"/>
  <c r="CI41" i="11"/>
  <c r="CF41" i="11"/>
  <c r="AU41" i="11"/>
  <c r="U41" i="11"/>
  <c r="BE41" i="11"/>
  <c r="BG41" i="11"/>
  <c r="BK41" i="11"/>
  <c r="BP41" i="11"/>
  <c r="AF41" i="11"/>
  <c r="BZ41" i="11"/>
  <c r="CQ41" i="11"/>
  <c r="X41" i="11"/>
  <c r="AK41" i="11"/>
  <c r="AY41" i="11"/>
  <c r="BA41" i="11"/>
  <c r="Q41" i="11"/>
  <c r="AS41" i="11"/>
  <c r="BI41" i="11"/>
  <c r="CG41" i="11"/>
  <c r="Z41" i="11"/>
  <c r="AM41" i="11"/>
  <c r="AH41" i="11"/>
  <c r="CB41" i="11"/>
  <c r="T41" i="11"/>
  <c r="AI41" i="11"/>
  <c r="BD41" i="11"/>
  <c r="S41" i="11"/>
  <c r="CP41" i="11"/>
  <c r="W41" i="11"/>
  <c r="CM41" i="11"/>
  <c r="AA41" i="11"/>
  <c r="BM41" i="11"/>
  <c r="BY41" i="11"/>
  <c r="CJ41" i="11"/>
  <c r="CH41" i="11"/>
  <c r="CE41" i="11"/>
  <c r="AT41" i="11"/>
  <c r="AR41" i="11"/>
  <c r="BH41" i="11"/>
  <c r="CA41" i="11"/>
  <c r="BJ41" i="11"/>
  <c r="CK41" i="11"/>
  <c r="CO41" i="11"/>
  <c r="BX41" i="11"/>
  <c r="BV41" i="11"/>
  <c r="BO41" i="11"/>
  <c r="AE41" i="11"/>
  <c r="BU41" i="11"/>
  <c r="AD41" i="11"/>
  <c r="BB41" i="11"/>
  <c r="BL41" i="11"/>
  <c r="AW41" i="11"/>
  <c r="AQ41" i="11"/>
  <c r="V41" i="11"/>
  <c r="AZ41" i="11"/>
  <c r="AX41" i="11"/>
  <c r="AG41" i="11"/>
  <c r="BS41" i="11"/>
  <c r="BT41" i="11"/>
  <c r="BF41" i="11"/>
  <c r="BL65" i="11"/>
  <c r="BY65" i="11"/>
  <c r="CI65" i="11"/>
  <c r="Z65" i="11"/>
  <c r="BH65" i="11"/>
  <c r="CE65" i="11"/>
  <c r="BQ65" i="11"/>
  <c r="BZ65" i="11"/>
  <c r="AB65" i="11"/>
  <c r="AK65" i="11"/>
  <c r="AV65" i="11"/>
  <c r="AD65" i="11"/>
  <c r="BG65" i="11"/>
  <c r="AF65" i="11"/>
  <c r="S65" i="11"/>
  <c r="AS65" i="11"/>
  <c r="BM65" i="11"/>
  <c r="BW65" i="11"/>
  <c r="CO65" i="11"/>
  <c r="AC65" i="11"/>
  <c r="AT65" i="11"/>
  <c r="BR65" i="11"/>
  <c r="AH65" i="11"/>
  <c r="AY65" i="11"/>
  <c r="BJ65" i="11"/>
  <c r="CB65" i="11"/>
  <c r="BT65" i="11"/>
  <c r="CP65" i="11"/>
  <c r="T65" i="11"/>
  <c r="CJ65" i="11"/>
  <c r="Y65" i="11"/>
  <c r="AJ65" i="11"/>
  <c r="BA65" i="11"/>
  <c r="AA65" i="11"/>
  <c r="CH65" i="11"/>
  <c r="Q65" i="11"/>
  <c r="CA65" i="11"/>
  <c r="AI65" i="11"/>
  <c r="CF65" i="11"/>
  <c r="BP65" i="11"/>
  <c r="AL65" i="11"/>
  <c r="U65" i="11"/>
  <c r="AG65" i="11"/>
  <c r="BE65" i="11"/>
  <c r="CM65" i="11"/>
  <c r="BN65" i="11"/>
  <c r="CQ65" i="11"/>
  <c r="CK65" i="11"/>
  <c r="BK65" i="11"/>
  <c r="AM65" i="11"/>
  <c r="AR65" i="11"/>
  <c r="BO65" i="11"/>
  <c r="AX65" i="11"/>
  <c r="CC65" i="11"/>
  <c r="AQ65" i="11"/>
  <c r="BD65" i="11"/>
  <c r="X65" i="11"/>
  <c r="BC65" i="11"/>
  <c r="AP65" i="11"/>
  <c r="W65" i="11"/>
  <c r="CL65" i="11"/>
  <c r="BU65" i="11"/>
  <c r="CD65" i="11"/>
  <c r="BX65" i="11"/>
  <c r="AW65" i="11"/>
  <c r="BB65" i="11"/>
  <c r="BS65" i="11"/>
  <c r="AZ65" i="11"/>
  <c r="V65" i="11"/>
  <c r="AU65" i="11"/>
  <c r="AE65" i="11"/>
  <c r="BV65" i="11"/>
  <c r="CG65" i="11"/>
  <c r="BF65" i="11"/>
  <c r="AN65" i="11"/>
  <c r="CN65" i="11"/>
  <c r="BI65" i="11"/>
  <c r="AO65" i="11"/>
  <c r="R65" i="11"/>
  <c r="CB42" i="11"/>
  <c r="AI42" i="11"/>
  <c r="AZ42" i="11"/>
  <c r="AW42" i="11"/>
  <c r="BJ42" i="11"/>
  <c r="BX42" i="11"/>
  <c r="AF42" i="11"/>
  <c r="BQ42" i="11"/>
  <c r="X42" i="11"/>
  <c r="AM42" i="11"/>
  <c r="AE42" i="11"/>
  <c r="AR42" i="11"/>
  <c r="AQ42" i="11"/>
  <c r="BH42" i="11"/>
  <c r="BF42" i="11"/>
  <c r="CP42" i="11"/>
  <c r="Z42" i="11"/>
  <c r="CG42" i="11"/>
  <c r="AB42" i="11"/>
  <c r="BW42" i="11"/>
  <c r="V42" i="11"/>
  <c r="AU42" i="11"/>
  <c r="CC42" i="11"/>
  <c r="CN42" i="11"/>
  <c r="BO42" i="11"/>
  <c r="CJ42" i="11"/>
  <c r="AP42" i="11"/>
  <c r="CQ42" i="11"/>
  <c r="AJ42" i="11"/>
  <c r="BN42" i="11"/>
  <c r="BY42" i="11"/>
  <c r="AV42" i="11"/>
  <c r="BT42" i="11"/>
  <c r="BV42" i="11"/>
  <c r="BG42" i="11"/>
  <c r="Y42" i="11"/>
  <c r="BA42" i="11"/>
  <c r="BL42" i="11"/>
  <c r="AD42" i="11"/>
  <c r="BB42" i="11"/>
  <c r="AO42" i="11"/>
  <c r="U42" i="11"/>
  <c r="CA42" i="11"/>
  <c r="AA42" i="11"/>
  <c r="AL42" i="11"/>
  <c r="BK42" i="11"/>
  <c r="Q42" i="11"/>
  <c r="AK42" i="11"/>
  <c r="BD42" i="11"/>
  <c r="BP42" i="11"/>
  <c r="CO42" i="11"/>
  <c r="W42" i="11"/>
  <c r="AS42" i="11"/>
  <c r="CD42" i="11"/>
  <c r="BS42" i="11"/>
  <c r="T42" i="11"/>
  <c r="BE42" i="11"/>
  <c r="BZ42" i="11"/>
  <c r="CH42" i="11"/>
  <c r="AC42" i="11"/>
  <c r="AX42" i="11"/>
  <c r="AH42" i="11"/>
  <c r="CI42" i="11"/>
  <c r="CM42" i="11"/>
  <c r="AT42" i="11"/>
  <c r="BM42" i="11"/>
  <c r="BR42" i="11"/>
  <c r="CE42" i="11"/>
  <c r="R42" i="11"/>
  <c r="BI42" i="11"/>
  <c r="BC42" i="11"/>
  <c r="CL42" i="11"/>
  <c r="AN42" i="11"/>
  <c r="AY42" i="11"/>
  <c r="CF42" i="11"/>
  <c r="AG42" i="11"/>
  <c r="BU42" i="11"/>
  <c r="CK42" i="11"/>
  <c r="S42" i="11"/>
  <c r="CS58" i="11"/>
  <c r="CS44" i="11"/>
  <c r="AW40" i="11"/>
  <c r="CA40" i="11"/>
  <c r="AD40" i="11"/>
  <c r="W40" i="11"/>
  <c r="CQ40" i="11"/>
  <c r="BQ40" i="11"/>
  <c r="CG40" i="11"/>
  <c r="AA40" i="11"/>
  <c r="BC40" i="11"/>
  <c r="CK40" i="11"/>
  <c r="BT40" i="11"/>
  <c r="BI40" i="11"/>
  <c r="BM40" i="11"/>
  <c r="AB40" i="11"/>
  <c r="AL40" i="11"/>
  <c r="BO40" i="11"/>
  <c r="R40" i="11"/>
  <c r="CI40" i="11"/>
  <c r="BX40" i="11"/>
  <c r="AO40" i="11"/>
  <c r="BG40" i="11"/>
  <c r="CN40" i="11"/>
  <c r="CB40" i="11"/>
  <c r="AE40" i="11"/>
  <c r="BF40" i="11"/>
  <c r="Z40" i="11"/>
  <c r="BL40" i="11"/>
  <c r="AY40" i="11"/>
  <c r="BP40" i="11"/>
  <c r="S40" i="11"/>
  <c r="AN40" i="11"/>
  <c r="V40" i="11"/>
  <c r="CC40" i="11"/>
  <c r="AH40" i="11"/>
  <c r="Y40" i="11"/>
  <c r="BD40" i="11"/>
  <c r="CL40" i="11"/>
  <c r="X40" i="11"/>
  <c r="CH40" i="11"/>
  <c r="AV40" i="11"/>
  <c r="BK40" i="11"/>
  <c r="CE40" i="11"/>
  <c r="CO40" i="11"/>
  <c r="AR40" i="11"/>
  <c r="BZ40" i="11"/>
  <c r="CJ40" i="11"/>
  <c r="BR40" i="11"/>
  <c r="BY40" i="11"/>
  <c r="AG40" i="11"/>
  <c r="AX40" i="11"/>
  <c r="BS40" i="11"/>
  <c r="T40" i="11"/>
  <c r="BB40" i="11"/>
  <c r="AJ40" i="11"/>
  <c r="BW40" i="11"/>
  <c r="BJ40" i="11"/>
  <c r="BH40" i="11"/>
  <c r="AM40" i="11"/>
  <c r="AC40" i="11"/>
  <c r="AQ40" i="11"/>
  <c r="AS40" i="11"/>
  <c r="CF40" i="11"/>
  <c r="CD40" i="11"/>
  <c r="AF40" i="11"/>
  <c r="BN40" i="11"/>
  <c r="BU40" i="11"/>
  <c r="AZ40" i="11"/>
  <c r="AU40" i="11"/>
  <c r="CP40" i="11"/>
  <c r="Q40" i="11"/>
  <c r="AP40" i="11"/>
  <c r="U40" i="11"/>
  <c r="AT40" i="11"/>
  <c r="BV40" i="11"/>
  <c r="AI40" i="11"/>
  <c r="AK40" i="11"/>
  <c r="BE40" i="11"/>
  <c r="CM40" i="11"/>
  <c r="BA40" i="11"/>
  <c r="AW41" i="7"/>
  <c r="AV41" i="7"/>
  <c r="BB41" i="7"/>
  <c r="BD41" i="7"/>
  <c r="BA41" i="7"/>
  <c r="AZ41" i="7"/>
  <c r="AY41" i="7"/>
  <c r="AT41" i="7"/>
  <c r="F60" i="4"/>
  <c r="BE41" i="7"/>
  <c r="AX41" i="7"/>
  <c r="AU41" i="7"/>
  <c r="BC41" i="7"/>
  <c r="S10" i="14"/>
  <c r="AC10" i="14"/>
  <c r="AO10" i="14"/>
  <c r="Y10" i="14"/>
  <c r="CO52" i="11"/>
  <c r="AV52" i="11"/>
  <c r="BP52" i="11"/>
  <c r="AY52" i="11"/>
  <c r="V52" i="11"/>
  <c r="U52" i="11"/>
  <c r="AT52" i="11"/>
  <c r="CD52" i="11"/>
  <c r="AK52" i="11"/>
  <c r="BA52" i="11"/>
  <c r="AF52" i="11"/>
  <c r="BK52" i="11"/>
  <c r="CA52" i="11"/>
  <c r="AQ52" i="11"/>
  <c r="BS52" i="11"/>
  <c r="Z52" i="11"/>
  <c r="AH52" i="11"/>
  <c r="CQ52" i="11"/>
  <c r="AD52" i="11"/>
  <c r="BZ52" i="11"/>
  <c r="AN52" i="11"/>
  <c r="CP52" i="11"/>
  <c r="BH52" i="11"/>
  <c r="CM52" i="11"/>
  <c r="S52" i="11"/>
  <c r="BX52" i="11"/>
  <c r="CK52" i="11"/>
  <c r="AS52" i="11"/>
  <c r="AE52" i="11"/>
  <c r="CE52" i="11"/>
  <c r="AW52" i="11"/>
  <c r="CB52" i="11"/>
  <c r="CH52" i="11"/>
  <c r="BE52" i="11"/>
  <c r="BJ52" i="11"/>
  <c r="BY52" i="11"/>
  <c r="T52" i="11"/>
  <c r="BT52" i="11"/>
  <c r="AL52" i="11"/>
  <c r="BQ52" i="11"/>
  <c r="BO52" i="11"/>
  <c r="AP52" i="11"/>
  <c r="AC52" i="11"/>
  <c r="AR52" i="11"/>
  <c r="BI52" i="11"/>
  <c r="AA52" i="11"/>
  <c r="BF52" i="11"/>
  <c r="AZ52" i="11"/>
  <c r="W52" i="11"/>
  <c r="CJ52" i="11"/>
  <c r="BM52" i="11"/>
  <c r="AX52" i="11"/>
  <c r="CN52" i="11"/>
  <c r="AU52" i="11"/>
  <c r="AG52" i="11"/>
  <c r="CL52" i="11"/>
  <c r="BC52" i="11"/>
  <c r="AI52" i="11"/>
  <c r="AM52" i="11"/>
  <c r="CC52" i="11"/>
  <c r="AJ52" i="11"/>
  <c r="R52" i="11"/>
  <c r="BW52" i="11"/>
  <c r="X52" i="11"/>
  <c r="BV52" i="11"/>
  <c r="AB52" i="11"/>
  <c r="BR52" i="11"/>
  <c r="Y52" i="11"/>
  <c r="CG52" i="11"/>
  <c r="BD52" i="11"/>
  <c r="CF52" i="11"/>
  <c r="BU52" i="11"/>
  <c r="Q52" i="11"/>
  <c r="BG52" i="11"/>
  <c r="CI52" i="11"/>
  <c r="BN52" i="11"/>
  <c r="AO52" i="11"/>
  <c r="BB52" i="11"/>
  <c r="BL52" i="11"/>
  <c r="BS70" i="11"/>
  <c r="BQ70" i="11"/>
  <c r="T70" i="11"/>
  <c r="AQ70" i="11"/>
  <c r="AN70" i="11"/>
  <c r="AH70" i="11"/>
  <c r="BA70" i="11"/>
  <c r="CH70" i="11"/>
  <c r="AI70" i="11"/>
  <c r="AG70" i="11"/>
  <c r="AW70" i="11"/>
  <c r="BJ70" i="11"/>
  <c r="BW70" i="11"/>
  <c r="BZ70" i="11"/>
  <c r="S70" i="11"/>
  <c r="CQ70" i="11"/>
  <c r="AR70" i="11"/>
  <c r="CG70" i="11"/>
  <c r="AE70" i="11"/>
  <c r="BB70" i="11"/>
  <c r="BH70" i="11"/>
  <c r="AO70" i="11"/>
  <c r="BE70" i="11"/>
  <c r="CI70" i="11"/>
  <c r="AX70" i="11"/>
  <c r="Y70" i="11"/>
  <c r="AD70" i="11"/>
  <c r="AS70" i="11"/>
  <c r="BM70" i="11"/>
  <c r="BY70" i="11"/>
  <c r="R70" i="11"/>
  <c r="CF70" i="11"/>
  <c r="U70" i="11"/>
  <c r="AV70" i="11"/>
  <c r="BX70" i="11"/>
  <c r="BU70" i="11"/>
  <c r="BG70" i="11"/>
  <c r="CP70" i="11"/>
  <c r="AB70" i="11"/>
  <c r="AM70" i="11"/>
  <c r="Q70" i="11"/>
  <c r="AU70" i="11"/>
  <c r="CC70" i="11"/>
  <c r="BL70" i="11"/>
  <c r="AL70" i="11"/>
  <c r="BT70" i="11"/>
  <c r="W70" i="11"/>
  <c r="BP70" i="11"/>
  <c r="AA70" i="11"/>
  <c r="CO70" i="11"/>
  <c r="BI70" i="11"/>
  <c r="CL70" i="11"/>
  <c r="CE70" i="11"/>
  <c r="BD70" i="11"/>
  <c r="CB70" i="11"/>
  <c r="BC70" i="11"/>
  <c r="AK70" i="11"/>
  <c r="CA70" i="11"/>
  <c r="BR70" i="11"/>
  <c r="AF70" i="11"/>
  <c r="AP70" i="11"/>
  <c r="X70" i="11"/>
  <c r="AY70" i="11"/>
  <c r="BV70" i="11"/>
  <c r="BF70" i="11"/>
  <c r="CJ70" i="11"/>
  <c r="Z70" i="11"/>
  <c r="CN70" i="11"/>
  <c r="AJ70" i="11"/>
  <c r="BK70" i="11"/>
  <c r="AT70" i="11"/>
  <c r="BN70" i="11"/>
  <c r="CK70" i="11"/>
  <c r="V70" i="11"/>
  <c r="AZ70" i="11"/>
  <c r="CD70" i="11"/>
  <c r="AC70" i="11"/>
  <c r="BO70" i="11"/>
  <c r="CM70" i="11"/>
  <c r="AK41" i="7"/>
  <c r="AI41" i="7"/>
  <c r="E60" i="4"/>
  <c r="AS41" i="7"/>
  <c r="AR41" i="7"/>
  <c r="AQ41" i="7"/>
  <c r="AM41" i="7"/>
  <c r="AL41" i="7"/>
  <c r="AJ41" i="7"/>
  <c r="AP41" i="7"/>
  <c r="AO41" i="7"/>
  <c r="AN41" i="7"/>
  <c r="AW64" i="11"/>
  <c r="BK64" i="11"/>
  <c r="BU64" i="11"/>
  <c r="Q64" i="11"/>
  <c r="CE64" i="11"/>
  <c r="T64" i="11"/>
  <c r="BP64" i="11"/>
  <c r="AL64" i="11"/>
  <c r="AY64" i="11"/>
  <c r="BI64" i="11"/>
  <c r="BZ64" i="11"/>
  <c r="BG64" i="11"/>
  <c r="CO64" i="11"/>
  <c r="W64" i="11"/>
  <c r="AA64" i="11"/>
  <c r="AM64" i="11"/>
  <c r="AV64" i="11"/>
  <c r="BC64" i="11"/>
  <c r="AP64" i="11"/>
  <c r="BD64" i="11"/>
  <c r="CA64" i="11"/>
  <c r="CJ64" i="11"/>
  <c r="Z64" i="11"/>
  <c r="AJ64" i="11"/>
  <c r="AF64" i="11"/>
  <c r="S64" i="11"/>
  <c r="CN64" i="11"/>
  <c r="BQ64" i="11"/>
  <c r="BX64" i="11"/>
  <c r="CH64" i="11"/>
  <c r="X64" i="11"/>
  <c r="BT64" i="11"/>
  <c r="CC64" i="11"/>
  <c r="AT64" i="11"/>
  <c r="BO64" i="11"/>
  <c r="BL64" i="11"/>
  <c r="BV64" i="11"/>
  <c r="CK64" i="11"/>
  <c r="BB64" i="11"/>
  <c r="BF64" i="11"/>
  <c r="CM64" i="11"/>
  <c r="AH64" i="11"/>
  <c r="CL64" i="11"/>
  <c r="AZ64" i="11"/>
  <c r="BJ64" i="11"/>
  <c r="BY64" i="11"/>
  <c r="AE64" i="11"/>
  <c r="AI64" i="11"/>
  <c r="AS64" i="11"/>
  <c r="AG64" i="11"/>
  <c r="CP64" i="11"/>
  <c r="AN64" i="11"/>
  <c r="AX64" i="11"/>
  <c r="BM64" i="11"/>
  <c r="CQ64" i="11"/>
  <c r="R64" i="11"/>
  <c r="CF64" i="11"/>
  <c r="V64" i="11"/>
  <c r="CD64" i="11"/>
  <c r="AB64" i="11"/>
  <c r="AK64" i="11"/>
  <c r="BA64" i="11"/>
  <c r="BR64" i="11"/>
  <c r="BN64" i="11"/>
  <c r="AR64" i="11"/>
  <c r="BS64" i="11"/>
  <c r="CI64" i="11"/>
  <c r="Y64" i="11"/>
  <c r="AO64" i="11"/>
  <c r="AU64" i="11"/>
  <c r="U64" i="11"/>
  <c r="CB64" i="11"/>
  <c r="BH64" i="11"/>
  <c r="BW64" i="11"/>
  <c r="CG64" i="11"/>
  <c r="AC64" i="11"/>
  <c r="AD64" i="11"/>
  <c r="BE64" i="11"/>
  <c r="AQ64" i="11"/>
  <c r="BF41" i="7"/>
  <c r="BI41" i="7"/>
  <c r="BK41" i="7"/>
  <c r="BG41" i="7"/>
  <c r="BM41" i="7"/>
  <c r="BH41" i="7"/>
  <c r="BQ41" i="7"/>
  <c r="BP41" i="7"/>
  <c r="BJ41" i="7"/>
  <c r="BO41" i="7"/>
  <c r="BN41" i="7"/>
  <c r="BL41" i="7"/>
  <c r="H54" i="13"/>
  <c r="CI69" i="11"/>
  <c r="CF69" i="11"/>
  <c r="CH69" i="11"/>
  <c r="CJ69" i="11"/>
  <c r="CP69" i="11"/>
  <c r="CK69" i="11"/>
  <c r="O69" i="11"/>
  <c r="CO69" i="11"/>
  <c r="CL69" i="11"/>
  <c r="CN69" i="11"/>
  <c r="CM69" i="11"/>
  <c r="CG69" i="11"/>
  <c r="CQ69" i="11"/>
  <c r="CN7" i="11"/>
  <c r="CM7" i="11"/>
  <c r="CL7" i="11"/>
  <c r="CP7" i="11"/>
  <c r="CO7" i="11"/>
  <c r="CK7" i="11"/>
  <c r="CJ7" i="11"/>
  <c r="CI7" i="11"/>
  <c r="O7" i="11"/>
  <c r="CQ7" i="11"/>
  <c r="CH7" i="11"/>
  <c r="CG7" i="11"/>
  <c r="CF7" i="11"/>
  <c r="BP10" i="14"/>
  <c r="CM15" i="11"/>
  <c r="CK15" i="11"/>
  <c r="CO15" i="11"/>
  <c r="O15" i="11"/>
  <c r="CN15" i="11"/>
  <c r="CL15" i="11"/>
  <c r="CQ15" i="11"/>
  <c r="CS12" i="11" s="1"/>
  <c r="CP15" i="11"/>
  <c r="CJ15" i="11"/>
  <c r="CI15" i="11"/>
  <c r="CH15" i="11"/>
  <c r="CG15" i="11"/>
  <c r="CF15" i="11"/>
  <c r="E13" i="18"/>
  <c r="F25" i="5"/>
  <c r="CL30" i="11"/>
  <c r="CK30" i="11"/>
  <c r="CJ30" i="11"/>
  <c r="CO30" i="11"/>
  <c r="O30" i="11"/>
  <c r="CQ30" i="11"/>
  <c r="CP30" i="11"/>
  <c r="CN30" i="11"/>
  <c r="CI30" i="11"/>
  <c r="CF30" i="11"/>
  <c r="CH30" i="11"/>
  <c r="CG30" i="11"/>
  <c r="CM30" i="11"/>
  <c r="CN4" i="11"/>
  <c r="CM4" i="11"/>
  <c r="CL4" i="11"/>
  <c r="CP4" i="11"/>
  <c r="CG4" i="11"/>
  <c r="CF4" i="11"/>
  <c r="O4" i="11"/>
  <c r="CI4" i="11"/>
  <c r="CQ4" i="11"/>
  <c r="CO4" i="11"/>
  <c r="CK4" i="11"/>
  <c r="CJ4" i="11"/>
  <c r="CH4" i="11"/>
  <c r="CN9" i="11"/>
  <c r="CM9" i="11"/>
  <c r="CL9" i="11"/>
  <c r="CP9" i="11"/>
  <c r="CH9" i="11"/>
  <c r="CG9" i="11"/>
  <c r="CF9" i="11"/>
  <c r="O9" i="11"/>
  <c r="CJ9" i="11"/>
  <c r="CQ9" i="11"/>
  <c r="CO9" i="11"/>
  <c r="CK9" i="11"/>
  <c r="CI9" i="11"/>
  <c r="CM14" i="11"/>
  <c r="CN14" i="11"/>
  <c r="CL14" i="11"/>
  <c r="CK14" i="11"/>
  <c r="CP14" i="11"/>
  <c r="CI14" i="11"/>
  <c r="CH14" i="11"/>
  <c r="O14" i="11"/>
  <c r="CG14" i="11"/>
  <c r="CF14" i="11"/>
  <c r="CS11" i="11" s="1"/>
  <c r="CO14" i="11"/>
  <c r="CQ14" i="11"/>
  <c r="CJ14" i="11"/>
  <c r="E14" i="18"/>
  <c r="F26" i="5"/>
  <c r="Z10" i="14"/>
  <c r="BH10" i="14"/>
  <c r="BX10" i="14"/>
  <c r="BD10" i="14"/>
  <c r="AM10" i="14"/>
  <c r="BO10" i="14"/>
  <c r="BN10" i="14"/>
  <c r="O10" i="14"/>
  <c r="BR10" i="14"/>
  <c r="BE10" i="14"/>
  <c r="L10" i="14"/>
  <c r="BY10" i="14"/>
  <c r="I10" i="14"/>
  <c r="BJ10" i="14"/>
  <c r="CB10" i="14"/>
  <c r="N10" i="14"/>
  <c r="BU10" i="14"/>
  <c r="BL10" i="14"/>
  <c r="AS10" i="14"/>
  <c r="CA10" i="14"/>
  <c r="AA10" i="14"/>
  <c r="AB10" i="14"/>
  <c r="AV10" i="14"/>
  <c r="BQ10" i="14"/>
  <c r="M10" i="14"/>
  <c r="AP10" i="14"/>
  <c r="BV10" i="14"/>
  <c r="BM10" i="14"/>
  <c r="AF10" i="14"/>
  <c r="CS65" i="11"/>
  <c r="CQ27" i="11"/>
  <c r="CP27" i="11"/>
  <c r="CO27" i="11"/>
  <c r="CN27" i="11"/>
  <c r="CG27" i="11"/>
  <c r="CK27" i="11"/>
  <c r="CI27" i="11"/>
  <c r="CH27" i="11"/>
  <c r="O27" i="11"/>
  <c r="CF27" i="11"/>
  <c r="CM27" i="11"/>
  <c r="CL27" i="11"/>
  <c r="CJ27" i="11"/>
  <c r="CN5" i="11"/>
  <c r="CM5" i="11"/>
  <c r="CL5" i="11"/>
  <c r="CP5" i="11"/>
  <c r="CQ5" i="11"/>
  <c r="CG5" i="11"/>
  <c r="CO5" i="11"/>
  <c r="CK5" i="11"/>
  <c r="CJ5" i="11"/>
  <c r="O5" i="11"/>
  <c r="CH5" i="11"/>
  <c r="CI5" i="11"/>
  <c r="CF5" i="11"/>
  <c r="CN8" i="11"/>
  <c r="CM8" i="11"/>
  <c r="CL8" i="11"/>
  <c r="CP8" i="11"/>
  <c r="CJ8" i="11"/>
  <c r="CI8" i="11"/>
  <c r="CH8" i="11"/>
  <c r="CG8" i="11"/>
  <c r="CO8" i="11"/>
  <c r="CK8" i="11"/>
  <c r="CF8" i="11"/>
  <c r="CQ8" i="11"/>
  <c r="O8" i="11"/>
  <c r="CN6" i="11"/>
  <c r="CM6" i="11"/>
  <c r="CL6" i="11"/>
  <c r="CP6" i="11"/>
  <c r="CQ6" i="11"/>
  <c r="CO6" i="11"/>
  <c r="CK6" i="11"/>
  <c r="O6" i="11"/>
  <c r="CI6" i="11"/>
  <c r="CJ6" i="11"/>
  <c r="CH6" i="11"/>
  <c r="CG6" i="11"/>
  <c r="CF6" i="11"/>
  <c r="O53" i="13"/>
  <c r="O39" i="11"/>
  <c r="CN39" i="11"/>
  <c r="CM39" i="11"/>
  <c r="CL39" i="11"/>
  <c r="CK39" i="11"/>
  <c r="CJ39" i="11"/>
  <c r="CI39" i="11"/>
  <c r="CH39" i="11"/>
  <c r="CG39" i="11"/>
  <c r="CQ39" i="11"/>
  <c r="CP39" i="11"/>
  <c r="CF39" i="11"/>
  <c r="CO39" i="11"/>
  <c r="G10" i="14"/>
  <c r="P10" i="14"/>
  <c r="J10" i="14"/>
  <c r="C10" i="14"/>
  <c r="B79" i="4"/>
  <c r="CN11" i="11"/>
  <c r="CL11" i="11"/>
  <c r="CK11" i="11"/>
  <c r="CJ11" i="11"/>
  <c r="O11" i="11"/>
  <c r="CO11" i="11"/>
  <c r="CG11" i="11"/>
  <c r="CF11" i="11"/>
  <c r="CI11" i="11"/>
  <c r="CM11" i="11"/>
  <c r="CH11" i="11"/>
  <c r="CP11" i="11"/>
  <c r="CQ11" i="11"/>
  <c r="E12" i="18"/>
  <c r="E45" i="5"/>
  <c r="E10" i="6" s="1"/>
  <c r="F24" i="5"/>
  <c r="G29" i="18"/>
  <c r="B12" i="17"/>
  <c r="CN12" i="11"/>
  <c r="CI12" i="11"/>
  <c r="CH12" i="11"/>
  <c r="CG12" i="11"/>
  <c r="CK12" i="11"/>
  <c r="CL12" i="11"/>
  <c r="O12" i="11"/>
  <c r="CJ12" i="11"/>
  <c r="CF12" i="11"/>
  <c r="CO12" i="11"/>
  <c r="CQ12" i="11"/>
  <c r="CP12" i="11"/>
  <c r="CM12" i="11"/>
  <c r="CN10" i="11"/>
  <c r="CP10" i="11"/>
  <c r="O10" i="11"/>
  <c r="CO10" i="11"/>
  <c r="CM10" i="11"/>
  <c r="CF10" i="11"/>
  <c r="CG10" i="11"/>
  <c r="CI10" i="11"/>
  <c r="CQ10" i="11"/>
  <c r="CL10" i="11"/>
  <c r="CJ10" i="11"/>
  <c r="CH10" i="11"/>
  <c r="CK10" i="11"/>
  <c r="CS38" i="11" l="1"/>
  <c r="Z55" i="11"/>
  <c r="BE55" i="11"/>
  <c r="CO55" i="11"/>
  <c r="CO94" i="11" s="1"/>
  <c r="BW55" i="11"/>
  <c r="AD55" i="11"/>
  <c r="BB55" i="11"/>
  <c r="R55" i="11"/>
  <c r="CM55" i="11"/>
  <c r="CM94" i="11" s="1"/>
  <c r="AT55" i="11"/>
  <c r="CD55" i="11"/>
  <c r="BC55" i="11"/>
  <c r="BT55" i="11"/>
  <c r="AB55" i="11"/>
  <c r="Q55" i="11"/>
  <c r="CB55" i="11"/>
  <c r="AI55" i="11"/>
  <c r="BS55" i="11"/>
  <c r="AN55" i="11"/>
  <c r="AL55" i="11"/>
  <c r="CJ55" i="11"/>
  <c r="CJ94" i="11" s="1"/>
  <c r="CF55" i="11"/>
  <c r="CF94" i="11" s="1"/>
  <c r="BQ55" i="11"/>
  <c r="X55" i="11"/>
  <c r="BY55" i="11"/>
  <c r="U55" i="11"/>
  <c r="BN55" i="11"/>
  <c r="BA55" i="11"/>
  <c r="CE55" i="11"/>
  <c r="AK55" i="11"/>
  <c r="BP55" i="11"/>
  <c r="W55" i="11"/>
  <c r="V55" i="11"/>
  <c r="AW55" i="11"/>
  <c r="CP55" i="11"/>
  <c r="CP94" i="11" s="1"/>
  <c r="AM55" i="11"/>
  <c r="CC55" i="11"/>
  <c r="BZ55" i="11"/>
  <c r="CH55" i="11"/>
  <c r="CH94" i="11" s="1"/>
  <c r="AC55" i="11"/>
  <c r="BR55" i="11"/>
  <c r="BO55" i="11"/>
  <c r="BM55" i="11"/>
  <c r="T55" i="11"/>
  <c r="AS55" i="11"/>
  <c r="AH55" i="11"/>
  <c r="CG55" i="11"/>
  <c r="CG94" i="11" s="1"/>
  <c r="S55" i="11"/>
  <c r="Y55" i="11"/>
  <c r="AA55" i="11"/>
  <c r="BK55" i="11"/>
  <c r="BU55" i="11"/>
  <c r="BG55" i="11"/>
  <c r="BD55" i="11"/>
  <c r="AX55" i="11"/>
  <c r="CI55" i="11"/>
  <c r="CI94" i="11" s="1"/>
  <c r="AV55" i="11"/>
  <c r="AE55" i="11"/>
  <c r="AZ55" i="11"/>
  <c r="CL55" i="11"/>
  <c r="CL94" i="11" s="1"/>
  <c r="AY55" i="11"/>
  <c r="BF55" i="11"/>
  <c r="AU55" i="11"/>
  <c r="BI55" i="11"/>
  <c r="BL55" i="11"/>
  <c r="BV55" i="11"/>
  <c r="AF55" i="11"/>
  <c r="AJ55" i="11"/>
  <c r="AP55" i="11"/>
  <c r="AG55" i="11"/>
  <c r="AQ55" i="11"/>
  <c r="AO55" i="11"/>
  <c r="BX55" i="11"/>
  <c r="CA55" i="11"/>
  <c r="BH55" i="11"/>
  <c r="CQ55" i="11"/>
  <c r="CQ94" i="11" s="1"/>
  <c r="AR55" i="11"/>
  <c r="CN55" i="11"/>
  <c r="CN94" i="11" s="1"/>
  <c r="CK55" i="11"/>
  <c r="CK94" i="11" s="1"/>
  <c r="BJ55" i="11"/>
  <c r="AD95" i="11"/>
  <c r="P43" i="7" s="1"/>
  <c r="BW95" i="11"/>
  <c r="AV95" i="11"/>
  <c r="U95" i="11"/>
  <c r="BJ95" i="11"/>
  <c r="BR95" i="11"/>
  <c r="Y95" i="11"/>
  <c r="K43" i="7" s="1"/>
  <c r="B111" i="19"/>
  <c r="B110" i="19"/>
  <c r="B109" i="19"/>
  <c r="H21" i="13"/>
  <c r="F84" i="11"/>
  <c r="F82" i="11"/>
  <c r="F79" i="11"/>
  <c r="F37" i="11"/>
  <c r="H65" i="4"/>
  <c r="G65" i="4"/>
  <c r="E65" i="4"/>
  <c r="S7" i="3"/>
  <c r="F65" i="4"/>
  <c r="D65" i="4"/>
  <c r="AI71" i="11"/>
  <c r="V71" i="11"/>
  <c r="AW71" i="11"/>
  <c r="BH71" i="11"/>
  <c r="Q71" i="11"/>
  <c r="BR71" i="11"/>
  <c r="BT71" i="11"/>
  <c r="X71" i="11"/>
  <c r="CP71" i="11"/>
  <c r="AJ71" i="11"/>
  <c r="AS71" i="11"/>
  <c r="CF71" i="11"/>
  <c r="AC71" i="11"/>
  <c r="BB71" i="11"/>
  <c r="AY71" i="11"/>
  <c r="CG71" i="11"/>
  <c r="CD71" i="11"/>
  <c r="U71" i="11"/>
  <c r="AF71" i="11"/>
  <c r="BD71" i="11"/>
  <c r="BQ71" i="11"/>
  <c r="BA71" i="11"/>
  <c r="BU71" i="11"/>
  <c r="BZ71" i="11"/>
  <c r="CN71" i="11"/>
  <c r="S71" i="11"/>
  <c r="AM71" i="11"/>
  <c r="AB71" i="11"/>
  <c r="AZ71" i="11"/>
  <c r="BI71" i="11"/>
  <c r="BL71" i="11"/>
  <c r="BX71" i="11"/>
  <c r="CI71" i="11"/>
  <c r="CC71" i="11"/>
  <c r="BO71" i="11"/>
  <c r="CL71" i="11"/>
  <c r="CE71" i="11"/>
  <c r="AK71" i="11"/>
  <c r="AV71" i="11"/>
  <c r="AO71" i="11"/>
  <c r="AL71" i="11"/>
  <c r="CK71" i="11"/>
  <c r="AD71" i="11"/>
  <c r="CA71" i="11"/>
  <c r="BS71" i="11"/>
  <c r="W71" i="11"/>
  <c r="AG71" i="11"/>
  <c r="R71" i="11"/>
  <c r="CJ71" i="11"/>
  <c r="AR71" i="11"/>
  <c r="Z71" i="11"/>
  <c r="BP71" i="11"/>
  <c r="BG71" i="11"/>
  <c r="CO71" i="11"/>
  <c r="T71" i="11"/>
  <c r="CH71" i="11"/>
  <c r="BN71" i="11"/>
  <c r="CB71" i="11"/>
  <c r="BE71" i="11"/>
  <c r="AU71" i="11"/>
  <c r="BY71" i="11"/>
  <c r="CM71" i="11"/>
  <c r="BF71" i="11"/>
  <c r="AP71" i="11"/>
  <c r="AQ71" i="11"/>
  <c r="AT71" i="11"/>
  <c r="AH71" i="11"/>
  <c r="BK71" i="11"/>
  <c r="BW71" i="11"/>
  <c r="AN71" i="11"/>
  <c r="Y71" i="11"/>
  <c r="BV71" i="11"/>
  <c r="AE71" i="11"/>
  <c r="CQ71" i="11"/>
  <c r="AX71" i="11"/>
  <c r="BJ71" i="11"/>
  <c r="BM71" i="11"/>
  <c r="BC71" i="11"/>
  <c r="AA71" i="11"/>
  <c r="CS80" i="11"/>
  <c r="Z95" i="11"/>
  <c r="L43" i="7" s="1"/>
  <c r="BS95" i="11"/>
  <c r="CJ95" i="11"/>
  <c r="AP95" i="11"/>
  <c r="BP95" i="11"/>
  <c r="CM95" i="11"/>
  <c r="BO95" i="11"/>
  <c r="V74" i="11"/>
  <c r="BF74" i="11"/>
  <c r="CN74" i="11"/>
  <c r="CL74" i="11"/>
  <c r="AC74" i="11"/>
  <c r="CA74" i="11"/>
  <c r="AL74" i="11"/>
  <c r="CQ74" i="11"/>
  <c r="AT74" i="11"/>
  <c r="CB74" i="11"/>
  <c r="BU74" i="11"/>
  <c r="BZ74" i="11"/>
  <c r="AW74" i="11"/>
  <c r="AB74" i="11"/>
  <c r="CE74" i="11"/>
  <c r="AH74" i="11"/>
  <c r="BP74" i="11"/>
  <c r="AZ74" i="11"/>
  <c r="AV74" i="11"/>
  <c r="X74" i="11"/>
  <c r="AA74" i="11"/>
  <c r="BS74" i="11"/>
  <c r="U74" i="11"/>
  <c r="BD74" i="11"/>
  <c r="AJ74" i="11"/>
  <c r="R74" i="11"/>
  <c r="BI74" i="11"/>
  <c r="BK74" i="11"/>
  <c r="BG74" i="11"/>
  <c r="CO74" i="11"/>
  <c r="AQ74" i="11"/>
  <c r="CK74" i="11"/>
  <c r="BX74" i="11"/>
  <c r="BH74" i="11"/>
  <c r="BJ74" i="11"/>
  <c r="BC74" i="11"/>
  <c r="CP74" i="11"/>
  <c r="AS74" i="11"/>
  <c r="BV74" i="11"/>
  <c r="CI74" i="11"/>
  <c r="AO74" i="11"/>
  <c r="BL74" i="11"/>
  <c r="AG74" i="11"/>
  <c r="BR74" i="11"/>
  <c r="T74" i="11"/>
  <c r="AK74" i="11"/>
  <c r="AX74" i="11"/>
  <c r="AN74" i="11"/>
  <c r="AM74" i="11"/>
  <c r="AU74" i="11"/>
  <c r="BA74" i="11"/>
  <c r="Z74" i="11"/>
  <c r="AI74" i="11"/>
  <c r="BT74" i="11"/>
  <c r="Y74" i="11"/>
  <c r="W74" i="11"/>
  <c r="AY74" i="11"/>
  <c r="CH74" i="11"/>
  <c r="CD74" i="11"/>
  <c r="AD74" i="11"/>
  <c r="CG74" i="11"/>
  <c r="CC74" i="11"/>
  <c r="BO74" i="11"/>
  <c r="BQ74" i="11"/>
  <c r="AP74" i="11"/>
  <c r="BE74" i="11"/>
  <c r="Q74" i="11"/>
  <c r="CJ74" i="11"/>
  <c r="AF74" i="11"/>
  <c r="BW74" i="11"/>
  <c r="BY74" i="11"/>
  <c r="AE74" i="11"/>
  <c r="BM74" i="11"/>
  <c r="BN74" i="11"/>
  <c r="S74" i="11"/>
  <c r="BB74" i="11"/>
  <c r="AR74" i="11"/>
  <c r="CM74" i="11"/>
  <c r="CF74" i="11"/>
  <c r="CJ66" i="11"/>
  <c r="AJ66" i="11"/>
  <c r="BA66" i="11"/>
  <c r="BL66" i="11"/>
  <c r="BF66" i="11"/>
  <c r="R66" i="11"/>
  <c r="BV66" i="11"/>
  <c r="AU66" i="11"/>
  <c r="BY66" i="11"/>
  <c r="X66" i="11"/>
  <c r="AN66" i="11"/>
  <c r="AY66" i="11"/>
  <c r="AF66" i="11"/>
  <c r="CI66" i="11"/>
  <c r="AH66" i="11"/>
  <c r="S66" i="11"/>
  <c r="BN66" i="11"/>
  <c r="BN96" i="11" s="1"/>
  <c r="CP66" i="11"/>
  <c r="AA66" i="11"/>
  <c r="AL66" i="11"/>
  <c r="BX66" i="11"/>
  <c r="BJ66" i="11"/>
  <c r="BU66" i="11"/>
  <c r="BC66" i="11"/>
  <c r="CC66" i="11"/>
  <c r="CN66" i="11"/>
  <c r="Y66" i="11"/>
  <c r="BE66" i="11"/>
  <c r="AK66" i="11"/>
  <c r="W66" i="11"/>
  <c r="AR66" i="11"/>
  <c r="BP66" i="11"/>
  <c r="CA66" i="11"/>
  <c r="CQ66" i="11"/>
  <c r="AE66" i="11"/>
  <c r="Q66" i="11"/>
  <c r="BS66" i="11"/>
  <c r="V66" i="11"/>
  <c r="AO66" i="11"/>
  <c r="AO96" i="11" s="1"/>
  <c r="AZ66" i="11"/>
  <c r="AZ96" i="11" s="1"/>
  <c r="BQ66" i="11"/>
  <c r="AX66" i="11"/>
  <c r="AT66" i="11"/>
  <c r="CF66" i="11"/>
  <c r="AB66" i="11"/>
  <c r="AM66" i="11"/>
  <c r="BD66" i="11"/>
  <c r="AD66" i="11"/>
  <c r="CH66" i="11"/>
  <c r="CH96" i="11" s="1"/>
  <c r="T66" i="11"/>
  <c r="BT66" i="11"/>
  <c r="BT96" i="11" s="1"/>
  <c r="CO66" i="11"/>
  <c r="Z66" i="11"/>
  <c r="Z96" i="11" s="1"/>
  <c r="AP66" i="11"/>
  <c r="CK66" i="11"/>
  <c r="AS66" i="11"/>
  <c r="AW66" i="11"/>
  <c r="AV66" i="11"/>
  <c r="BO66" i="11"/>
  <c r="BZ66" i="11"/>
  <c r="BZ96" i="11" s="1"/>
  <c r="CE66" i="11"/>
  <c r="CE96" i="11" s="1"/>
  <c r="AQ66" i="11"/>
  <c r="AQ96" i="11" s="1"/>
  <c r="AI66" i="11"/>
  <c r="BG66" i="11"/>
  <c r="CM66" i="11"/>
  <c r="CD66" i="11"/>
  <c r="AC66" i="11"/>
  <c r="BW66" i="11"/>
  <c r="BK66" i="11"/>
  <c r="CL66" i="11"/>
  <c r="CL96" i="11" s="1"/>
  <c r="AG66" i="11"/>
  <c r="AG96" i="11" s="1"/>
  <c r="CG66" i="11"/>
  <c r="BH66" i="11"/>
  <c r="U66" i="11"/>
  <c r="U96" i="11" s="1"/>
  <c r="BB66" i="11"/>
  <c r="BR66" i="11"/>
  <c r="CB66" i="11"/>
  <c r="BI66" i="11"/>
  <c r="BM66" i="11"/>
  <c r="AE95" i="11"/>
  <c r="Q43" i="7" s="1"/>
  <c r="R95" i="11"/>
  <c r="AG95" i="11"/>
  <c r="S43" i="7" s="1"/>
  <c r="Q95" i="11"/>
  <c r="CS47" i="11"/>
  <c r="AU95" i="11"/>
  <c r="AX95" i="11"/>
  <c r="AI95" i="11"/>
  <c r="U43" i="7" s="1"/>
  <c r="CS53" i="11"/>
  <c r="AU93" i="11"/>
  <c r="AG11" i="9"/>
  <c r="CH95" i="11"/>
  <c r="AZ95" i="11"/>
  <c r="CI95" i="11"/>
  <c r="AY95" i="11"/>
  <c r="AH95" i="11"/>
  <c r="T43" i="7" s="1"/>
  <c r="CF95" i="11"/>
  <c r="V95" i="11"/>
  <c r="BY56" i="7"/>
  <c r="BZ56" i="7"/>
  <c r="BX56" i="7"/>
  <c r="BW56" i="7"/>
  <c r="CA56" i="7"/>
  <c r="BT56" i="7"/>
  <c r="BV56" i="7"/>
  <c r="BU56" i="7"/>
  <c r="CB56" i="7"/>
  <c r="CC56" i="7"/>
  <c r="BR56" i="7"/>
  <c r="BS56" i="7"/>
  <c r="T11" i="9"/>
  <c r="BD95" i="11"/>
  <c r="AF95" i="11"/>
  <c r="R43" i="7" s="1"/>
  <c r="W95" i="11"/>
  <c r="CG95" i="11"/>
  <c r="BC95" i="11"/>
  <c r="BQ95" i="11"/>
  <c r="AL95" i="11"/>
  <c r="X43" i="7" s="1"/>
  <c r="S9" i="14"/>
  <c r="BP9" i="14"/>
  <c r="BL9" i="14"/>
  <c r="AG9" i="14"/>
  <c r="BA9" i="14"/>
  <c r="AL9" i="14"/>
  <c r="V9" i="14"/>
  <c r="N9" i="14"/>
  <c r="AQ9" i="14"/>
  <c r="BY95" i="11"/>
  <c r="BH95" i="11"/>
  <c r="BZ95" i="11"/>
  <c r="CO95" i="11"/>
  <c r="BN95" i="11"/>
  <c r="BX95" i="11"/>
  <c r="AS95" i="11"/>
  <c r="BT95" i="11"/>
  <c r="U109" i="11"/>
  <c r="G109" i="11"/>
  <c r="H11" i="9"/>
  <c r="CN95" i="11"/>
  <c r="CP95" i="11"/>
  <c r="BM95" i="11"/>
  <c r="AN95" i="11"/>
  <c r="Z43" i="7" s="1"/>
  <c r="AT95" i="11"/>
  <c r="AM95" i="11"/>
  <c r="Y43" i="7" s="1"/>
  <c r="CC95" i="11"/>
  <c r="S95" i="11"/>
  <c r="AX56" i="7"/>
  <c r="AU56" i="7"/>
  <c r="AW56" i="7"/>
  <c r="BC56" i="7"/>
  <c r="AY56" i="7"/>
  <c r="BE56" i="7"/>
  <c r="AS56" i="7"/>
  <c r="BA56" i="7"/>
  <c r="BD56" i="7"/>
  <c r="AT56" i="7"/>
  <c r="AZ56" i="7"/>
  <c r="BB56" i="7"/>
  <c r="AV56" i="7"/>
  <c r="AI93" i="11"/>
  <c r="U11" i="9"/>
  <c r="AF93" i="11"/>
  <c r="AO11" i="9"/>
  <c r="BC93" i="11"/>
  <c r="BL95" i="11"/>
  <c r="AO95" i="11"/>
  <c r="AA43" i="7" s="1"/>
  <c r="CL95" i="11"/>
  <c r="BV95" i="11"/>
  <c r="CB95" i="11"/>
  <c r="BU95" i="11"/>
  <c r="CK95" i="11"/>
  <c r="BJ56" i="7"/>
  <c r="BO56" i="7"/>
  <c r="BM56" i="7"/>
  <c r="BG56" i="7"/>
  <c r="BQ56" i="7"/>
  <c r="BI56" i="7"/>
  <c r="BH56" i="7"/>
  <c r="BP56" i="7"/>
  <c r="BF56" i="7"/>
  <c r="BN56" i="7"/>
  <c r="BL56" i="7"/>
  <c r="BK56" i="7"/>
  <c r="BK93" i="11"/>
  <c r="AV109" i="11"/>
  <c r="AW11" i="9"/>
  <c r="D109" i="11"/>
  <c r="CS72" i="11"/>
  <c r="AK95" i="11"/>
  <c r="W43" i="7" s="1"/>
  <c r="CA95" i="11"/>
  <c r="CD95" i="11"/>
  <c r="BB95" i="11"/>
  <c r="AJ95" i="11"/>
  <c r="V43" i="7" s="1"/>
  <c r="X95" i="11"/>
  <c r="AA95" i="11"/>
  <c r="M43" i="7" s="1"/>
  <c r="Q11" i="9"/>
  <c r="CS67" i="11"/>
  <c r="AW95" i="11"/>
  <c r="BA95" i="11"/>
  <c r="AC95" i="11"/>
  <c r="O43" i="7" s="1"/>
  <c r="AR95" i="11"/>
  <c r="BE95" i="11"/>
  <c r="T95" i="11"/>
  <c r="BI95" i="11"/>
  <c r="BX67" i="11"/>
  <c r="AE67" i="11"/>
  <c r="AS67" i="11"/>
  <c r="BC67" i="11"/>
  <c r="AM67" i="11"/>
  <c r="BV67" i="11"/>
  <c r="BO67" i="11"/>
  <c r="AV67" i="11"/>
  <c r="BM67" i="11"/>
  <c r="S67" i="11"/>
  <c r="AD67" i="11"/>
  <c r="AO67" i="11"/>
  <c r="CK67" i="11"/>
  <c r="AW67" i="11"/>
  <c r="Z67" i="11"/>
  <c r="BB67" i="11"/>
  <c r="CG67" i="11"/>
  <c r="Q67" i="11"/>
  <c r="AB67" i="11"/>
  <c r="BK67" i="11"/>
  <c r="X67" i="11"/>
  <c r="BN67" i="11"/>
  <c r="AQ67" i="11"/>
  <c r="BT67" i="11"/>
  <c r="CE67" i="11"/>
  <c r="CH67" i="11"/>
  <c r="AL67" i="11"/>
  <c r="CC67" i="11"/>
  <c r="W67" i="11"/>
  <c r="AF67" i="11"/>
  <c r="BG67" i="11"/>
  <c r="BR67" i="11"/>
  <c r="BU67" i="11"/>
  <c r="CJ67" i="11"/>
  <c r="AN67" i="11"/>
  <c r="BI67" i="11"/>
  <c r="U67" i="11"/>
  <c r="AT67" i="11"/>
  <c r="BE67" i="11"/>
  <c r="BH67" i="11"/>
  <c r="BJ67" i="11"/>
  <c r="CA67" i="11"/>
  <c r="V67" i="11"/>
  <c r="CN67" i="11"/>
  <c r="AG67" i="11"/>
  <c r="AP67" i="11"/>
  <c r="AU67" i="11"/>
  <c r="AK67" i="11"/>
  <c r="AJ67" i="11"/>
  <c r="CO67" i="11"/>
  <c r="CB67" i="11"/>
  <c r="R67" i="11"/>
  <c r="AC67" i="11"/>
  <c r="AH67" i="11"/>
  <c r="BW67" i="11"/>
  <c r="BZ67" i="11"/>
  <c r="AY67" i="11"/>
  <c r="BP67" i="11"/>
  <c r="CF67" i="11"/>
  <c r="CQ67" i="11"/>
  <c r="T67" i="11"/>
  <c r="AX67" i="11"/>
  <c r="AI67" i="11"/>
  <c r="CM67" i="11"/>
  <c r="BD67" i="11"/>
  <c r="BS67" i="11"/>
  <c r="CD67" i="11"/>
  <c r="CL67" i="11"/>
  <c r="Y67" i="11"/>
  <c r="BY67" i="11"/>
  <c r="BA67" i="11"/>
  <c r="CI67" i="11"/>
  <c r="AR67" i="11"/>
  <c r="BF67" i="11"/>
  <c r="BQ67" i="11"/>
  <c r="BL67" i="11"/>
  <c r="CP67" i="11"/>
  <c r="AA67" i="11"/>
  <c r="AZ67" i="11"/>
  <c r="AE11" i="9"/>
  <c r="AS93" i="11"/>
  <c r="AJ109" i="11"/>
  <c r="R93" i="11"/>
  <c r="CE95" i="11"/>
  <c r="AQ95" i="11"/>
  <c r="BK95" i="11"/>
  <c r="BF95" i="11"/>
  <c r="AB95" i="11"/>
  <c r="N43" i="7" s="1"/>
  <c r="BG95" i="11"/>
  <c r="CQ95" i="11"/>
  <c r="CF51" i="11"/>
  <c r="AX51" i="11"/>
  <c r="AJ11" i="9" s="1"/>
  <c r="CN51" i="11"/>
  <c r="BZ11" i="9" s="1"/>
  <c r="U51" i="11"/>
  <c r="BZ51" i="11"/>
  <c r="CG51" i="11"/>
  <c r="BS11" i="9" s="1"/>
  <c r="CM51" i="11"/>
  <c r="AD51" i="11"/>
  <c r="P11" i="9" s="1"/>
  <c r="BU51" i="11"/>
  <c r="AM51" i="11"/>
  <c r="X109" i="11" s="1"/>
  <c r="CC51" i="11"/>
  <c r="CJ51" i="11"/>
  <c r="BK51" i="11"/>
  <c r="AZ51" i="11"/>
  <c r="AK109" i="11" s="1"/>
  <c r="BL51" i="11"/>
  <c r="AW109" i="11" s="1"/>
  <c r="BJ51" i="11"/>
  <c r="AB51" i="11"/>
  <c r="BR51" i="11"/>
  <c r="BQ51" i="11"/>
  <c r="AR51" i="11"/>
  <c r="V51" i="11"/>
  <c r="V93" i="11" s="1"/>
  <c r="AE51" i="11"/>
  <c r="AE93" i="11" s="1"/>
  <c r="AY51" i="11"/>
  <c r="Q51" i="11"/>
  <c r="B109" i="11" s="1"/>
  <c r="BG51" i="11"/>
  <c r="AS11" i="9" s="1"/>
  <c r="BB51" i="11"/>
  <c r="Y51" i="11"/>
  <c r="K11" i="9" s="1"/>
  <c r="CB51" i="11"/>
  <c r="CL51" i="11"/>
  <c r="AN51" i="11"/>
  <c r="Y109" i="11" s="1"/>
  <c r="CO51" i="11"/>
  <c r="AV51" i="11"/>
  <c r="E28" i="18" s="1"/>
  <c r="AI51" i="11"/>
  <c r="T109" i="11" s="1"/>
  <c r="BY51" i="11"/>
  <c r="AU51" i="11"/>
  <c r="AF109" i="11" s="1"/>
  <c r="BX51" i="11"/>
  <c r="AC51" i="11"/>
  <c r="O11" i="9" s="1"/>
  <c r="CD51" i="11"/>
  <c r="AK51" i="11"/>
  <c r="T51" i="11"/>
  <c r="BF51" i="11"/>
  <c r="CA51" i="11"/>
  <c r="BN51" i="11"/>
  <c r="BN93" i="11" s="1"/>
  <c r="R51" i="11"/>
  <c r="BS51" i="11"/>
  <c r="Z51" i="11"/>
  <c r="L11" i="9" s="1"/>
  <c r="CI51" i="11"/>
  <c r="AQ51" i="11"/>
  <c r="AT51" i="11"/>
  <c r="AT93" i="11" s="1"/>
  <c r="BM51" i="11"/>
  <c r="BM93" i="11" s="1"/>
  <c r="CP51" i="11"/>
  <c r="BH51" i="11"/>
  <c r="CK51" i="11"/>
  <c r="BP51" i="11"/>
  <c r="BA109" i="11" s="1"/>
  <c r="X51" i="11"/>
  <c r="J11" i="9" s="1"/>
  <c r="BW51" i="11"/>
  <c r="BH109" i="11" s="1"/>
  <c r="BE51" i="11"/>
  <c r="AQ11" i="9" s="1"/>
  <c r="CE51" i="11"/>
  <c r="AW51" i="11"/>
  <c r="AH109" i="11" s="1"/>
  <c r="BV51" i="11"/>
  <c r="BV93" i="11" s="1"/>
  <c r="BA51" i="11"/>
  <c r="CH51" i="11"/>
  <c r="CH93" i="11" s="1"/>
  <c r="AP51" i="11"/>
  <c r="AS51" i="11"/>
  <c r="AD109" i="11" s="1"/>
  <c r="BT51" i="11"/>
  <c r="AL51" i="11"/>
  <c r="X11" i="9" s="1"/>
  <c r="BC51" i="11"/>
  <c r="AN109" i="11" s="1"/>
  <c r="AH51" i="11"/>
  <c r="AH93" i="11" s="1"/>
  <c r="BD51" i="11"/>
  <c r="BD93" i="11" s="1"/>
  <c r="BO51" i="11"/>
  <c r="BO93" i="11" s="1"/>
  <c r="AG51" i="11"/>
  <c r="CQ51" i="11"/>
  <c r="BI51" i="11"/>
  <c r="AT109" i="11" s="1"/>
  <c r="AA51" i="11"/>
  <c r="AJ51" i="11"/>
  <c r="AJ93" i="11" s="1"/>
  <c r="S51" i="11"/>
  <c r="W51" i="11"/>
  <c r="I11" i="9" s="1"/>
  <c r="AO51" i="11"/>
  <c r="Z109" i="11" s="1"/>
  <c r="AF51" i="11"/>
  <c r="BR113" i="11"/>
  <c r="BS12" i="9"/>
  <c r="H60" i="18"/>
  <c r="H52" i="18"/>
  <c r="H44" i="18"/>
  <c r="H36" i="18"/>
  <c r="H27" i="18"/>
  <c r="BQ113" i="11"/>
  <c r="BR12" i="9"/>
  <c r="H28" i="18"/>
  <c r="BQ109" i="11"/>
  <c r="BR11" i="9"/>
  <c r="BX109" i="11"/>
  <c r="BY11" i="9"/>
  <c r="CS24" i="11"/>
  <c r="BT55" i="7"/>
  <c r="CA53" i="7"/>
  <c r="BT50" i="7"/>
  <c r="BT58" i="7"/>
  <c r="BT54" i="7"/>
  <c r="BY109" i="11"/>
  <c r="CP93" i="11"/>
  <c r="CS27" i="11"/>
  <c r="BS109" i="11"/>
  <c r="BT11" i="9"/>
  <c r="CL93" i="11"/>
  <c r="BZ113" i="11"/>
  <c r="CA12" i="9"/>
  <c r="F12" i="18"/>
  <c r="G24" i="5"/>
  <c r="F45" i="5"/>
  <c r="F10" i="6" s="1"/>
  <c r="BU109" i="11"/>
  <c r="BV11" i="9"/>
  <c r="CM93" i="11"/>
  <c r="AM11" i="9"/>
  <c r="I54" i="13"/>
  <c r="AT10" i="8"/>
  <c r="V10" i="8"/>
  <c r="AH10" i="8"/>
  <c r="J10" i="8"/>
  <c r="BR10" i="8"/>
  <c r="BF10" i="8"/>
  <c r="AL50" i="7"/>
  <c r="AL55" i="7"/>
  <c r="AS53" i="7"/>
  <c r="BT109" i="11"/>
  <c r="BU11" i="9"/>
  <c r="CJ93" i="11"/>
  <c r="CN93" i="11"/>
  <c r="AM109" i="11"/>
  <c r="F13" i="18"/>
  <c r="G25" i="5"/>
  <c r="BV113" i="11"/>
  <c r="BW12" i="9"/>
  <c r="CK93" i="11"/>
  <c r="N109" i="11"/>
  <c r="CA113" i="11"/>
  <c r="CB12" i="9"/>
  <c r="BS113" i="11"/>
  <c r="BT12" i="9"/>
  <c r="BY113" i="11"/>
  <c r="BZ12" i="9"/>
  <c r="BV109" i="11"/>
  <c r="BW11" i="9"/>
  <c r="CS5" i="11"/>
  <c r="BH4" i="7"/>
  <c r="BH9" i="7"/>
  <c r="CO93" i="11"/>
  <c r="AZ54" i="7"/>
  <c r="AZ50" i="7"/>
  <c r="AZ58" i="7"/>
  <c r="AZ55" i="7"/>
  <c r="BG53" i="7"/>
  <c r="BU113" i="11"/>
  <c r="BV12" i="9"/>
  <c r="BW113" i="11"/>
  <c r="BX12" i="9"/>
  <c r="BZ109" i="11"/>
  <c r="CA11" i="9"/>
  <c r="CQ93" i="11"/>
  <c r="CS6" i="11"/>
  <c r="CS4" i="11"/>
  <c r="CS66" i="11"/>
  <c r="AS11" i="14"/>
  <c r="BM11" i="14"/>
  <c r="CA11" i="14"/>
  <c r="BX113" i="11"/>
  <c r="BY12" i="9"/>
  <c r="CB113" i="11"/>
  <c r="CC12" i="9"/>
  <c r="CS8" i="11"/>
  <c r="CB109" i="11"/>
  <c r="CC11" i="9"/>
  <c r="CI93" i="11"/>
  <c r="Z11" i="14"/>
  <c r="S11" i="14"/>
  <c r="BW11" i="14"/>
  <c r="BT113" i="11"/>
  <c r="BU12" i="9"/>
  <c r="CA109" i="11"/>
  <c r="CB11" i="9"/>
  <c r="AR93" i="11"/>
  <c r="F14" i="18"/>
  <c r="G26" i="5"/>
  <c r="BF58" i="7"/>
  <c r="BF55" i="7"/>
  <c r="BF54" i="7"/>
  <c r="BF50" i="7"/>
  <c r="BM53" i="7"/>
  <c r="BW109" i="11"/>
  <c r="BX11" i="9"/>
  <c r="BL54" i="7"/>
  <c r="BL55" i="7"/>
  <c r="BS53" i="7"/>
  <c r="BL50" i="7"/>
  <c r="BL58" i="7"/>
  <c r="H29" i="18"/>
  <c r="CF93" i="11"/>
  <c r="CS7" i="11"/>
  <c r="Q4" i="7" l="1"/>
  <c r="Q12" i="7" s="1"/>
  <c r="Q9" i="7"/>
  <c r="AF9" i="7"/>
  <c r="AF4" i="7"/>
  <c r="AF12" i="7" s="1"/>
  <c r="AP9" i="7"/>
  <c r="AP4" i="7"/>
  <c r="AP12" i="7" s="1"/>
  <c r="BR109" i="11"/>
  <c r="V9" i="7"/>
  <c r="V4" i="7"/>
  <c r="V12" i="7" s="1"/>
  <c r="CA93" i="11"/>
  <c r="BM11" i="9"/>
  <c r="BL109" i="11"/>
  <c r="AD11" i="9"/>
  <c r="AC109" i="11"/>
  <c r="BF109" i="11"/>
  <c r="BU93" i="11"/>
  <c r="BG11" i="9"/>
  <c r="AU40" i="7"/>
  <c r="AU39" i="7"/>
  <c r="BB38" i="7"/>
  <c r="AU43" i="7"/>
  <c r="AU35" i="7"/>
  <c r="BN39" i="7"/>
  <c r="BN40" i="7"/>
  <c r="BU38" i="7"/>
  <c r="BN35" i="7"/>
  <c r="BN43" i="7"/>
  <c r="Z11" i="9"/>
  <c r="AY39" i="7"/>
  <c r="AY35" i="7"/>
  <c r="BF38" i="7"/>
  <c r="AY40" i="7"/>
  <c r="AY43" i="7"/>
  <c r="BM38" i="7"/>
  <c r="BF40" i="7"/>
  <c r="BF35" i="7"/>
  <c r="BF43" i="7"/>
  <c r="BF39" i="7"/>
  <c r="BR96" i="11"/>
  <c r="CM96" i="11"/>
  <c r="AP96" i="11"/>
  <c r="AT96" i="11"/>
  <c r="BP96" i="11"/>
  <c r="BX96" i="11"/>
  <c r="X96" i="11"/>
  <c r="CS71" i="11"/>
  <c r="AL93" i="11"/>
  <c r="B9" i="14"/>
  <c r="W9" i="14"/>
  <c r="Y9" i="14"/>
  <c r="AI9" i="14"/>
  <c r="Z9" i="14"/>
  <c r="BB9" i="14"/>
  <c r="AA9" i="14"/>
  <c r="AT9" i="14"/>
  <c r="AS9" i="14"/>
  <c r="BI9" i="14"/>
  <c r="K9" i="14"/>
  <c r="BY9" i="14"/>
  <c r="AH9" i="14"/>
  <c r="H9" i="14"/>
  <c r="CA9" i="14"/>
  <c r="AX9" i="14"/>
  <c r="F9" i="14"/>
  <c r="CB9" i="14"/>
  <c r="BE9" i="14"/>
  <c r="BN9" i="14"/>
  <c r="P9" i="14"/>
  <c r="BD9" i="14"/>
  <c r="L9" i="14"/>
  <c r="BW9" i="14"/>
  <c r="AM9" i="14"/>
  <c r="BX9" i="14"/>
  <c r="AJ9" i="14"/>
  <c r="M9" i="14"/>
  <c r="BK9" i="14"/>
  <c r="V8" i="8"/>
  <c r="BF9" i="14"/>
  <c r="BZ9" i="14"/>
  <c r="AR9" i="14"/>
  <c r="J9" i="14"/>
  <c r="AW9" i="14"/>
  <c r="R9" i="14"/>
  <c r="AE9" i="14"/>
  <c r="BF8" i="8"/>
  <c r="AV9" i="14"/>
  <c r="BS9" i="14"/>
  <c r="D9" i="14"/>
  <c r="BM9" i="14"/>
  <c r="J8" i="8"/>
  <c r="C9" i="14"/>
  <c r="BC9" i="14"/>
  <c r="AN9" i="14"/>
  <c r="BT9" i="14"/>
  <c r="X9" i="14"/>
  <c r="AD9" i="14"/>
  <c r="AP9" i="14"/>
  <c r="G9" i="14"/>
  <c r="AF9" i="14"/>
  <c r="BO9" i="14"/>
  <c r="U9" i="14"/>
  <c r="AZ9" i="14"/>
  <c r="BV9" i="14"/>
  <c r="Q9" i="14"/>
  <c r="AB9" i="14"/>
  <c r="AT8" i="8"/>
  <c r="AK9" i="14"/>
  <c r="BH9" i="14"/>
  <c r="BR8" i="8"/>
  <c r="BT39" i="15" s="1"/>
  <c r="BT11" i="10" s="1"/>
  <c r="BT10" i="10" s="1"/>
  <c r="BG9" i="14"/>
  <c r="AO9" i="14"/>
  <c r="I9" i="14"/>
  <c r="AY9" i="14"/>
  <c r="AH8" i="8"/>
  <c r="E9" i="14"/>
  <c r="BR9" i="14"/>
  <c r="BU9" i="14"/>
  <c r="O9" i="14"/>
  <c r="T9" i="14"/>
  <c r="BJ9" i="14"/>
  <c r="AU9" i="14"/>
  <c r="BQ9" i="14"/>
  <c r="AC9" i="14"/>
  <c r="BJ94" i="11"/>
  <c r="AV12" i="9"/>
  <c r="AU113" i="11"/>
  <c r="AP94" i="11"/>
  <c r="AB12" i="9"/>
  <c r="AA113" i="11"/>
  <c r="AE94" i="11"/>
  <c r="P113" i="11"/>
  <c r="Q12" i="9"/>
  <c r="BS20" i="7"/>
  <c r="BS25" i="7"/>
  <c r="BS24" i="7"/>
  <c r="BZ23" i="7"/>
  <c r="BS28" i="7"/>
  <c r="Y12" i="9"/>
  <c r="X113" i="11"/>
  <c r="AM94" i="11"/>
  <c r="BY94" i="11"/>
  <c r="BJ113" i="11"/>
  <c r="BK12" i="9"/>
  <c r="N12" i="9"/>
  <c r="M113" i="11"/>
  <c r="AB94" i="11"/>
  <c r="AQ12" i="9"/>
  <c r="AP113" i="11"/>
  <c r="BE94" i="11"/>
  <c r="AX109" i="11"/>
  <c r="L109" i="11"/>
  <c r="M11" i="9"/>
  <c r="AP93" i="11"/>
  <c r="AA109" i="11"/>
  <c r="AB11" i="9"/>
  <c r="F28" i="18"/>
  <c r="BH93" i="11"/>
  <c r="AS109" i="11"/>
  <c r="AQ109" i="11"/>
  <c r="AR11" i="9"/>
  <c r="BF93" i="11"/>
  <c r="BB109" i="11"/>
  <c r="BC11" i="9"/>
  <c r="AY38" i="7"/>
  <c r="AR35" i="7"/>
  <c r="AR39" i="7"/>
  <c r="AR40" i="7"/>
  <c r="AR43" i="7"/>
  <c r="AA93" i="11"/>
  <c r="BH35" i="7"/>
  <c r="BH39" i="7"/>
  <c r="BO38" i="7"/>
  <c r="BH40" i="7"/>
  <c r="BH43" i="7"/>
  <c r="R9" i="7"/>
  <c r="R4" i="7"/>
  <c r="R12" i="7" s="1"/>
  <c r="CB35" i="7"/>
  <c r="CB40" i="7"/>
  <c r="CB39" i="7"/>
  <c r="CB43" i="7"/>
  <c r="AE43" i="7"/>
  <c r="AL38" i="7"/>
  <c r="AP40" i="7"/>
  <c r="AP39" i="7"/>
  <c r="AW38" i="7"/>
  <c r="AP35" i="7"/>
  <c r="AP43" i="7"/>
  <c r="AT11" i="9"/>
  <c r="BB96" i="11"/>
  <c r="BG96" i="11"/>
  <c r="AX96" i="11"/>
  <c r="AR96" i="11"/>
  <c r="AL96" i="11"/>
  <c r="BY96" i="11"/>
  <c r="BA35" i="7"/>
  <c r="BA39" i="7"/>
  <c r="BH38" i="7"/>
  <c r="BA43" i="7"/>
  <c r="BA40" i="7"/>
  <c r="W109" i="11"/>
  <c r="BW24" i="7"/>
  <c r="BW20" i="7"/>
  <c r="BW28" i="7"/>
  <c r="BW25" i="7"/>
  <c r="D27" i="18"/>
  <c r="D52" i="18"/>
  <c r="U113" i="11"/>
  <c r="V12" i="9"/>
  <c r="AJ94" i="11"/>
  <c r="D36" i="18"/>
  <c r="D60" i="18"/>
  <c r="D44" i="18"/>
  <c r="AH12" i="9"/>
  <c r="E27" i="18"/>
  <c r="E52" i="18"/>
  <c r="E60" i="18"/>
  <c r="AG113" i="11"/>
  <c r="E36" i="18"/>
  <c r="AV94" i="11"/>
  <c r="E44" i="18"/>
  <c r="AH94" i="11"/>
  <c r="T12" i="9"/>
  <c r="S113" i="11"/>
  <c r="CB20" i="7"/>
  <c r="CB28" i="7"/>
  <c r="CB24" i="7"/>
  <c r="CB25" i="7"/>
  <c r="X94" i="11"/>
  <c r="C60" i="18"/>
  <c r="C44" i="18"/>
  <c r="C36" i="18"/>
  <c r="J12" i="9"/>
  <c r="C52" i="18"/>
  <c r="C27" i="18"/>
  <c r="I113" i="11"/>
  <c r="BT94" i="11"/>
  <c r="G36" i="18"/>
  <c r="BF12" i="9"/>
  <c r="G60" i="18"/>
  <c r="G27" i="18"/>
  <c r="G44" i="18"/>
  <c r="G52" i="18"/>
  <c r="BE113" i="11"/>
  <c r="Z94" i="11"/>
  <c r="L12" i="9"/>
  <c r="K113" i="11"/>
  <c r="E109" i="11"/>
  <c r="F11" i="9"/>
  <c r="BR93" i="11"/>
  <c r="BD11" i="9"/>
  <c r="AW35" i="7"/>
  <c r="BD38" i="7"/>
  <c r="AW39" i="7"/>
  <c r="AW40" i="7"/>
  <c r="AW43" i="7"/>
  <c r="AQ40" i="7"/>
  <c r="AQ35" i="7"/>
  <c r="AQ39" i="7"/>
  <c r="AX38" i="7"/>
  <c r="AQ43" i="7"/>
  <c r="BX43" i="7"/>
  <c r="BX35" i="7"/>
  <c r="BX39" i="7"/>
  <c r="BX40" i="7"/>
  <c r="BZ43" i="7"/>
  <c r="BZ35" i="7"/>
  <c r="BZ40" i="7"/>
  <c r="BZ39" i="7"/>
  <c r="BJ40" i="7"/>
  <c r="BJ35" i="7"/>
  <c r="BJ43" i="7"/>
  <c r="BJ39" i="7"/>
  <c r="BQ38" i="7"/>
  <c r="BR40" i="7"/>
  <c r="BR35" i="7"/>
  <c r="BY38" i="7"/>
  <c r="BR43" i="7"/>
  <c r="BR39" i="7"/>
  <c r="AI96" i="11"/>
  <c r="CO96" i="11"/>
  <c r="BQ96" i="11"/>
  <c r="W96" i="11"/>
  <c r="AA96" i="11"/>
  <c r="AU96" i="11"/>
  <c r="BY39" i="7"/>
  <c r="BY43" i="7"/>
  <c r="BY40" i="7"/>
  <c r="BY35" i="7"/>
  <c r="K109" i="11"/>
  <c r="BD71" i="7"/>
  <c r="BC71" i="7"/>
  <c r="AW71" i="7"/>
  <c r="AV71" i="7"/>
  <c r="BE71" i="7"/>
  <c r="AZ71" i="7"/>
  <c r="AX71" i="7"/>
  <c r="AU71" i="7"/>
  <c r="AT71" i="7"/>
  <c r="BB71" i="7"/>
  <c r="BA71" i="7"/>
  <c r="AY71" i="7"/>
  <c r="BZ28" i="7"/>
  <c r="BZ25" i="7"/>
  <c r="BZ24" i="7"/>
  <c r="BZ20" i="7"/>
  <c r="AF94" i="11"/>
  <c r="R12" i="9"/>
  <c r="Q113" i="11"/>
  <c r="BU24" i="7"/>
  <c r="BU20" i="7"/>
  <c r="CB23" i="7"/>
  <c r="BU28" i="7"/>
  <c r="BU25" i="7"/>
  <c r="AS94" i="11"/>
  <c r="AD113" i="11"/>
  <c r="AE12" i="9"/>
  <c r="AI12" i="9"/>
  <c r="AH113" i="11"/>
  <c r="AW94" i="11"/>
  <c r="BQ94" i="11"/>
  <c r="BB113" i="11"/>
  <c r="BC12" i="9"/>
  <c r="BC94" i="11"/>
  <c r="AN113" i="11"/>
  <c r="AO12" i="9"/>
  <c r="AL109" i="11"/>
  <c r="AY4" i="7"/>
  <c r="AY12" i="7" s="1"/>
  <c r="AY9" i="7"/>
  <c r="AK93" i="11"/>
  <c r="V109" i="11"/>
  <c r="W11" i="9"/>
  <c r="BM109" i="11"/>
  <c r="BN11" i="9"/>
  <c r="CB93" i="11"/>
  <c r="N11" i="9"/>
  <c r="AB93" i="11"/>
  <c r="M109" i="11"/>
  <c r="AJ38" i="7"/>
  <c r="AC43" i="7"/>
  <c r="AD43" i="7"/>
  <c r="AK38" i="7"/>
  <c r="U9" i="7"/>
  <c r="U4" i="7"/>
  <c r="U12" i="7" s="1"/>
  <c r="AZ39" i="7"/>
  <c r="AZ43" i="7"/>
  <c r="AZ35" i="7"/>
  <c r="BG38" i="7"/>
  <c r="AZ40" i="7"/>
  <c r="BI93" i="11"/>
  <c r="AG4" i="7"/>
  <c r="AG12" i="7" s="1"/>
  <c r="AG9" i="7"/>
  <c r="O109" i="11"/>
  <c r="BH96" i="11"/>
  <c r="AK96" i="11"/>
  <c r="CP96" i="11"/>
  <c r="BV96" i="11"/>
  <c r="BB39" i="7"/>
  <c r="BB35" i="7"/>
  <c r="BI38" i="7"/>
  <c r="BB43" i="7"/>
  <c r="BB40" i="7"/>
  <c r="Z93" i="11"/>
  <c r="AR94" i="11"/>
  <c r="AC113" i="11"/>
  <c r="AD12" i="9"/>
  <c r="BV94" i="11"/>
  <c r="BG113" i="11"/>
  <c r="BH12" i="9"/>
  <c r="AX94" i="11"/>
  <c r="AI113" i="11"/>
  <c r="AJ12" i="9"/>
  <c r="T94" i="11"/>
  <c r="M23" i="7" s="1"/>
  <c r="E113" i="11"/>
  <c r="F12" i="9"/>
  <c r="V94" i="11"/>
  <c r="O23" i="7" s="1"/>
  <c r="G113" i="11"/>
  <c r="H12" i="9"/>
  <c r="BR20" i="7"/>
  <c r="BR25" i="7"/>
  <c r="BR24" i="7"/>
  <c r="BR28" i="7"/>
  <c r="BY23" i="7"/>
  <c r="CD94" i="11"/>
  <c r="BO113" i="11"/>
  <c r="BP12" i="9"/>
  <c r="BA11" i="9"/>
  <c r="R109" i="11"/>
  <c r="S11" i="9"/>
  <c r="AF11" i="9"/>
  <c r="AE109" i="11"/>
  <c r="CD93" i="11"/>
  <c r="BP11" i="9"/>
  <c r="BO109" i="11"/>
  <c r="J109" i="11"/>
  <c r="Y93" i="11"/>
  <c r="BJ93" i="11"/>
  <c r="AU109" i="11"/>
  <c r="AV11" i="9"/>
  <c r="BZ93" i="11"/>
  <c r="BK109" i="11"/>
  <c r="BL11" i="9"/>
  <c r="BQ43" i="7"/>
  <c r="BQ40" i="7"/>
  <c r="BQ35" i="7"/>
  <c r="BQ39" i="7"/>
  <c r="BX38" i="7"/>
  <c r="I112" i="5"/>
  <c r="CS64" i="11"/>
  <c r="AX39" i="7"/>
  <c r="AX43" i="7"/>
  <c r="AX40" i="7"/>
  <c r="BE38" i="7"/>
  <c r="AX35" i="7"/>
  <c r="CA35" i="7"/>
  <c r="CA39" i="7"/>
  <c r="CA40" i="7"/>
  <c r="CA43" i="7"/>
  <c r="AU11" i="9"/>
  <c r="AK39" i="7"/>
  <c r="AK43" i="7"/>
  <c r="AK35" i="7"/>
  <c r="AK40" i="7"/>
  <c r="AR38" i="7"/>
  <c r="BA93" i="11"/>
  <c r="AD93" i="11"/>
  <c r="CG96" i="11"/>
  <c r="BQ50" i="7"/>
  <c r="BQ55" i="7"/>
  <c r="BQ54" i="7"/>
  <c r="BX53" i="7"/>
  <c r="BQ58" i="7"/>
  <c r="T96" i="11"/>
  <c r="BE96" i="11"/>
  <c r="R96" i="11"/>
  <c r="AB43" i="7"/>
  <c r="AI38" i="7"/>
  <c r="AC93" i="11"/>
  <c r="CC25" i="7"/>
  <c r="CC20" i="7"/>
  <c r="CC28" i="7"/>
  <c r="CC24" i="7"/>
  <c r="BL94" i="11"/>
  <c r="AX12" i="9"/>
  <c r="AW113" i="11"/>
  <c r="AP12" i="9"/>
  <c r="AO113" i="11"/>
  <c r="BD94" i="11"/>
  <c r="AX113" i="11"/>
  <c r="BM94" i="11"/>
  <c r="AY12" i="9"/>
  <c r="W94" i="11"/>
  <c r="P23" i="7" s="1"/>
  <c r="H113" i="11"/>
  <c r="I12" i="9"/>
  <c r="BV24" i="7"/>
  <c r="BV28" i="7"/>
  <c r="BV25" i="7"/>
  <c r="BV20" i="7"/>
  <c r="CC23" i="7"/>
  <c r="AF12" i="9"/>
  <c r="AE113" i="11"/>
  <c r="AT94" i="11"/>
  <c r="AZ109" i="11"/>
  <c r="BH11" i="9"/>
  <c r="BA9" i="7"/>
  <c r="BA4" i="7"/>
  <c r="BA12" i="7" s="1"/>
  <c r="AI11" i="9"/>
  <c r="AW93" i="11"/>
  <c r="AB109" i="11"/>
  <c r="AC11" i="9"/>
  <c r="AQ93" i="11"/>
  <c r="AN11" i="9"/>
  <c r="BB93" i="11"/>
  <c r="G11" i="9"/>
  <c r="F109" i="11"/>
  <c r="U93" i="11"/>
  <c r="AT38" i="7"/>
  <c r="AM35" i="7"/>
  <c r="AM43" i="7"/>
  <c r="AM39" i="7"/>
  <c r="AM40" i="7"/>
  <c r="J35" i="7"/>
  <c r="J43" i="7"/>
  <c r="AW9" i="7"/>
  <c r="AW4" i="7"/>
  <c r="AW12" i="7" s="1"/>
  <c r="BC92" i="11"/>
  <c r="AO9" i="7"/>
  <c r="AO4" i="7"/>
  <c r="AO12" i="7" s="1"/>
  <c r="BL39" i="7"/>
  <c r="BL43" i="7"/>
  <c r="BL35" i="7"/>
  <c r="BL40" i="7"/>
  <c r="BS38" i="7"/>
  <c r="BU43" i="7"/>
  <c r="BU40" i="7"/>
  <c r="BU39" i="7"/>
  <c r="CB38" i="7"/>
  <c r="BU35" i="7"/>
  <c r="V96" i="11"/>
  <c r="Y96" i="11"/>
  <c r="S96" i="11"/>
  <c r="BF96" i="11"/>
  <c r="BV39" i="7"/>
  <c r="CC38" i="7"/>
  <c r="BV35" i="7"/>
  <c r="BV40" i="7"/>
  <c r="BV43" i="7"/>
  <c r="Q93" i="11"/>
  <c r="BJ71" i="7"/>
  <c r="BG71" i="7"/>
  <c r="BF71" i="7"/>
  <c r="BN71" i="7"/>
  <c r="BP71" i="7"/>
  <c r="BM71" i="7"/>
  <c r="BH71" i="7"/>
  <c r="BO71" i="7"/>
  <c r="BL71" i="7"/>
  <c r="BK71" i="7"/>
  <c r="BI71" i="7"/>
  <c r="BQ71" i="7"/>
  <c r="BD39" i="7"/>
  <c r="BK38" i="7"/>
  <c r="BD43" i="7"/>
  <c r="BD40" i="7"/>
  <c r="BD35" i="7"/>
  <c r="AS113" i="11"/>
  <c r="F36" i="18"/>
  <c r="F44" i="18"/>
  <c r="F27" i="18"/>
  <c r="BH94" i="11"/>
  <c r="F60" i="18"/>
  <c r="F52" i="18"/>
  <c r="AT12" i="9"/>
  <c r="BI94" i="11"/>
  <c r="AU12" i="9"/>
  <c r="AT113" i="11"/>
  <c r="AR113" i="11"/>
  <c r="BG94" i="11"/>
  <c r="AS12" i="9"/>
  <c r="BA12" i="9"/>
  <c r="AZ113" i="11"/>
  <c r="BO94" i="11"/>
  <c r="BA113" i="11"/>
  <c r="BB12" i="9"/>
  <c r="BP94" i="11"/>
  <c r="AL94" i="11"/>
  <c r="W113" i="11"/>
  <c r="X12" i="9"/>
  <c r="BY25" i="7"/>
  <c r="BY28" i="7"/>
  <c r="BY20" i="7"/>
  <c r="BY24" i="7"/>
  <c r="BL93" i="11"/>
  <c r="CG93" i="11"/>
  <c r="AO109" i="11"/>
  <c r="AP11" i="9"/>
  <c r="CE93" i="11"/>
  <c r="BQ11" i="9"/>
  <c r="BP109" i="11"/>
  <c r="BI109" i="11"/>
  <c r="BJ11" i="9"/>
  <c r="BX93" i="11"/>
  <c r="BG93" i="11"/>
  <c r="AR109" i="11"/>
  <c r="AI43" i="7"/>
  <c r="AI40" i="7"/>
  <c r="AI39" i="7"/>
  <c r="AP38" i="7"/>
  <c r="AI35" i="7"/>
  <c r="T93" i="11"/>
  <c r="T92" i="11" s="1"/>
  <c r="AT40" i="7"/>
  <c r="AT35" i="7"/>
  <c r="AT39" i="7"/>
  <c r="BA38" i="7"/>
  <c r="AT43" i="7"/>
  <c r="AL40" i="7"/>
  <c r="AL39" i="7"/>
  <c r="AL35" i="7"/>
  <c r="AS38" i="7"/>
  <c r="AL43" i="7"/>
  <c r="BC109" i="11"/>
  <c r="BX58" i="7"/>
  <c r="BX54" i="7"/>
  <c r="BX50" i="7"/>
  <c r="BX55" i="7"/>
  <c r="BO96" i="11"/>
  <c r="AD96" i="11"/>
  <c r="BS96" i="11"/>
  <c r="CN96" i="11"/>
  <c r="AH96" i="11"/>
  <c r="BL96" i="11"/>
  <c r="BE35" i="7"/>
  <c r="BL38" i="7"/>
  <c r="BE43" i="7"/>
  <c r="BE39" i="7"/>
  <c r="BE40" i="7"/>
  <c r="BR71" i="7"/>
  <c r="CC71" i="7"/>
  <c r="CA71" i="7"/>
  <c r="CB71" i="7"/>
  <c r="BW71" i="7"/>
  <c r="BU71" i="7"/>
  <c r="BZ71" i="7"/>
  <c r="BY71" i="7"/>
  <c r="BX71" i="7"/>
  <c r="BV71" i="7"/>
  <c r="BS71" i="7"/>
  <c r="BT71" i="7"/>
  <c r="AV40" i="7"/>
  <c r="BC38" i="7"/>
  <c r="AV35" i="7"/>
  <c r="AV39" i="7"/>
  <c r="AV43" i="7"/>
  <c r="CA94" i="11"/>
  <c r="BM12" i="9"/>
  <c r="BL113" i="11"/>
  <c r="AU94" i="11"/>
  <c r="AU92" i="11" s="1"/>
  <c r="AF113" i="11"/>
  <c r="AG12" i="9"/>
  <c r="BU94" i="11"/>
  <c r="BF113" i="11"/>
  <c r="BG12" i="9"/>
  <c r="BC113" i="11"/>
  <c r="BD12" i="9"/>
  <c r="BR94" i="11"/>
  <c r="V113" i="11"/>
  <c r="W12" i="9"/>
  <c r="AK94" i="11"/>
  <c r="AN94" i="11"/>
  <c r="Y113" i="11"/>
  <c r="Z12" i="9"/>
  <c r="C113" i="11"/>
  <c r="D12" i="9"/>
  <c r="R94" i="11"/>
  <c r="K23" i="7" s="1"/>
  <c r="AX11" i="9"/>
  <c r="Q109" i="11"/>
  <c r="R11" i="9"/>
  <c r="T9" i="7"/>
  <c r="T4" i="7"/>
  <c r="T12" i="7" s="1"/>
  <c r="BE93" i="11"/>
  <c r="AP109" i="11"/>
  <c r="CS48" i="11"/>
  <c r="AI109" i="11"/>
  <c r="AX93" i="11"/>
  <c r="AS92" i="11"/>
  <c r="AE9" i="7"/>
  <c r="AE4" i="7"/>
  <c r="AE12" i="7" s="1"/>
  <c r="BB11" i="9"/>
  <c r="AN40" i="7"/>
  <c r="AN35" i="7"/>
  <c r="AN43" i="7"/>
  <c r="AN39" i="7"/>
  <c r="AU38" i="7"/>
  <c r="BO35" i="7"/>
  <c r="BO40" i="7"/>
  <c r="BV38" i="7"/>
  <c r="BO43" i="7"/>
  <c r="BO39" i="7"/>
  <c r="V11" i="9"/>
  <c r="BK40" i="7"/>
  <c r="BR38" i="7"/>
  <c r="BK35" i="7"/>
  <c r="BK39" i="7"/>
  <c r="BK43" i="7"/>
  <c r="BC39" i="7"/>
  <c r="BJ38" i="7"/>
  <c r="BC43" i="7"/>
  <c r="BC35" i="7"/>
  <c r="BC40" i="7"/>
  <c r="S109" i="11"/>
  <c r="BT40" i="7"/>
  <c r="CA38" i="7"/>
  <c r="BT35" i="7"/>
  <c r="BT43" i="7"/>
  <c r="BT39" i="7"/>
  <c r="AJ40" i="7"/>
  <c r="AQ38" i="7"/>
  <c r="AJ43" i="7"/>
  <c r="AJ35" i="7"/>
  <c r="AJ39" i="7"/>
  <c r="BK96" i="11"/>
  <c r="AV96" i="11"/>
  <c r="AH50" i="7" s="1"/>
  <c r="BD96" i="11"/>
  <c r="Q96" i="11"/>
  <c r="CC96" i="11"/>
  <c r="CI96" i="11"/>
  <c r="BA96" i="11"/>
  <c r="B28" i="18"/>
  <c r="CS68" i="11"/>
  <c r="AB37" i="11"/>
  <c r="BI37" i="11"/>
  <c r="S37" i="11"/>
  <c r="BA37" i="11"/>
  <c r="AL37" i="11"/>
  <c r="U37" i="11"/>
  <c r="AH37" i="11"/>
  <c r="Y37" i="11"/>
  <c r="BC37" i="11"/>
  <c r="BP37" i="11"/>
  <c r="AX37" i="11"/>
  <c r="CL37" i="11"/>
  <c r="AO37" i="11"/>
  <c r="W37" i="11"/>
  <c r="CQ37" i="11"/>
  <c r="BK37" i="11"/>
  <c r="CD37" i="11"/>
  <c r="AM37" i="11"/>
  <c r="BZ37" i="11"/>
  <c r="AC37" i="11"/>
  <c r="CI37" i="11"/>
  <c r="BX37" i="11"/>
  <c r="AG37" i="11"/>
  <c r="AW37" i="11"/>
  <c r="BN37" i="11"/>
  <c r="Q37" i="11"/>
  <c r="BB37" i="11"/>
  <c r="BV37" i="11"/>
  <c r="BD37" i="11"/>
  <c r="AS37" i="11"/>
  <c r="BJ37" i="11"/>
  <c r="CC37" i="11"/>
  <c r="CM37" i="11"/>
  <c r="AP37" i="11"/>
  <c r="BF37" i="11"/>
  <c r="AK37" i="11"/>
  <c r="Z37" i="11"/>
  <c r="AF37" i="11"/>
  <c r="AV37" i="11"/>
  <c r="CA37" i="11"/>
  <c r="AD37" i="11"/>
  <c r="AN37" i="11"/>
  <c r="V37" i="11"/>
  <c r="BQ37" i="11"/>
  <c r="CG37" i="11"/>
  <c r="CB37" i="11"/>
  <c r="CP37" i="11"/>
  <c r="CK37" i="11"/>
  <c r="CJ37" i="11"/>
  <c r="BR37" i="11"/>
  <c r="AA37" i="11"/>
  <c r="BW37" i="11"/>
  <c r="CE37" i="11"/>
  <c r="AQ37" i="11"/>
  <c r="BY37" i="11"/>
  <c r="BU37" i="11"/>
  <c r="AZ37" i="11"/>
  <c r="AI37" i="11"/>
  <c r="CF37" i="11"/>
  <c r="AT37" i="11"/>
  <c r="BT37" i="11"/>
  <c r="AE37" i="11"/>
  <c r="BM37" i="11"/>
  <c r="BE37" i="11"/>
  <c r="AJ37" i="11"/>
  <c r="BL37" i="11"/>
  <c r="AY37" i="11"/>
  <c r="CN37" i="11"/>
  <c r="BS37" i="11"/>
  <c r="BH37" i="11"/>
  <c r="CO37" i="11"/>
  <c r="T37" i="11"/>
  <c r="BO37" i="11"/>
  <c r="R37" i="11"/>
  <c r="X37" i="11"/>
  <c r="CH37" i="11"/>
  <c r="AR37" i="11"/>
  <c r="BG37" i="11"/>
  <c r="AU37" i="11"/>
  <c r="BX94" i="11"/>
  <c r="BI113" i="11"/>
  <c r="BJ12" i="9"/>
  <c r="BF94" i="11"/>
  <c r="AR12" i="9"/>
  <c r="AQ113" i="11"/>
  <c r="AW12" i="9"/>
  <c r="BK94" i="11"/>
  <c r="BK92" i="11" s="1"/>
  <c r="AV113" i="11"/>
  <c r="N113" i="11"/>
  <c r="O12" i="9"/>
  <c r="AC94" i="11"/>
  <c r="CE94" i="11"/>
  <c r="BP113" i="11"/>
  <c r="BQ12" i="9"/>
  <c r="BS94" i="11"/>
  <c r="BE12" i="9"/>
  <c r="BD113" i="11"/>
  <c r="BB94" i="11"/>
  <c r="AM113" i="11"/>
  <c r="AN12" i="9"/>
  <c r="AG93" i="11"/>
  <c r="AW112" i="5"/>
  <c r="AD109" i="5"/>
  <c r="U113" i="5"/>
  <c r="BW93" i="11"/>
  <c r="BI11" i="9"/>
  <c r="BS93" i="11"/>
  <c r="BE11" i="9"/>
  <c r="BD109" i="11"/>
  <c r="BJ109" i="11"/>
  <c r="BK11" i="9"/>
  <c r="BY93" i="11"/>
  <c r="AK11" i="9"/>
  <c r="AY93" i="11"/>
  <c r="AI110" i="5"/>
  <c r="AI109" i="5"/>
  <c r="BP93" i="11"/>
  <c r="BP43" i="7"/>
  <c r="BW38" i="7"/>
  <c r="BP39" i="7"/>
  <c r="BP40" i="7"/>
  <c r="BP35" i="7"/>
  <c r="AA11" i="9"/>
  <c r="D28" i="18"/>
  <c r="AO43" i="7"/>
  <c r="AO40" i="7"/>
  <c r="AV38" i="7"/>
  <c r="AO35" i="7"/>
  <c r="AO39" i="7"/>
  <c r="AL11" i="9"/>
  <c r="AY11" i="9"/>
  <c r="AG43" i="7"/>
  <c r="AN38" i="7"/>
  <c r="BM96" i="11"/>
  <c r="BW96" i="11"/>
  <c r="AW96" i="11"/>
  <c r="AM96" i="11"/>
  <c r="AE96" i="11"/>
  <c r="BC96" i="11"/>
  <c r="AF96" i="11"/>
  <c r="AJ96" i="11"/>
  <c r="W93" i="11"/>
  <c r="W92" i="11" s="1"/>
  <c r="C11" i="9"/>
  <c r="AY79" i="11"/>
  <c r="BI79" i="11"/>
  <c r="BR79" i="11"/>
  <c r="CE79" i="11"/>
  <c r="BC79" i="11"/>
  <c r="AO113" i="5" s="1"/>
  <c r="BN79" i="11"/>
  <c r="BS79" i="11"/>
  <c r="CG79" i="11"/>
  <c r="AM79" i="11"/>
  <c r="AW79" i="11"/>
  <c r="BB79" i="11"/>
  <c r="BO79" i="11"/>
  <c r="U79" i="11"/>
  <c r="BM79" i="11"/>
  <c r="AN79" i="11"/>
  <c r="Z111" i="5" s="1"/>
  <c r="BV79" i="11"/>
  <c r="BH112" i="5" s="1"/>
  <c r="AA79" i="11"/>
  <c r="AK79" i="11"/>
  <c r="V107" i="11" s="1"/>
  <c r="AG79" i="11"/>
  <c r="AT79" i="11"/>
  <c r="CA79" i="11"/>
  <c r="BG79" i="11"/>
  <c r="AH79" i="11"/>
  <c r="S79" i="11"/>
  <c r="AL79" i="11"/>
  <c r="AV79" i="11"/>
  <c r="AH9" i="9" s="1"/>
  <c r="AH7" i="9" s="1"/>
  <c r="AH13" i="7" s="1"/>
  <c r="CK79" i="11"/>
  <c r="CC79" i="11"/>
  <c r="Q79" i="11"/>
  <c r="C109" i="5" s="1"/>
  <c r="BZ79" i="11"/>
  <c r="BL111" i="5" s="1"/>
  <c r="BX79" i="11"/>
  <c r="CH79" i="11"/>
  <c r="X79" i="11"/>
  <c r="I107" i="11" s="1"/>
  <c r="AU79" i="11"/>
  <c r="V79" i="11"/>
  <c r="BF79" i="11"/>
  <c r="CP79" i="11"/>
  <c r="BL79" i="11"/>
  <c r="BU79" i="11"/>
  <c r="CM79" i="11"/>
  <c r="BY9" i="9" s="1"/>
  <c r="BY7" i="9" s="1"/>
  <c r="BY13" i="7" s="1"/>
  <c r="AE79" i="11"/>
  <c r="CB79" i="11"/>
  <c r="AB79" i="11"/>
  <c r="N9" i="9" s="1"/>
  <c r="N7" i="9" s="1"/>
  <c r="N13" i="7" s="1"/>
  <c r="AI79" i="11"/>
  <c r="U109" i="5" s="1"/>
  <c r="Y79" i="11"/>
  <c r="K112" i="5" s="1"/>
  <c r="CD79" i="11"/>
  <c r="BP112" i="5" s="1"/>
  <c r="CO79" i="11"/>
  <c r="BK79" i="11"/>
  <c r="CF79" i="11"/>
  <c r="BE79" i="11"/>
  <c r="AQ9" i="9" s="1"/>
  <c r="AQ7" i="9" s="1"/>
  <c r="AQ13" i="7" s="1"/>
  <c r="R79" i="11"/>
  <c r="AZ79" i="11"/>
  <c r="BT79" i="11"/>
  <c r="W79" i="11"/>
  <c r="H107" i="11" s="1"/>
  <c r="CQ79" i="11"/>
  <c r="AO79" i="11"/>
  <c r="BH79" i="11"/>
  <c r="BD79" i="11"/>
  <c r="AD79" i="11"/>
  <c r="AJ79" i="11"/>
  <c r="AS79" i="11"/>
  <c r="CJ79" i="11"/>
  <c r="CL79" i="11"/>
  <c r="T79" i="11"/>
  <c r="CI79" i="11"/>
  <c r="BQ79" i="11"/>
  <c r="BC109" i="5" s="1"/>
  <c r="BY79" i="11"/>
  <c r="BW79" i="11"/>
  <c r="BA79" i="11"/>
  <c r="AQ79" i="11"/>
  <c r="BJ79" i="11"/>
  <c r="AF79" i="11"/>
  <c r="R113" i="5" s="1"/>
  <c r="CN79" i="11"/>
  <c r="AX79" i="11"/>
  <c r="BP79" i="11"/>
  <c r="BB9" i="9" s="1"/>
  <c r="BB7" i="9" s="1"/>
  <c r="BB13" i="7" s="1"/>
  <c r="AR79" i="11"/>
  <c r="AD113" i="5" s="1"/>
  <c r="Z79" i="11"/>
  <c r="AC79" i="11"/>
  <c r="AP79" i="11"/>
  <c r="AH40" i="7"/>
  <c r="AO38" i="7"/>
  <c r="AH43" i="7"/>
  <c r="AO94" i="11"/>
  <c r="AA12" i="9"/>
  <c r="Z113" i="11"/>
  <c r="AJ113" i="11"/>
  <c r="AK12" i="9"/>
  <c r="AY94" i="11"/>
  <c r="M12" i="9"/>
  <c r="L113" i="11"/>
  <c r="AA94" i="11"/>
  <c r="BT24" i="7"/>
  <c r="BT28" i="7"/>
  <c r="BT20" i="7"/>
  <c r="CA23" i="7"/>
  <c r="BT25" i="7"/>
  <c r="BA94" i="11"/>
  <c r="AM12" i="9"/>
  <c r="AL113" i="11"/>
  <c r="AI94" i="11"/>
  <c r="T113" i="11"/>
  <c r="U12" i="9"/>
  <c r="AD94" i="11"/>
  <c r="O113" i="11"/>
  <c r="P12" i="9"/>
  <c r="BG109" i="11"/>
  <c r="BK107" i="11"/>
  <c r="X93" i="11"/>
  <c r="C28" i="18"/>
  <c r="I109" i="11"/>
  <c r="L23" i="14" s="1"/>
  <c r="X90" i="11"/>
  <c r="D11" i="9"/>
  <c r="C109" i="11"/>
  <c r="CC93" i="11"/>
  <c r="BN109" i="11"/>
  <c r="BO11" i="9"/>
  <c r="CC43" i="7"/>
  <c r="CC39" i="7"/>
  <c r="CC40" i="7"/>
  <c r="CC35" i="7"/>
  <c r="AL112" i="5"/>
  <c r="AK107" i="11"/>
  <c r="Z109" i="5"/>
  <c r="Z112" i="5"/>
  <c r="Z113" i="5"/>
  <c r="BF111" i="5"/>
  <c r="BF112" i="5"/>
  <c r="P107" i="11"/>
  <c r="Q111" i="5"/>
  <c r="BM39" i="7"/>
  <c r="BM35" i="7"/>
  <c r="BM40" i="7"/>
  <c r="BT38" i="7"/>
  <c r="BM43" i="7"/>
  <c r="BW35" i="7"/>
  <c r="BW40" i="7"/>
  <c r="BW39" i="7"/>
  <c r="BW43" i="7"/>
  <c r="AO93" i="11"/>
  <c r="AF43" i="7"/>
  <c r="AM38" i="7"/>
  <c r="AY109" i="11"/>
  <c r="BS39" i="7"/>
  <c r="BZ38" i="7"/>
  <c r="BS40" i="7"/>
  <c r="BS43" i="7"/>
  <c r="BS35" i="7"/>
  <c r="AZ93" i="11"/>
  <c r="P109" i="11"/>
  <c r="BI96" i="11"/>
  <c r="AC96" i="11"/>
  <c r="AS96" i="11"/>
  <c r="AB96" i="11"/>
  <c r="CQ96" i="11"/>
  <c r="BU96" i="11"/>
  <c r="AY96" i="11"/>
  <c r="CJ96" i="11"/>
  <c r="H109" i="11"/>
  <c r="AW82" i="11"/>
  <c r="AI111" i="5" s="1"/>
  <c r="BX82" i="11"/>
  <c r="CI82" i="11"/>
  <c r="S82" i="11"/>
  <c r="E110" i="5" s="1"/>
  <c r="AY82" i="11"/>
  <c r="AK109" i="5" s="1"/>
  <c r="CB82" i="11"/>
  <c r="BN110" i="5" s="1"/>
  <c r="CG82" i="11"/>
  <c r="AL82" i="11"/>
  <c r="BK82" i="11"/>
  <c r="BV82" i="11"/>
  <c r="BH109" i="5" s="1"/>
  <c r="CQ82" i="11"/>
  <c r="AB82" i="11"/>
  <c r="AO82" i="11"/>
  <c r="BL82" i="11"/>
  <c r="AA82" i="11"/>
  <c r="M113" i="5" s="1"/>
  <c r="AX82" i="11"/>
  <c r="BI82" i="11"/>
  <c r="BT82" i="11"/>
  <c r="BF109" i="5" s="1"/>
  <c r="CM82" i="11"/>
  <c r="BZ82" i="11"/>
  <c r="BL9" i="9" s="1"/>
  <c r="BL7" i="9" s="1"/>
  <c r="BL13" i="7" s="1"/>
  <c r="BF82" i="11"/>
  <c r="BS82" i="11"/>
  <c r="BE9" i="9" s="1"/>
  <c r="BE7" i="9" s="1"/>
  <c r="BE13" i="7" s="1"/>
  <c r="X82" i="11"/>
  <c r="AH82" i="11"/>
  <c r="AS82" i="11"/>
  <c r="AE113" i="5" s="1"/>
  <c r="CN82" i="11"/>
  <c r="CC82" i="11"/>
  <c r="BB82" i="11"/>
  <c r="BH82" i="11"/>
  <c r="CK82" i="11"/>
  <c r="U82" i="11"/>
  <c r="AF82" i="11"/>
  <c r="BQ82" i="11"/>
  <c r="AP82" i="11"/>
  <c r="Q82" i="11"/>
  <c r="CO82" i="11"/>
  <c r="BW82" i="11"/>
  <c r="CP82" i="11"/>
  <c r="BN82" i="11"/>
  <c r="CD82" i="11"/>
  <c r="BJ82" i="11"/>
  <c r="BR82" i="11"/>
  <c r="AM82" i="11"/>
  <c r="CL82" i="11"/>
  <c r="AV82" i="11"/>
  <c r="AZ82" i="11"/>
  <c r="BM82" i="11"/>
  <c r="CA82" i="11"/>
  <c r="AU82" i="11"/>
  <c r="AC82" i="11"/>
  <c r="AK82" i="11"/>
  <c r="BP82" i="11"/>
  <c r="BB110" i="5" s="1"/>
  <c r="AG82" i="11"/>
  <c r="BO82" i="11"/>
  <c r="CF82" i="11"/>
  <c r="BE82" i="11"/>
  <c r="T82" i="11"/>
  <c r="F110" i="5" s="1"/>
  <c r="AR82" i="11"/>
  <c r="AD112" i="5" s="1"/>
  <c r="BD82" i="11"/>
  <c r="AO107" i="11" s="1"/>
  <c r="AT82" i="11"/>
  <c r="CH82" i="11"/>
  <c r="Z82" i="11"/>
  <c r="L9" i="9" s="1"/>
  <c r="L7" i="9" s="1"/>
  <c r="L13" i="7" s="1"/>
  <c r="BC82" i="11"/>
  <c r="AO111" i="5" s="1"/>
  <c r="AI82" i="11"/>
  <c r="BU82" i="11"/>
  <c r="BY82" i="11"/>
  <c r="AE82" i="11"/>
  <c r="AJ82" i="11"/>
  <c r="BG82" i="11"/>
  <c r="CE82" i="11"/>
  <c r="R82" i="11"/>
  <c r="V82" i="11"/>
  <c r="BA82" i="11"/>
  <c r="AQ82" i="11"/>
  <c r="AC9" i="9" s="1"/>
  <c r="AC7" i="9" s="1"/>
  <c r="AC13" i="7" s="1"/>
  <c r="Y82" i="11"/>
  <c r="CJ82" i="11"/>
  <c r="AD82" i="11"/>
  <c r="AN82" i="11"/>
  <c r="W82" i="11"/>
  <c r="I9" i="9" s="1"/>
  <c r="I7" i="9" s="1"/>
  <c r="I13" i="7" s="1"/>
  <c r="BP38" i="7"/>
  <c r="BI35" i="7"/>
  <c r="BI39" i="7"/>
  <c r="BI43" i="7"/>
  <c r="BI40" i="7"/>
  <c r="AC12" i="9"/>
  <c r="AB113" i="11"/>
  <c r="AQ94" i="11"/>
  <c r="BX28" i="7"/>
  <c r="BX20" i="7"/>
  <c r="BX24" i="7"/>
  <c r="BX25" i="7"/>
  <c r="J113" i="11"/>
  <c r="K12" i="9"/>
  <c r="Y94" i="11"/>
  <c r="BZ94" i="11"/>
  <c r="BK113" i="11"/>
  <c r="BL12" i="9"/>
  <c r="AY113" i="11"/>
  <c r="BN94" i="11"/>
  <c r="BN92" i="11" s="1"/>
  <c r="AZ12" i="9"/>
  <c r="CB94" i="11"/>
  <c r="BM113" i="11"/>
  <c r="BN12" i="9"/>
  <c r="BW94" i="11"/>
  <c r="BH113" i="11"/>
  <c r="BI12" i="9"/>
  <c r="AD111" i="5"/>
  <c r="AD95" i="5" s="1"/>
  <c r="S93" i="11"/>
  <c r="S92" i="11" s="1"/>
  <c r="E11" i="9"/>
  <c r="G28" i="18"/>
  <c r="BE109" i="11"/>
  <c r="BT93" i="11"/>
  <c r="BF11" i="9"/>
  <c r="AZ9" i="7"/>
  <c r="AZ4" i="7"/>
  <c r="AZ12" i="7" s="1"/>
  <c r="AH11" i="9"/>
  <c r="AV93" i="11"/>
  <c r="V92" i="11"/>
  <c r="Y11" i="9"/>
  <c r="AM93" i="11"/>
  <c r="AS39" i="7"/>
  <c r="AS43" i="7"/>
  <c r="AZ38" i="7"/>
  <c r="AS40" i="7"/>
  <c r="AS35" i="7"/>
  <c r="M111" i="5"/>
  <c r="BP110" i="5"/>
  <c r="S9" i="9"/>
  <c r="S7" i="9" s="1"/>
  <c r="S13" i="7" s="1"/>
  <c r="S109" i="5"/>
  <c r="S111" i="5"/>
  <c r="S112" i="5"/>
  <c r="BJ112" i="5"/>
  <c r="BJ110" i="5"/>
  <c r="AG109" i="11"/>
  <c r="N23" i="14" s="1"/>
  <c r="BG39" i="7"/>
  <c r="BG43" i="7"/>
  <c r="BG40" i="7"/>
  <c r="BG35" i="7"/>
  <c r="BN38" i="7"/>
  <c r="AZ11" i="9"/>
  <c r="CB96" i="11"/>
  <c r="CD96" i="11"/>
  <c r="CK96" i="11"/>
  <c r="CF96" i="11"/>
  <c r="CA96" i="11"/>
  <c r="BJ96" i="11"/>
  <c r="AN96" i="11"/>
  <c r="BY84" i="11"/>
  <c r="AK84" i="11"/>
  <c r="AH84" i="11"/>
  <c r="AT84" i="11"/>
  <c r="BI84" i="11"/>
  <c r="CF84" i="11"/>
  <c r="AB84" i="11"/>
  <c r="AB90" i="11" s="1"/>
  <c r="BN84" i="11"/>
  <c r="Z84" i="11"/>
  <c r="S84" i="11"/>
  <c r="AE84" i="11"/>
  <c r="AE90" i="11" s="1"/>
  <c r="AN84" i="11"/>
  <c r="AN93" i="11" s="1"/>
  <c r="AS84" i="11"/>
  <c r="AE9" i="9" s="1"/>
  <c r="AE7" i="9" s="1"/>
  <c r="AE13" i="7" s="1"/>
  <c r="AA84" i="11"/>
  <c r="BC84" i="11"/>
  <c r="CD84" i="11"/>
  <c r="CP84" i="11"/>
  <c r="Q84" i="11"/>
  <c r="CG84" i="11"/>
  <c r="CE84" i="11"/>
  <c r="X84" i="11"/>
  <c r="Y84" i="11"/>
  <c r="BG84" i="11"/>
  <c r="AS109" i="5" s="1"/>
  <c r="BL84" i="11"/>
  <c r="BX84" i="11"/>
  <c r="AO84" i="11"/>
  <c r="BA84" i="11"/>
  <c r="BE84" i="11"/>
  <c r="CJ84" i="11"/>
  <c r="AV84" i="11"/>
  <c r="AH113" i="5" s="1"/>
  <c r="AX84" i="11"/>
  <c r="BJ84" i="11"/>
  <c r="CH84" i="11"/>
  <c r="AZ84" i="11"/>
  <c r="AL9" i="9" s="1"/>
  <c r="AL7" i="9" s="1"/>
  <c r="AL13" i="7" s="1"/>
  <c r="BD84" i="11"/>
  <c r="BQ84" i="11"/>
  <c r="AY84" i="11"/>
  <c r="CK84" i="11"/>
  <c r="W84" i="11"/>
  <c r="W90" i="11" s="1"/>
  <c r="BF84" i="11"/>
  <c r="AR110" i="5" s="1"/>
  <c r="AI84" i="11"/>
  <c r="BP84" i="11"/>
  <c r="AL84" i="11"/>
  <c r="AU84" i="11"/>
  <c r="T84" i="11"/>
  <c r="AP84" i="11"/>
  <c r="BW84" i="11"/>
  <c r="AJ84" i="11"/>
  <c r="CQ84" i="11"/>
  <c r="U84" i="11"/>
  <c r="AD84" i="11"/>
  <c r="AR84" i="11"/>
  <c r="CA84" i="11"/>
  <c r="CI84" i="11"/>
  <c r="BV84" i="11"/>
  <c r="AG84" i="11"/>
  <c r="BZ84" i="11"/>
  <c r="BO84" i="11"/>
  <c r="AC84" i="11"/>
  <c r="V84" i="11"/>
  <c r="BK84" i="11"/>
  <c r="BH84" i="11"/>
  <c r="BB84" i="11"/>
  <c r="CN84" i="11"/>
  <c r="AW84" i="11"/>
  <c r="AM84" i="11"/>
  <c r="BU84" i="11"/>
  <c r="CC84" i="11"/>
  <c r="AF84" i="11"/>
  <c r="CL84" i="11"/>
  <c r="BT84" i="11"/>
  <c r="CM84" i="11"/>
  <c r="BR84" i="11"/>
  <c r="R84" i="11"/>
  <c r="BS84" i="11"/>
  <c r="CB84" i="11"/>
  <c r="BM84" i="11"/>
  <c r="CO84" i="11"/>
  <c r="AQ84" i="11"/>
  <c r="R113" i="11"/>
  <c r="S12" i="9"/>
  <c r="AG94" i="11"/>
  <c r="AZ94" i="11"/>
  <c r="AK113" i="11"/>
  <c r="AL12" i="9"/>
  <c r="S94" i="11"/>
  <c r="L23" i="7" s="1"/>
  <c r="D113" i="11"/>
  <c r="E12" i="9"/>
  <c r="CC94" i="11"/>
  <c r="BO12" i="9"/>
  <c r="BN113" i="11"/>
  <c r="U94" i="11"/>
  <c r="N23" i="7" s="1"/>
  <c r="G12" i="9"/>
  <c r="F113" i="11"/>
  <c r="Q94" i="11"/>
  <c r="J23" i="7" s="1"/>
  <c r="B27" i="18"/>
  <c r="B113" i="11"/>
  <c r="B44" i="18"/>
  <c r="C12" i="9"/>
  <c r="B36" i="18"/>
  <c r="CA25" i="7"/>
  <c r="CA24" i="7"/>
  <c r="CA20" i="7"/>
  <c r="CA28" i="7"/>
  <c r="BQ93" i="11"/>
  <c r="AF111" i="5"/>
  <c r="BT41" i="15"/>
  <c r="BT15" i="7"/>
  <c r="G13" i="18"/>
  <c r="H25" i="5"/>
  <c r="CQ92" i="11"/>
  <c r="CC4" i="7"/>
  <c r="CC9" i="7"/>
  <c r="CV75" i="11"/>
  <c r="CT75" i="11" s="1"/>
  <c r="CV85" i="11"/>
  <c r="CT85" i="11" s="1"/>
  <c r="CV73" i="11"/>
  <c r="CT73" i="11" s="1"/>
  <c r="CV79" i="11"/>
  <c r="CV76" i="11"/>
  <c r="CT76" i="11" s="1"/>
  <c r="CV70" i="11"/>
  <c r="CT70" i="11" s="1"/>
  <c r="CV66" i="11"/>
  <c r="CT66" i="11" s="1"/>
  <c r="CV82" i="11"/>
  <c r="CV81" i="11"/>
  <c r="CT81" i="11" s="1"/>
  <c r="CV77" i="11"/>
  <c r="CT77" i="11" s="1"/>
  <c r="CV78" i="11"/>
  <c r="CT78" i="11" s="1"/>
  <c r="CV72" i="11"/>
  <c r="CT72" i="11" s="1"/>
  <c r="CV84" i="11"/>
  <c r="CV80" i="11"/>
  <c r="CT80" i="11" s="1"/>
  <c r="CV67" i="11"/>
  <c r="CT67" i="11" s="1"/>
  <c r="CV61" i="11"/>
  <c r="CT61" i="11" s="1"/>
  <c r="CV58" i="11"/>
  <c r="CT58" i="11" s="1"/>
  <c r="CV46" i="11"/>
  <c r="CT46" i="11" s="1"/>
  <c r="CV31" i="11"/>
  <c r="CT31" i="11" s="1"/>
  <c r="CV83" i="11"/>
  <c r="CT83" i="11" s="1"/>
  <c r="CV45" i="11"/>
  <c r="CT45" i="11" s="1"/>
  <c r="CV44" i="11"/>
  <c r="CT44" i="11" s="1"/>
  <c r="CV64" i="11"/>
  <c r="CT64" i="11" s="1"/>
  <c r="CV69" i="11"/>
  <c r="CT69" i="11" s="1"/>
  <c r="CV68" i="11"/>
  <c r="CT68" i="11" s="1"/>
  <c r="CV60" i="11"/>
  <c r="CT60" i="11" s="1"/>
  <c r="CV56" i="11"/>
  <c r="CT56" i="11" s="1"/>
  <c r="CV65" i="11"/>
  <c r="CT65" i="11" s="1"/>
  <c r="CV63" i="11"/>
  <c r="CT63" i="11" s="1"/>
  <c r="CV54" i="11"/>
  <c r="CT54" i="11" s="1"/>
  <c r="CV35" i="11"/>
  <c r="CT35" i="11" s="1"/>
  <c r="CV62" i="11"/>
  <c r="CT62" i="11" s="1"/>
  <c r="CV38" i="11"/>
  <c r="CT38" i="11" s="1"/>
  <c r="CV32" i="11"/>
  <c r="CT32" i="11" s="1"/>
  <c r="CV28" i="11"/>
  <c r="CT28" i="11" s="1"/>
  <c r="CV27" i="11"/>
  <c r="CT27" i="11" s="1"/>
  <c r="CV74" i="11"/>
  <c r="CT74" i="11" s="1"/>
  <c r="CV53" i="11"/>
  <c r="CT53" i="11" s="1"/>
  <c r="CV41" i="11"/>
  <c r="CT41" i="11" s="1"/>
  <c r="CV47" i="11"/>
  <c r="CT47" i="11" s="1"/>
  <c r="CV33" i="11"/>
  <c r="CT33" i="11" s="1"/>
  <c r="CV48" i="11"/>
  <c r="CT48" i="11" s="1"/>
  <c r="CV29" i="11"/>
  <c r="CT29" i="11" s="1"/>
  <c r="CV26" i="11"/>
  <c r="CT26" i="11" s="1"/>
  <c r="CV20" i="11"/>
  <c r="CT20" i="11" s="1"/>
  <c r="CV55" i="11"/>
  <c r="CT55" i="11" s="1"/>
  <c r="CV42" i="11"/>
  <c r="CT42" i="11" s="1"/>
  <c r="CV23" i="11"/>
  <c r="CT23" i="11" s="1"/>
  <c r="CV19" i="11"/>
  <c r="CT19" i="11" s="1"/>
  <c r="CV17" i="11"/>
  <c r="CT17" i="11" s="1"/>
  <c r="CV59" i="11"/>
  <c r="CT59" i="11" s="1"/>
  <c r="CV50" i="11"/>
  <c r="CT50" i="11" s="1"/>
  <c r="CV71" i="11"/>
  <c r="CT71" i="11" s="1"/>
  <c r="CV52" i="11"/>
  <c r="CT52" i="11" s="1"/>
  <c r="CV51" i="11"/>
  <c r="CT51" i="11" s="1"/>
  <c r="CV12" i="11"/>
  <c r="CT12" i="11" s="1"/>
  <c r="CV37" i="11"/>
  <c r="CV36" i="11"/>
  <c r="CT36" i="11" s="1"/>
  <c r="CV30" i="11"/>
  <c r="CT30" i="11" s="1"/>
  <c r="CV40" i="11"/>
  <c r="CT40" i="11" s="1"/>
  <c r="CV39" i="11"/>
  <c r="CT39" i="11" s="1"/>
  <c r="CV57" i="11"/>
  <c r="CT57" i="11" s="1"/>
  <c r="CV25" i="11"/>
  <c r="CT25" i="11" s="1"/>
  <c r="CV16" i="11"/>
  <c r="CT16" i="11" s="1"/>
  <c r="CV49" i="11"/>
  <c r="CT49" i="11" s="1"/>
  <c r="CV43" i="11"/>
  <c r="CT43" i="11" s="1"/>
  <c r="CV24" i="11"/>
  <c r="CT24" i="11" s="1"/>
  <c r="CV21" i="11"/>
  <c r="CT21" i="11" s="1"/>
  <c r="CV4" i="11"/>
  <c r="CT4" i="11" s="1"/>
  <c r="CV11" i="11"/>
  <c r="CT11" i="11" s="1"/>
  <c r="CV10" i="11"/>
  <c r="CT10" i="11" s="1"/>
  <c r="CV9" i="11"/>
  <c r="CT9" i="11" s="1"/>
  <c r="CV18" i="11"/>
  <c r="CT18" i="11" s="1"/>
  <c r="CV14" i="11"/>
  <c r="CT14" i="11" s="1"/>
  <c r="CV13" i="11"/>
  <c r="CT13" i="11" s="1"/>
  <c r="CV22" i="11"/>
  <c r="CT22" i="11" s="1"/>
  <c r="CV15" i="11"/>
  <c r="CT15" i="11" s="1"/>
  <c r="CV6" i="11"/>
  <c r="CT6" i="11" s="1"/>
  <c r="CV8" i="11"/>
  <c r="CT8" i="11" s="1"/>
  <c r="CV5" i="11"/>
  <c r="CT5" i="11" s="1"/>
  <c r="CV34" i="11"/>
  <c r="CT34" i="11" s="1"/>
  <c r="CV7" i="11"/>
  <c r="CT7" i="11" s="1"/>
  <c r="AZ11" i="14"/>
  <c r="AJ11" i="14"/>
  <c r="Y11" i="14"/>
  <c r="U11" i="14"/>
  <c r="AX11" i="14"/>
  <c r="AD11" i="14"/>
  <c r="BY11" i="14"/>
  <c r="BO11" i="14"/>
  <c r="W11" i="14"/>
  <c r="AR11" i="14"/>
  <c r="AH11" i="14"/>
  <c r="BN11" i="14"/>
  <c r="AI11" i="14"/>
  <c r="BL11" i="14"/>
  <c r="AE11" i="14"/>
  <c r="AA11" i="14"/>
  <c r="AU11" i="14"/>
  <c r="BS11" i="14"/>
  <c r="AB11" i="14"/>
  <c r="H11" i="14"/>
  <c r="P11" i="14"/>
  <c r="AC11" i="14"/>
  <c r="BJ11" i="14"/>
  <c r="I11" i="14"/>
  <c r="BR11" i="14"/>
  <c r="BT11" i="14"/>
  <c r="X11" i="14"/>
  <c r="BE11" i="14"/>
  <c r="L11" i="14"/>
  <c r="AW11" i="14"/>
  <c r="V11" i="14"/>
  <c r="K11" i="14"/>
  <c r="AV11" i="14"/>
  <c r="F11" i="14"/>
  <c r="T11" i="14"/>
  <c r="BZ11" i="14"/>
  <c r="B11" i="14"/>
  <c r="B8" i="14" s="1"/>
  <c r="N11" i="14"/>
  <c r="BD11" i="14"/>
  <c r="E11" i="14"/>
  <c r="BQ11" i="14"/>
  <c r="D11" i="14"/>
  <c r="AM11" i="14"/>
  <c r="O11" i="14"/>
  <c r="AN11" i="14"/>
  <c r="BV11" i="14"/>
  <c r="Q11" i="14"/>
  <c r="AT11" i="14"/>
  <c r="CB11" i="14"/>
  <c r="AK11" i="14"/>
  <c r="BB11" i="14"/>
  <c r="AG11" i="14"/>
  <c r="C11" i="14"/>
  <c r="C8" i="14" s="1"/>
  <c r="C110" i="11" s="1"/>
  <c r="M11" i="14"/>
  <c r="BA11" i="14"/>
  <c r="AF11" i="14"/>
  <c r="BF11" i="14"/>
  <c r="AY11" i="14"/>
  <c r="BH11" i="14"/>
  <c r="BU11" i="14"/>
  <c r="G11" i="14"/>
  <c r="AP11" i="14"/>
  <c r="BP11" i="14"/>
  <c r="BX11" i="14"/>
  <c r="R11" i="14"/>
  <c r="BK11" i="14"/>
  <c r="AO11" i="14"/>
  <c r="AL11" i="14"/>
  <c r="AQ11" i="14"/>
  <c r="J11" i="14"/>
  <c r="BC11" i="14"/>
  <c r="BG11" i="14"/>
  <c r="CL92" i="11"/>
  <c r="BX4" i="7"/>
  <c r="BX9" i="7"/>
  <c r="Q24" i="14"/>
  <c r="CF92" i="11"/>
  <c r="BR9" i="7"/>
  <c r="BR4" i="7"/>
  <c r="O54" i="13"/>
  <c r="CM92" i="11"/>
  <c r="BY9" i="7"/>
  <c r="BY4" i="7"/>
  <c r="AW89" i="5"/>
  <c r="AW96" i="5"/>
  <c r="AD93" i="5"/>
  <c r="AD86" i="5"/>
  <c r="U90" i="5"/>
  <c r="U97" i="5"/>
  <c r="CK92" i="11"/>
  <c r="BW9" i="7"/>
  <c r="BW4" i="7"/>
  <c r="K96" i="5"/>
  <c r="K89" i="5"/>
  <c r="G14" i="18"/>
  <c r="H26" i="5"/>
  <c r="AR92" i="11"/>
  <c r="AD4" i="7"/>
  <c r="AD9" i="7"/>
  <c r="CH92" i="11"/>
  <c r="BT9" i="7"/>
  <c r="BT4" i="7"/>
  <c r="BH12" i="7"/>
  <c r="CI92" i="11"/>
  <c r="BU4" i="7"/>
  <c r="BU9" i="7"/>
  <c r="CO92" i="11"/>
  <c r="CA9" i="7"/>
  <c r="CA4" i="7"/>
  <c r="BI11" i="14"/>
  <c r="CN92" i="11"/>
  <c r="BZ9" i="7"/>
  <c r="BZ4" i="7"/>
  <c r="G12" i="18"/>
  <c r="H24" i="5"/>
  <c r="G45" i="5"/>
  <c r="G10" i="6" s="1"/>
  <c r="AJ39" i="15"/>
  <c r="CJ92" i="11"/>
  <c r="BV9" i="7"/>
  <c r="BV4" i="7"/>
  <c r="CP92" i="11"/>
  <c r="CB9" i="7"/>
  <c r="CB4" i="7"/>
  <c r="CG92" i="11"/>
  <c r="BS4" i="7"/>
  <c r="BS9" i="7"/>
  <c r="Q23" i="14"/>
  <c r="K23" i="14" l="1"/>
  <c r="AD88" i="5"/>
  <c r="AK93" i="5"/>
  <c r="AK86" i="5"/>
  <c r="Z93" i="5"/>
  <c r="Z86" i="5"/>
  <c r="BQ110" i="5"/>
  <c r="AG8" i="7"/>
  <c r="E18" i="2"/>
  <c r="AN7" i="7"/>
  <c r="BV23" i="7"/>
  <c r="BO24" i="7"/>
  <c r="BO28" i="7"/>
  <c r="BO20" i="7"/>
  <c r="BO25" i="7"/>
  <c r="AS93" i="5"/>
  <c r="AS86" i="5"/>
  <c r="AN92" i="11"/>
  <c r="Z9" i="7"/>
  <c r="Z4" i="7"/>
  <c r="Z12" i="7" s="1"/>
  <c r="BP94" i="5"/>
  <c r="BP87" i="5"/>
  <c r="AV92" i="11"/>
  <c r="AH4" i="7"/>
  <c r="AH12" i="7" s="1"/>
  <c r="AH9" i="7"/>
  <c r="AO88" i="5"/>
  <c r="AO95" i="5"/>
  <c r="AK112" i="5"/>
  <c r="M28" i="7"/>
  <c r="M24" i="7"/>
  <c r="T23" i="7"/>
  <c r="M20" i="7"/>
  <c r="AM110" i="5"/>
  <c r="AM113" i="5"/>
  <c r="AM112" i="5"/>
  <c r="AM9" i="9"/>
  <c r="AM7" i="9" s="1"/>
  <c r="AM13" i="7" s="1"/>
  <c r="AM109" i="5"/>
  <c r="AM111" i="5"/>
  <c r="AL107" i="11"/>
  <c r="AP110" i="5"/>
  <c r="AP111" i="5"/>
  <c r="AP9" i="9"/>
  <c r="AP7" i="9" s="1"/>
  <c r="AP13" i="7" s="1"/>
  <c r="AP109" i="5"/>
  <c r="AP113" i="5"/>
  <c r="AP112" i="5"/>
  <c r="CA9" i="9"/>
  <c r="CA7" i="9" s="1"/>
  <c r="CA13" i="7" s="1"/>
  <c r="CA109" i="5"/>
  <c r="CA111" i="5"/>
  <c r="CA112" i="5"/>
  <c r="CA110" i="5"/>
  <c r="CA113" i="5"/>
  <c r="BZ107" i="11"/>
  <c r="AQ107" i="11"/>
  <c r="AR112" i="5"/>
  <c r="AR113" i="5"/>
  <c r="AR111" i="5"/>
  <c r="AR109" i="5"/>
  <c r="AR9" i="9"/>
  <c r="AR7" i="9" s="1"/>
  <c r="AR13" i="7" s="1"/>
  <c r="W107" i="11"/>
  <c r="X9" i="9"/>
  <c r="X7" i="9" s="1"/>
  <c r="X13" i="7" s="1"/>
  <c r="X113" i="5"/>
  <c r="X109" i="5"/>
  <c r="X112" i="5"/>
  <c r="AX107" i="11"/>
  <c r="AY111" i="5"/>
  <c r="AY110" i="5"/>
  <c r="AY9" i="9"/>
  <c r="AY7" i="9" s="1"/>
  <c r="AY13" i="7" s="1"/>
  <c r="AY113" i="5"/>
  <c r="AY112" i="5"/>
  <c r="AY109" i="5"/>
  <c r="BD111" i="5"/>
  <c r="BC107" i="11"/>
  <c r="BD9" i="9"/>
  <c r="BD7" i="9" s="1"/>
  <c r="BD13" i="7" s="1"/>
  <c r="BD109" i="5"/>
  <c r="BD112" i="5"/>
  <c r="BD110" i="5"/>
  <c r="BD113" i="5"/>
  <c r="BI50" i="7"/>
  <c r="BI55" i="7"/>
  <c r="BI58" i="7"/>
  <c r="BI54" i="7"/>
  <c r="BP53" i="7"/>
  <c r="L107" i="11"/>
  <c r="BF93" i="5"/>
  <c r="BF86" i="5"/>
  <c r="BI109" i="5"/>
  <c r="BP89" i="5"/>
  <c r="BP96" i="5"/>
  <c r="H112" i="5"/>
  <c r="M95" i="5"/>
  <c r="M88" i="5"/>
  <c r="K20" i="7"/>
  <c r="R23" i="7"/>
  <c r="K24" i="7"/>
  <c r="K28" i="7"/>
  <c r="BN87" i="5"/>
  <c r="BN94" i="5"/>
  <c r="U20" i="7"/>
  <c r="AB23" i="7"/>
  <c r="U24" i="7"/>
  <c r="U25" i="7"/>
  <c r="U28" i="7"/>
  <c r="AI92" i="11"/>
  <c r="O110" i="5"/>
  <c r="O112" i="5"/>
  <c r="O109" i="5"/>
  <c r="O111" i="5"/>
  <c r="O113" i="5"/>
  <c r="O9" i="9"/>
  <c r="O7" i="9" s="1"/>
  <c r="O13" i="7" s="1"/>
  <c r="BJ107" i="11"/>
  <c r="BK9" i="9"/>
  <c r="BK7" i="9" s="1"/>
  <c r="BK13" i="7" s="1"/>
  <c r="BK112" i="5"/>
  <c r="BK113" i="5"/>
  <c r="BK109" i="5"/>
  <c r="BK111" i="5"/>
  <c r="BK110" i="5"/>
  <c r="AA9" i="9"/>
  <c r="AA7" i="9" s="1"/>
  <c r="AA13" i="7" s="1"/>
  <c r="Z107" i="11"/>
  <c r="AA109" i="5"/>
  <c r="AA110" i="5"/>
  <c r="AA111" i="5"/>
  <c r="AA112" i="5"/>
  <c r="AF107" i="11"/>
  <c r="AK113" i="5"/>
  <c r="BI28" i="7"/>
  <c r="BI24" i="7"/>
  <c r="BI25" i="7"/>
  <c r="BI20" i="7"/>
  <c r="BP23" i="7"/>
  <c r="AF9" i="9"/>
  <c r="AF7" i="9" s="1"/>
  <c r="AF13" i="7" s="1"/>
  <c r="AF110" i="5"/>
  <c r="BO109" i="5"/>
  <c r="BO113" i="5"/>
  <c r="BC93" i="5"/>
  <c r="BC86" i="5"/>
  <c r="U86" i="5"/>
  <c r="U93" i="5"/>
  <c r="AN9" i="9"/>
  <c r="AN7" i="9" s="1"/>
  <c r="AN13" i="7" s="1"/>
  <c r="AR90" i="11"/>
  <c r="BM9" i="9"/>
  <c r="BM7" i="9" s="1"/>
  <c r="BM13" i="7" s="1"/>
  <c r="AW8" i="7"/>
  <c r="BD7" i="7"/>
  <c r="CH90" i="11"/>
  <c r="AR94" i="5"/>
  <c r="AR87" i="5"/>
  <c r="AD96" i="5"/>
  <c r="AD89" i="5"/>
  <c r="BN111" i="5"/>
  <c r="AE107" i="11"/>
  <c r="E94" i="5"/>
  <c r="E87" i="5"/>
  <c r="CS81" i="11"/>
  <c r="BL88" i="5"/>
  <c r="BL95" i="5"/>
  <c r="Q88" i="5"/>
  <c r="Q95" i="5"/>
  <c r="BW50" i="7"/>
  <c r="BW58" i="7"/>
  <c r="BW54" i="7"/>
  <c r="BW55" i="7"/>
  <c r="BJ89" i="5"/>
  <c r="BJ96" i="5"/>
  <c r="AG92" i="11"/>
  <c r="Z23" i="7"/>
  <c r="S28" i="7"/>
  <c r="S20" i="7"/>
  <c r="S24" i="7"/>
  <c r="S25" i="7"/>
  <c r="BN55" i="7"/>
  <c r="BN58" i="7"/>
  <c r="BN50" i="7"/>
  <c r="BN54" i="7"/>
  <c r="BU53" i="7"/>
  <c r="D109" i="5"/>
  <c r="C93" i="5"/>
  <c r="C86" i="5"/>
  <c r="M97" i="5"/>
  <c r="M90" i="5"/>
  <c r="AF95" i="5"/>
  <c r="AF88" i="5"/>
  <c r="S88" i="5"/>
  <c r="S95" i="5"/>
  <c r="Z97" i="5"/>
  <c r="Z90" i="5"/>
  <c r="R90" i="5"/>
  <c r="R97" i="5"/>
  <c r="BG110" i="5"/>
  <c r="BN107" i="11"/>
  <c r="AZ110" i="5"/>
  <c r="BG7" i="7"/>
  <c r="AZ8" i="7"/>
  <c r="BQ113" i="5"/>
  <c r="BQ9" i="9"/>
  <c r="BQ7" i="9" s="1"/>
  <c r="BQ13" i="7" s="1"/>
  <c r="BQ111" i="5"/>
  <c r="AD97" i="5"/>
  <c r="AD90" i="5"/>
  <c r="S93" i="5"/>
  <c r="S86" i="5"/>
  <c r="AC24" i="7"/>
  <c r="AJ23" i="7"/>
  <c r="AC25" i="7"/>
  <c r="AC20" i="7"/>
  <c r="AC28" i="7"/>
  <c r="Z89" i="5"/>
  <c r="Z96" i="5"/>
  <c r="BH89" i="5"/>
  <c r="BH96" i="5"/>
  <c r="AO90" i="5"/>
  <c r="AO97" i="5"/>
  <c r="BB87" i="5"/>
  <c r="BB94" i="5"/>
  <c r="X110" i="5"/>
  <c r="BG58" i="7"/>
  <c r="BN53" i="7"/>
  <c r="BG55" i="7"/>
  <c r="BG50" i="7"/>
  <c r="BG54" i="7"/>
  <c r="BF88" i="5"/>
  <c r="BF95" i="5"/>
  <c r="AJ107" i="11"/>
  <c r="AV111" i="5"/>
  <c r="AV113" i="5"/>
  <c r="AU107" i="11"/>
  <c r="AV9" i="9"/>
  <c r="AV7" i="9" s="1"/>
  <c r="AV13" i="7" s="1"/>
  <c r="AV109" i="5"/>
  <c r="AV112" i="5"/>
  <c r="V111" i="5"/>
  <c r="U107" i="11"/>
  <c r="V9" i="9"/>
  <c r="V7" i="9" s="1"/>
  <c r="V13" i="7" s="1"/>
  <c r="BR113" i="5"/>
  <c r="BQ107" i="11"/>
  <c r="BR112" i="5"/>
  <c r="BR110" i="5"/>
  <c r="BR9" i="9"/>
  <c r="BR7" i="9" s="1"/>
  <c r="BR13" i="7" s="1"/>
  <c r="BR109" i="5"/>
  <c r="BR111" i="5"/>
  <c r="AX109" i="5"/>
  <c r="AX113" i="5"/>
  <c r="AX112" i="5"/>
  <c r="AX110" i="5"/>
  <c r="AX111" i="5"/>
  <c r="AW107" i="11"/>
  <c r="AX9" i="9"/>
  <c r="AX7" i="9" s="1"/>
  <c r="AX13" i="7" s="1"/>
  <c r="BW109" i="5"/>
  <c r="BV107" i="11"/>
  <c r="BW9" i="9"/>
  <c r="BW7" i="9" s="1"/>
  <c r="BW13" i="7" s="1"/>
  <c r="BW112" i="5"/>
  <c r="BW110" i="5"/>
  <c r="BW113" i="5"/>
  <c r="BW111" i="5"/>
  <c r="AI86" i="5"/>
  <c r="AI93" i="5"/>
  <c r="AG113" i="5"/>
  <c r="K109" i="5"/>
  <c r="R97" i="11"/>
  <c r="R90" i="11"/>
  <c r="C111" i="11"/>
  <c r="D10" i="9"/>
  <c r="R89" i="11"/>
  <c r="BM90" i="11"/>
  <c r="AX111" i="11"/>
  <c r="AY10" i="9"/>
  <c r="BM89" i="11"/>
  <c r="BM97" i="11"/>
  <c r="BW97" i="11"/>
  <c r="BI10" i="9"/>
  <c r="BW90" i="11"/>
  <c r="BH111" i="11"/>
  <c r="BW89" i="11"/>
  <c r="AD97" i="11"/>
  <c r="P10" i="9"/>
  <c r="O111" i="11"/>
  <c r="AD89" i="11"/>
  <c r="AD90" i="11"/>
  <c r="AD111" i="11"/>
  <c r="AS97" i="11"/>
  <c r="AE10" i="9"/>
  <c r="AS90" i="11"/>
  <c r="AS89" i="11"/>
  <c r="BZ97" i="11"/>
  <c r="BK111" i="11"/>
  <c r="BZ89" i="11"/>
  <c r="BL10" i="9"/>
  <c r="Y89" i="11"/>
  <c r="Y90" i="11"/>
  <c r="Y97" i="11"/>
  <c r="K10" i="9"/>
  <c r="J111" i="11"/>
  <c r="BU55" i="7"/>
  <c r="CB53" i="7"/>
  <c r="BU54" i="7"/>
  <c r="BU50" i="7"/>
  <c r="BU58" i="7"/>
  <c r="AO110" i="5"/>
  <c r="W113" i="5"/>
  <c r="BZ90" i="11"/>
  <c r="AM107" i="11"/>
  <c r="BB28" i="7"/>
  <c r="BB24" i="7"/>
  <c r="BB25" i="7"/>
  <c r="BB20" i="7"/>
  <c r="BI23" i="7"/>
  <c r="AU24" i="7"/>
  <c r="AU20" i="7"/>
  <c r="AU28" i="7"/>
  <c r="AU25" i="7"/>
  <c r="BB23" i="7"/>
  <c r="AQ112" i="5"/>
  <c r="AW92" i="11"/>
  <c r="AI9" i="7"/>
  <c r="AI4" i="7"/>
  <c r="C9" i="9"/>
  <c r="C7" i="9" s="1"/>
  <c r="C13" i="7" s="1"/>
  <c r="BN112" i="5"/>
  <c r="BI92" i="11"/>
  <c r="AU9" i="7"/>
  <c r="AU4" i="7"/>
  <c r="AU12" i="7" s="1"/>
  <c r="U9" i="9"/>
  <c r="U7" i="9" s="1"/>
  <c r="U13" i="7" s="1"/>
  <c r="CA54" i="7"/>
  <c r="CA55" i="7"/>
  <c r="CA50" i="7"/>
  <c r="CA58" i="7"/>
  <c r="BL107" i="11"/>
  <c r="BC113" i="5"/>
  <c r="BM23" i="7"/>
  <c r="BF28" i="7"/>
  <c r="BF25" i="7"/>
  <c r="BF24" i="7"/>
  <c r="BF20" i="7"/>
  <c r="H113" i="5"/>
  <c r="BK25" i="7"/>
  <c r="BK24" i="7"/>
  <c r="BK28" i="7"/>
  <c r="BR23" i="7"/>
  <c r="BK20" i="7"/>
  <c r="Q24" i="7"/>
  <c r="AE92" i="11"/>
  <c r="Q20" i="7"/>
  <c r="Q28" i="7"/>
  <c r="X23" i="7"/>
  <c r="BF107" i="11"/>
  <c r="BI113" i="5"/>
  <c r="BM4" i="7"/>
  <c r="BM12" i="7" s="1"/>
  <c r="BM9" i="7"/>
  <c r="CA92" i="11"/>
  <c r="CT82" i="11"/>
  <c r="N107" i="11"/>
  <c r="S96" i="5"/>
  <c r="S89" i="5"/>
  <c r="BS23" i="7"/>
  <c r="BL20" i="7"/>
  <c r="BL24" i="7"/>
  <c r="BL28" i="7"/>
  <c r="BL25" i="7"/>
  <c r="BO107" i="11"/>
  <c r="CC55" i="7"/>
  <c r="CC54" i="7"/>
  <c r="CC50" i="7"/>
  <c r="CC58" i="7"/>
  <c r="BF110" i="5"/>
  <c r="CC92" i="11"/>
  <c r="BO9" i="7"/>
  <c r="BO4" i="7"/>
  <c r="BO12" i="7" s="1"/>
  <c r="W23" i="7"/>
  <c r="P28" i="7"/>
  <c r="P20" i="7"/>
  <c r="P24" i="7"/>
  <c r="AC111" i="5"/>
  <c r="AC113" i="5"/>
  <c r="AC110" i="5"/>
  <c r="AC112" i="5"/>
  <c r="AC109" i="5"/>
  <c r="AB107" i="11"/>
  <c r="P111" i="5"/>
  <c r="P113" i="5"/>
  <c r="P109" i="5"/>
  <c r="P112" i="5"/>
  <c r="AW111" i="5"/>
  <c r="AV107" i="11"/>
  <c r="CB109" i="5"/>
  <c r="CA107" i="11"/>
  <c r="CB9" i="9"/>
  <c r="CB7" i="9" s="1"/>
  <c r="CB13" i="7" s="1"/>
  <c r="CB113" i="5"/>
  <c r="CB111" i="5"/>
  <c r="CB112" i="5"/>
  <c r="CB110" i="5"/>
  <c r="AG107" i="11"/>
  <c r="AH112" i="5"/>
  <c r="AH109" i="5"/>
  <c r="AH110" i="5"/>
  <c r="Z95" i="5"/>
  <c r="Z88" i="5"/>
  <c r="AI50" i="7"/>
  <c r="AI55" i="7"/>
  <c r="AI94" i="5"/>
  <c r="AI87" i="5"/>
  <c r="AG112" i="5"/>
  <c r="AY92" i="11"/>
  <c r="AK4" i="7"/>
  <c r="AK12" i="7" s="1"/>
  <c r="AK9" i="7"/>
  <c r="BE25" i="7"/>
  <c r="BL23" i="7"/>
  <c r="BE20" i="7"/>
  <c r="BE24" i="7"/>
  <c r="BE28" i="7"/>
  <c r="BO97" i="11"/>
  <c r="AZ111" i="11"/>
  <c r="BA10" i="9"/>
  <c r="BO89" i="11"/>
  <c r="BO90" i="11"/>
  <c r="AE89" i="11"/>
  <c r="AE91" i="11" s="1"/>
  <c r="Q5" i="9" s="1"/>
  <c r="Q10" i="9"/>
  <c r="AE97" i="11"/>
  <c r="P111" i="11"/>
  <c r="M10" i="9"/>
  <c r="AA89" i="11"/>
  <c r="AA97" i="11"/>
  <c r="L111" i="11"/>
  <c r="AA90" i="11"/>
  <c r="CA97" i="11"/>
  <c r="CA89" i="11"/>
  <c r="CA90" i="11"/>
  <c r="BM10" i="9"/>
  <c r="BL111" i="11"/>
  <c r="BD97" i="11"/>
  <c r="AW68" i="7" s="1"/>
  <c r="BD89" i="11"/>
  <c r="AO111" i="11"/>
  <c r="AP10" i="9"/>
  <c r="BD90" i="11"/>
  <c r="AM90" i="11"/>
  <c r="Y10" i="9"/>
  <c r="AM97" i="11"/>
  <c r="X111" i="11"/>
  <c r="AM89" i="11"/>
  <c r="AH90" i="11"/>
  <c r="T10" i="9"/>
  <c r="AH89" i="11"/>
  <c r="S111" i="11"/>
  <c r="AH97" i="11"/>
  <c r="BO58" i="7"/>
  <c r="BO54" i="7"/>
  <c r="BV53" i="7"/>
  <c r="BO55" i="7"/>
  <c r="BO50" i="7"/>
  <c r="AO112" i="5"/>
  <c r="AX53" i="7"/>
  <c r="AQ55" i="7"/>
  <c r="AQ50" i="7"/>
  <c r="I109" i="5"/>
  <c r="BN113" i="5"/>
  <c r="CD92" i="11"/>
  <c r="BP9" i="7"/>
  <c r="BP4" i="7"/>
  <c r="AJ28" i="7"/>
  <c r="AJ20" i="7"/>
  <c r="AQ23" i="7"/>
  <c r="AJ25" i="7"/>
  <c r="AJ24" i="7"/>
  <c r="N110" i="5"/>
  <c r="U112" i="5"/>
  <c r="AV23" i="7"/>
  <c r="AO24" i="7"/>
  <c r="AO28" i="7"/>
  <c r="AO25" i="7"/>
  <c r="AO20" i="7"/>
  <c r="BM109" i="5"/>
  <c r="BC9" i="9"/>
  <c r="BC7" i="9" s="1"/>
  <c r="BC13" i="7" s="1"/>
  <c r="L24" i="14"/>
  <c r="AJ55" i="7"/>
  <c r="AJ50" i="7"/>
  <c r="H109" i="5"/>
  <c r="Y28" i="7"/>
  <c r="Y25" i="7"/>
  <c r="Y24" i="7"/>
  <c r="Y20" i="7"/>
  <c r="AF23" i="7"/>
  <c r="BH39" i="15"/>
  <c r="BG113" i="5"/>
  <c r="BI112" i="5"/>
  <c r="AY23" i="7"/>
  <c r="AR28" i="7"/>
  <c r="AR24" i="7"/>
  <c r="AR20" i="7"/>
  <c r="AR25" i="7"/>
  <c r="F10" i="9"/>
  <c r="T89" i="11"/>
  <c r="T90" i="11"/>
  <c r="T97" i="11"/>
  <c r="E111" i="11"/>
  <c r="BT97" i="11"/>
  <c r="BT89" i="11"/>
  <c r="G35" i="18"/>
  <c r="G43" i="18"/>
  <c r="BT90" i="11"/>
  <c r="BT91" i="11" s="1"/>
  <c r="BF5" i="9" s="1"/>
  <c r="G59" i="18"/>
  <c r="G51" i="18"/>
  <c r="BR6" i="9" a="1"/>
  <c r="BR6" i="9" s="1"/>
  <c r="BE111" i="11"/>
  <c r="G26" i="18"/>
  <c r="BF10" i="9"/>
  <c r="BR97" i="11"/>
  <c r="BR89" i="11"/>
  <c r="BC111" i="11"/>
  <c r="BD10" i="9"/>
  <c r="BR90" i="11"/>
  <c r="AT6" i="9" a="1"/>
  <c r="AT6" i="9" s="1"/>
  <c r="AV89" i="11"/>
  <c r="AV91" i="11" s="1"/>
  <c r="AH5" i="9" s="1"/>
  <c r="AV97" i="11"/>
  <c r="E59" i="18"/>
  <c r="E43" i="18"/>
  <c r="E35" i="18"/>
  <c r="E26" i="18"/>
  <c r="AV90" i="11"/>
  <c r="E51" i="18"/>
  <c r="AG111" i="11"/>
  <c r="AH10" i="9"/>
  <c r="BV97" i="11"/>
  <c r="BG111" i="11"/>
  <c r="BH10" i="9"/>
  <c r="BV89" i="11"/>
  <c r="BV90" i="11"/>
  <c r="CD97" i="11"/>
  <c r="CD89" i="11"/>
  <c r="BO111" i="11"/>
  <c r="CD90" i="11"/>
  <c r="BP10" i="9"/>
  <c r="F111" i="11"/>
  <c r="U89" i="11"/>
  <c r="G10" i="9"/>
  <c r="U97" i="11"/>
  <c r="U90" i="11"/>
  <c r="BD28" i="7"/>
  <c r="BD25" i="7"/>
  <c r="BK23" i="7"/>
  <c r="BD20" i="7"/>
  <c r="BD24" i="7"/>
  <c r="BM24" i="7"/>
  <c r="BM28" i="7"/>
  <c r="BM25" i="7"/>
  <c r="BM20" i="7"/>
  <c r="BT23" i="7"/>
  <c r="E5" i="8"/>
  <c r="E3" i="8" s="1"/>
  <c r="E9" i="10" s="1"/>
  <c r="E7" i="10" s="1"/>
  <c r="M7" i="7"/>
  <c r="F8" i="7"/>
  <c r="R92" i="11"/>
  <c r="U111" i="5"/>
  <c r="BM112" i="5"/>
  <c r="BB107" i="11"/>
  <c r="AS55" i="7"/>
  <c r="AZ53" i="7"/>
  <c r="AS50" i="7"/>
  <c r="AS58" i="7"/>
  <c r="AS54" i="7"/>
  <c r="AA92" i="11"/>
  <c r="M4" i="7"/>
  <c r="M12" i="7" s="1"/>
  <c r="M9" i="7"/>
  <c r="BF92" i="11"/>
  <c r="AR9" i="7"/>
  <c r="AR4" i="7"/>
  <c r="AR12" i="7" s="1"/>
  <c r="AV39" i="15"/>
  <c r="BY54" i="7"/>
  <c r="BY58" i="7"/>
  <c r="BY50" i="7"/>
  <c r="BY55" i="7"/>
  <c r="BG112" i="5"/>
  <c r="BI9" i="9"/>
  <c r="BI7" i="9" s="1"/>
  <c r="BI13" i="7" s="1"/>
  <c r="AB110" i="5"/>
  <c r="AB109" i="5"/>
  <c r="AA107" i="11"/>
  <c r="AT113" i="5"/>
  <c r="AT112" i="5"/>
  <c r="AT110" i="5"/>
  <c r="AT111" i="5"/>
  <c r="G107" i="11"/>
  <c r="H9" i="9"/>
  <c r="H7" i="9" s="1"/>
  <c r="H13" i="7" s="1"/>
  <c r="E112" i="5"/>
  <c r="E113" i="5"/>
  <c r="D107" i="11"/>
  <c r="E109" i="5"/>
  <c r="E111" i="5"/>
  <c r="E9" i="9"/>
  <c r="E7" i="9" s="1"/>
  <c r="E13" i="7" s="1"/>
  <c r="G113" i="5"/>
  <c r="G112" i="5"/>
  <c r="AT107" i="11"/>
  <c r="AU113" i="5"/>
  <c r="AU110" i="5"/>
  <c r="AU112" i="5"/>
  <c r="AU111" i="5"/>
  <c r="AU109" i="5"/>
  <c r="AU9" i="9"/>
  <c r="AU7" i="9" s="1"/>
  <c r="AU13" i="7" s="1"/>
  <c r="AY50" i="7"/>
  <c r="AY54" i="7"/>
  <c r="BF53" i="7"/>
  <c r="AY58" i="7"/>
  <c r="AY55" i="7"/>
  <c r="BB111" i="5"/>
  <c r="BK9" i="7"/>
  <c r="BK4" i="7"/>
  <c r="BK12" i="7" s="1"/>
  <c r="BY92" i="11"/>
  <c r="CO97" i="11"/>
  <c r="BZ111" i="11"/>
  <c r="CO90" i="11"/>
  <c r="CA10" i="9"/>
  <c r="CO89" i="11"/>
  <c r="AF10" i="9"/>
  <c r="AT89" i="11"/>
  <c r="AT91" i="11" s="1"/>
  <c r="AF5" i="9" s="1"/>
  <c r="AT90" i="11"/>
  <c r="AT97" i="11"/>
  <c r="AE111" i="11"/>
  <c r="CJ97" i="11"/>
  <c r="BU111" i="11"/>
  <c r="CJ89" i="11"/>
  <c r="BV10" i="9"/>
  <c r="CJ90" i="11"/>
  <c r="AF97" i="11"/>
  <c r="Q111" i="11"/>
  <c r="R10" i="9"/>
  <c r="AF89" i="11"/>
  <c r="AF90" i="11"/>
  <c r="AM111" i="11"/>
  <c r="BB89" i="11"/>
  <c r="BB90" i="11"/>
  <c r="BB97" i="11"/>
  <c r="AU68" i="7" s="1"/>
  <c r="AN10" i="9"/>
  <c r="AV111" i="11"/>
  <c r="AW10" i="9"/>
  <c r="BK89" i="11"/>
  <c r="BK90" i="11"/>
  <c r="BK97" i="11"/>
  <c r="X10" i="9"/>
  <c r="AL97" i="11"/>
  <c r="W111" i="11"/>
  <c r="AL90" i="11"/>
  <c r="AL89" i="11"/>
  <c r="AW53" i="7"/>
  <c r="AP50" i="7"/>
  <c r="AP55" i="7"/>
  <c r="L109" i="5"/>
  <c r="AQ9" i="7"/>
  <c r="AQ4" i="7"/>
  <c r="AQ12" i="7" s="1"/>
  <c r="BE92" i="11"/>
  <c r="AX50" i="7"/>
  <c r="AX54" i="7"/>
  <c r="AX58" i="7"/>
  <c r="AX55" i="7"/>
  <c r="BE53" i="7"/>
  <c r="AX4" i="7"/>
  <c r="AX12" i="7" s="1"/>
  <c r="AX9" i="7"/>
  <c r="BL92" i="11"/>
  <c r="BA20" i="7"/>
  <c r="BO92" i="11"/>
  <c r="BA25" i="7"/>
  <c r="BA24" i="7"/>
  <c r="BH23" i="7"/>
  <c r="BA28" i="7"/>
  <c r="U92" i="11"/>
  <c r="AX28" i="7"/>
  <c r="BE23" i="7"/>
  <c r="AX20" i="7"/>
  <c r="AX24" i="7"/>
  <c r="AX25" i="7"/>
  <c r="BN9" i="9"/>
  <c r="BN7" i="9" s="1"/>
  <c r="BN13" i="7" s="1"/>
  <c r="BO53" i="7"/>
  <c r="BH50" i="7"/>
  <c r="BH55" i="7"/>
  <c r="BH58" i="7"/>
  <c r="BH54" i="7"/>
  <c r="R109" i="5"/>
  <c r="M23" i="14"/>
  <c r="BM111" i="5"/>
  <c r="S23" i="7"/>
  <c r="L24" i="7"/>
  <c r="L20" i="7"/>
  <c r="L28" i="7"/>
  <c r="AN50" i="7"/>
  <c r="AN55" i="7"/>
  <c r="AU53" i="7"/>
  <c r="J109" i="5"/>
  <c r="H110" i="5"/>
  <c r="AX23" i="7"/>
  <c r="AQ25" i="7"/>
  <c r="AQ20" i="7"/>
  <c r="AQ28" i="7"/>
  <c r="AQ24" i="7"/>
  <c r="AB25" i="7"/>
  <c r="AB20" i="7"/>
  <c r="AB28" i="7"/>
  <c r="AB24" i="7"/>
  <c r="AI23" i="7"/>
  <c r="BD55" i="7"/>
  <c r="BD54" i="7"/>
  <c r="BD58" i="7"/>
  <c r="BK53" i="7"/>
  <c r="BD50" i="7"/>
  <c r="P110" i="5"/>
  <c r="BG9" i="9"/>
  <c r="BG7" i="9" s="1"/>
  <c r="BG13" i="7" s="1"/>
  <c r="AG109" i="5"/>
  <c r="AG110" i="5"/>
  <c r="T112" i="5"/>
  <c r="T113" i="5"/>
  <c r="T111" i="5"/>
  <c r="T110" i="5"/>
  <c r="T9" i="9"/>
  <c r="T7" i="9" s="1"/>
  <c r="T13" i="7" s="1"/>
  <c r="BA110" i="5"/>
  <c r="BA111" i="5"/>
  <c r="AZ107" i="11"/>
  <c r="BA112" i="5"/>
  <c r="AK111" i="5"/>
  <c r="AK9" i="9"/>
  <c r="AK7" i="9" s="1"/>
  <c r="AK13" i="7" s="1"/>
  <c r="BB112" i="5"/>
  <c r="BQ24" i="7"/>
  <c r="BQ20" i="7"/>
  <c r="BX23" i="7"/>
  <c r="BQ25" i="7"/>
  <c r="BQ28" i="7"/>
  <c r="F43" i="18"/>
  <c r="BH89" i="11"/>
  <c r="BH97" i="11"/>
  <c r="F51" i="18"/>
  <c r="F26" i="18"/>
  <c r="AT10" i="9"/>
  <c r="BF6" i="9" a="1"/>
  <c r="BF6" i="9" s="1"/>
  <c r="F59" i="18"/>
  <c r="BH90" i="11"/>
  <c r="F35" i="18"/>
  <c r="AS111" i="11"/>
  <c r="CF97" i="11"/>
  <c r="H35" i="18"/>
  <c r="H59" i="18"/>
  <c r="CF90" i="11"/>
  <c r="H51" i="18"/>
  <c r="H43" i="18"/>
  <c r="H26" i="18"/>
  <c r="BQ111" i="11"/>
  <c r="BR10" i="9"/>
  <c r="CF89" i="11"/>
  <c r="CK97" i="11"/>
  <c r="CK90" i="11"/>
  <c r="BV111" i="11"/>
  <c r="BW10" i="9"/>
  <c r="CK89" i="11"/>
  <c r="K111" i="11"/>
  <c r="Z97" i="11"/>
  <c r="L10" i="9"/>
  <c r="Z89" i="11"/>
  <c r="Z90" i="11"/>
  <c r="Q97" i="11"/>
  <c r="C10" i="9"/>
  <c r="B43" i="18"/>
  <c r="Q90" i="11"/>
  <c r="CS34" i="11"/>
  <c r="B35" i="18"/>
  <c r="B111" i="11"/>
  <c r="B26" i="18"/>
  <c r="Q89" i="11"/>
  <c r="CQ97" i="11"/>
  <c r="CC10" i="9"/>
  <c r="CB111" i="11"/>
  <c r="CQ90" i="11"/>
  <c r="CQ89" i="11"/>
  <c r="CQ91" i="11" s="1"/>
  <c r="CC5" i="9" s="1"/>
  <c r="AL111" i="11"/>
  <c r="AM10" i="9"/>
  <c r="BA89" i="11"/>
  <c r="BA97" i="11"/>
  <c r="AT68" i="7" s="1"/>
  <c r="G111" i="5"/>
  <c r="BG92" i="11"/>
  <c r="AS9" i="7"/>
  <c r="AS4" i="7"/>
  <c r="AS12" i="7" s="1"/>
  <c r="AT25" i="7"/>
  <c r="BA23" i="7"/>
  <c r="AT28" i="7"/>
  <c r="AT24" i="7"/>
  <c r="AT20" i="7"/>
  <c r="Q92" i="11"/>
  <c r="AO8" i="7"/>
  <c r="AV7" i="7"/>
  <c r="BG107" i="11"/>
  <c r="BA113" i="5"/>
  <c r="BL4" i="7"/>
  <c r="BL12" i="7" s="1"/>
  <c r="BL9" i="7"/>
  <c r="BZ92" i="11"/>
  <c r="BH28" i="7"/>
  <c r="BH20" i="7"/>
  <c r="BH24" i="7"/>
  <c r="BO23" i="7"/>
  <c r="BH25" i="7"/>
  <c r="BV92" i="11"/>
  <c r="CB58" i="7"/>
  <c r="CB54" i="7"/>
  <c r="CB50" i="7"/>
  <c r="CB55" i="7"/>
  <c r="R110" i="5"/>
  <c r="W9" i="7"/>
  <c r="W4" i="7"/>
  <c r="W12" i="7" s="1"/>
  <c r="AK92" i="11"/>
  <c r="BC20" i="7"/>
  <c r="BC24" i="7"/>
  <c r="BC25" i="7"/>
  <c r="BJ23" i="7"/>
  <c r="BC28" i="7"/>
  <c r="AW9" i="9"/>
  <c r="AW7" i="9" s="1"/>
  <c r="AW13" i="7" s="1"/>
  <c r="BM113" i="5"/>
  <c r="P24" i="14"/>
  <c r="AA23" i="7"/>
  <c r="T20" i="7"/>
  <c r="T24" i="7"/>
  <c r="T25" i="7"/>
  <c r="T28" i="7"/>
  <c r="AH92" i="11"/>
  <c r="O24" i="14"/>
  <c r="P9" i="9"/>
  <c r="P7" i="9" s="1"/>
  <c r="P13" i="7" s="1"/>
  <c r="BG111" i="5"/>
  <c r="BU92" i="11"/>
  <c r="BG4" i="7"/>
  <c r="BG9" i="7"/>
  <c r="CT79" i="11"/>
  <c r="Y113" i="5"/>
  <c r="BP113" i="5"/>
  <c r="AE97" i="5"/>
  <c r="AE90" i="5"/>
  <c r="AU58" i="7"/>
  <c r="AU55" i="7"/>
  <c r="AU50" i="7"/>
  <c r="AU54" i="7"/>
  <c r="BB53" i="7"/>
  <c r="AO92" i="11"/>
  <c r="AA9" i="7"/>
  <c r="AA4" i="7"/>
  <c r="AA12" i="7" s="1"/>
  <c r="Z9" i="9"/>
  <c r="Z7" i="9" s="1"/>
  <c r="Z13" i="7" s="1"/>
  <c r="AL89" i="5"/>
  <c r="AL96" i="5"/>
  <c r="AK28" i="7"/>
  <c r="AR23" i="7"/>
  <c r="AK24" i="7"/>
  <c r="AK20" i="7"/>
  <c r="AK25" i="7"/>
  <c r="L112" i="5"/>
  <c r="L110" i="5"/>
  <c r="L111" i="5"/>
  <c r="L113" i="5"/>
  <c r="CC111" i="5"/>
  <c r="CC113" i="5"/>
  <c r="CC112" i="5"/>
  <c r="CC109" i="5"/>
  <c r="CB107" i="11"/>
  <c r="CC9" i="9"/>
  <c r="CC7" i="9" s="1"/>
  <c r="CC13" i="7" s="1"/>
  <c r="CC110" i="5"/>
  <c r="U110" i="5"/>
  <c r="T107" i="11"/>
  <c r="J110" i="5"/>
  <c r="J112" i="5"/>
  <c r="J113" i="5"/>
  <c r="AS112" i="5"/>
  <c r="AN110" i="5"/>
  <c r="AN111" i="5"/>
  <c r="BP107" i="11"/>
  <c r="BB109" i="5"/>
  <c r="BA9" i="9"/>
  <c r="BA7" i="9" s="1"/>
  <c r="BA13" i="7" s="1"/>
  <c r="O24" i="7"/>
  <c r="V23" i="7"/>
  <c r="O20" i="7"/>
  <c r="O28" i="7"/>
  <c r="BJ28" i="7"/>
  <c r="BJ25" i="7"/>
  <c r="BJ20" i="7"/>
  <c r="BJ24" i="7"/>
  <c r="BQ23" i="7"/>
  <c r="BS97" i="11"/>
  <c r="BS89" i="11"/>
  <c r="BD111" i="11"/>
  <c r="BE10" i="9"/>
  <c r="BS90" i="11"/>
  <c r="AI97" i="11"/>
  <c r="T111" i="11"/>
  <c r="U10" i="9"/>
  <c r="AI89" i="11"/>
  <c r="AI90" i="11"/>
  <c r="CP97" i="11"/>
  <c r="CP90" i="11"/>
  <c r="CP89" i="11"/>
  <c r="CA111" i="11"/>
  <c r="CB10" i="9"/>
  <c r="V111" i="11"/>
  <c r="AK89" i="11"/>
  <c r="W10" i="9"/>
  <c r="AK90" i="11"/>
  <c r="AK97" i="11"/>
  <c r="AZ10" i="9"/>
  <c r="BN97" i="11"/>
  <c r="BN89" i="11"/>
  <c r="AY111" i="11"/>
  <c r="BN90" i="11"/>
  <c r="W97" i="11"/>
  <c r="I10" i="9"/>
  <c r="W89" i="11"/>
  <c r="W91" i="11" s="1"/>
  <c r="I5" i="9" s="1"/>
  <c r="I4" i="9" s="1"/>
  <c r="H111" i="11"/>
  <c r="D111" i="11"/>
  <c r="S97" i="11"/>
  <c r="E10" i="9"/>
  <c r="S89" i="11"/>
  <c r="S90" i="11"/>
  <c r="AW54" i="7"/>
  <c r="AW50" i="7"/>
  <c r="AW58" i="7"/>
  <c r="AW55" i="7"/>
  <c r="BD53" i="7"/>
  <c r="G110" i="5"/>
  <c r="BZ58" i="7"/>
  <c r="BZ55" i="7"/>
  <c r="BZ54" i="7"/>
  <c r="BZ50" i="7"/>
  <c r="BX92" i="11"/>
  <c r="BJ4" i="7"/>
  <c r="BJ12" i="7" s="1"/>
  <c r="BJ9" i="7"/>
  <c r="BH9" i="9"/>
  <c r="BH7" i="9" s="1"/>
  <c r="BH13" i="7" s="1"/>
  <c r="BA109" i="5"/>
  <c r="AT9" i="9"/>
  <c r="AT7" i="9" s="1"/>
  <c r="AT13" i="7" s="1"/>
  <c r="R111" i="5"/>
  <c r="AI24" i="7"/>
  <c r="AI25" i="7"/>
  <c r="AI20" i="7"/>
  <c r="AP23" i="7"/>
  <c r="AI28" i="7"/>
  <c r="AW110" i="5"/>
  <c r="BM110" i="5"/>
  <c r="AJ92" i="11"/>
  <c r="V25" i="7"/>
  <c r="V24" i="7"/>
  <c r="V28" i="7"/>
  <c r="AC23" i="7"/>
  <c r="V20" i="7"/>
  <c r="J111" i="5"/>
  <c r="O23" i="14"/>
  <c r="O107" i="11"/>
  <c r="BG109" i="5"/>
  <c r="S107" i="11"/>
  <c r="X111" i="5"/>
  <c r="AV50" i="7"/>
  <c r="AV54" i="7"/>
  <c r="AV55" i="7"/>
  <c r="BC53" i="7"/>
  <c r="AV58" i="7"/>
  <c r="BP9" i="9"/>
  <c r="BP7" i="9" s="1"/>
  <c r="BP13" i="7" s="1"/>
  <c r="BF9" i="7"/>
  <c r="BF4" i="7"/>
  <c r="BF12" i="7" s="1"/>
  <c r="BT92" i="11"/>
  <c r="BN28" i="7"/>
  <c r="BN20" i="7"/>
  <c r="BN25" i="7"/>
  <c r="BU23" i="7"/>
  <c r="BN24" i="7"/>
  <c r="F94" i="5"/>
  <c r="F87" i="5"/>
  <c r="AL110" i="5"/>
  <c r="CS79" i="11"/>
  <c r="T109" i="5"/>
  <c r="AA113" i="5"/>
  <c r="BF9" i="9"/>
  <c r="BF7" i="9" s="1"/>
  <c r="BF13" i="7" s="1"/>
  <c r="Y107" i="11"/>
  <c r="AD110" i="5"/>
  <c r="BT107" i="11"/>
  <c r="BU113" i="5"/>
  <c r="BU9" i="9"/>
  <c r="BU7" i="9" s="1"/>
  <c r="BU13" i="7" s="1"/>
  <c r="BU111" i="5"/>
  <c r="BU112" i="5"/>
  <c r="BU109" i="5"/>
  <c r="BU110" i="5"/>
  <c r="I110" i="5"/>
  <c r="I113" i="5"/>
  <c r="I111" i="5"/>
  <c r="N113" i="5"/>
  <c r="N109" i="5"/>
  <c r="N112" i="5"/>
  <c r="M107" i="11"/>
  <c r="N111" i="5"/>
  <c r="BT113" i="5"/>
  <c r="BT111" i="5"/>
  <c r="BT109" i="5"/>
  <c r="BS107" i="11"/>
  <c r="BT9" i="9"/>
  <c r="BT7" i="9" s="1"/>
  <c r="BT13" i="7" s="1"/>
  <c r="BT112" i="5"/>
  <c r="BT110" i="5"/>
  <c r="AI113" i="5"/>
  <c r="AH107" i="11"/>
  <c r="AI9" i="9"/>
  <c r="AI7" i="9" s="1"/>
  <c r="AI13" i="7" s="1"/>
  <c r="AI112" i="5"/>
  <c r="H5" i="8"/>
  <c r="H3" i="8" s="1"/>
  <c r="H9" i="10" s="1"/>
  <c r="H7" i="10" s="1"/>
  <c r="I8" i="7"/>
  <c r="I3" i="7" s="1"/>
  <c r="I2" i="7" s="1"/>
  <c r="P7" i="7"/>
  <c r="C18" i="2"/>
  <c r="BQ112" i="5"/>
  <c r="S4" i="7"/>
  <c r="S12" i="7" s="1"/>
  <c r="S9" i="7"/>
  <c r="AG10" i="9"/>
  <c r="AF111" i="11"/>
  <c r="AU97" i="11"/>
  <c r="AU89" i="11"/>
  <c r="AU90" i="11"/>
  <c r="CN97" i="11"/>
  <c r="CN89" i="11"/>
  <c r="CN90" i="11"/>
  <c r="BY111" i="11"/>
  <c r="BZ10" i="9"/>
  <c r="AZ97" i="11"/>
  <c r="AZ90" i="11"/>
  <c r="AL10" i="9"/>
  <c r="AK111" i="11"/>
  <c r="AZ89" i="11"/>
  <c r="CB97" i="11"/>
  <c r="BN10" i="9"/>
  <c r="BM111" i="11"/>
  <c r="CB90" i="11"/>
  <c r="CB89" i="11"/>
  <c r="BF97" i="11"/>
  <c r="AY68" i="7" s="1"/>
  <c r="AR10" i="9"/>
  <c r="AQ111" i="11"/>
  <c r="BF89" i="11"/>
  <c r="BF90" i="11"/>
  <c r="AH111" i="11"/>
  <c r="AI10" i="9"/>
  <c r="AW89" i="11"/>
  <c r="AW97" i="11"/>
  <c r="AW90" i="11"/>
  <c r="Z111" i="11"/>
  <c r="AA10" i="9"/>
  <c r="AO90" i="11"/>
  <c r="AO97" i="11"/>
  <c r="AO89" i="11"/>
  <c r="AU10" i="9"/>
  <c r="BI97" i="11"/>
  <c r="AT111" i="11"/>
  <c r="BI90" i="11"/>
  <c r="BI89" i="11"/>
  <c r="F107" i="11"/>
  <c r="BE58" i="7"/>
  <c r="BL53" i="7"/>
  <c r="BE50" i="7"/>
  <c r="BE54" i="7"/>
  <c r="BE55" i="7"/>
  <c r="V112" i="5"/>
  <c r="BH110" i="5"/>
  <c r="BB92" i="11"/>
  <c r="AN9" i="7"/>
  <c r="AN4" i="7"/>
  <c r="AN12" i="7" s="1"/>
  <c r="AT92" i="11"/>
  <c r="AM23" i="7"/>
  <c r="AF28" i="7"/>
  <c r="AF25" i="7"/>
  <c r="AF24" i="7"/>
  <c r="AF20" i="7"/>
  <c r="C111" i="5"/>
  <c r="AS107" i="11"/>
  <c r="AC107" i="11"/>
  <c r="AT55" i="7"/>
  <c r="AT58" i="7"/>
  <c r="AT54" i="7"/>
  <c r="BA53" i="7"/>
  <c r="AT50" i="7"/>
  <c r="R112" i="5"/>
  <c r="AW109" i="5"/>
  <c r="AH28" i="7"/>
  <c r="AH24" i="7"/>
  <c r="AO23" i="7"/>
  <c r="AH25" i="7"/>
  <c r="AH20" i="7"/>
  <c r="BH92" i="11"/>
  <c r="AT9" i="7"/>
  <c r="AT4" i="7"/>
  <c r="AT12" i="7" s="1"/>
  <c r="N24" i="7"/>
  <c r="N20" i="7"/>
  <c r="N28" i="7"/>
  <c r="U23" i="7"/>
  <c r="AV20" i="7"/>
  <c r="AV28" i="7"/>
  <c r="AV24" i="7"/>
  <c r="AV25" i="7"/>
  <c r="BC23" i="7"/>
  <c r="X4" i="7"/>
  <c r="X12" i="7" s="1"/>
  <c r="AL92" i="11"/>
  <c r="X9" i="7"/>
  <c r="AZ113" i="5"/>
  <c r="CT37" i="11"/>
  <c r="CT84" i="11"/>
  <c r="K24" i="14"/>
  <c r="AJ112" i="5"/>
  <c r="K107" i="11"/>
  <c r="BT53" i="7"/>
  <c r="BM54" i="7"/>
  <c r="BM55" i="7"/>
  <c r="BM50" i="7"/>
  <c r="BM58" i="7"/>
  <c r="BP111" i="5"/>
  <c r="P23" i="14"/>
  <c r="Z110" i="5"/>
  <c r="J9" i="9"/>
  <c r="J7" i="9" s="1"/>
  <c r="J13" i="7" s="1"/>
  <c r="AI88" i="5"/>
  <c r="AI95" i="5"/>
  <c r="AL9" i="7"/>
  <c r="AL4" i="7"/>
  <c r="AL12" i="7" s="1"/>
  <c r="BF113" i="5"/>
  <c r="AB112" i="5"/>
  <c r="J4" i="7"/>
  <c r="J12" i="7" s="1"/>
  <c r="J9" i="7"/>
  <c r="X92" i="11"/>
  <c r="AM25" i="7"/>
  <c r="AM20" i="7"/>
  <c r="AT23" i="7"/>
  <c r="AM24" i="7"/>
  <c r="AM28" i="7"/>
  <c r="BA107" i="11"/>
  <c r="BB113" i="5"/>
  <c r="F112" i="5"/>
  <c r="E107" i="11"/>
  <c r="F9" i="9"/>
  <c r="F7" i="9" s="1"/>
  <c r="F13" i="7" s="1"/>
  <c r="F3" i="7" s="1"/>
  <c r="F2" i="7" s="1"/>
  <c r="F111" i="5"/>
  <c r="F113" i="5"/>
  <c r="BJ111" i="5"/>
  <c r="BJ9" i="9"/>
  <c r="BJ7" i="9" s="1"/>
  <c r="BJ13" i="7" s="1"/>
  <c r="BI107" i="11"/>
  <c r="BJ113" i="5"/>
  <c r="BJ109" i="5"/>
  <c r="AF113" i="5"/>
  <c r="AF112" i="5"/>
  <c r="AF109" i="5"/>
  <c r="Y111" i="5"/>
  <c r="Y109" i="5"/>
  <c r="Y110" i="5"/>
  <c r="Y112" i="5"/>
  <c r="Y9" i="9"/>
  <c r="Y7" i="9" s="1"/>
  <c r="Y13" i="7" s="1"/>
  <c r="X107" i="11"/>
  <c r="BQ109" i="5"/>
  <c r="K110" i="5"/>
  <c r="BG97" i="11"/>
  <c r="AZ68" i="7" s="1"/>
  <c r="AR111" i="11"/>
  <c r="AS10" i="9"/>
  <c r="BG89" i="11"/>
  <c r="BG91" i="11" s="1"/>
  <c r="AS5" i="9" s="1"/>
  <c r="AS57" i="7" s="1"/>
  <c r="BG90" i="11"/>
  <c r="AY89" i="11"/>
  <c r="AJ111" i="11"/>
  <c r="AY90" i="11"/>
  <c r="AY97" i="11"/>
  <c r="AK10" i="9"/>
  <c r="BU97" i="11"/>
  <c r="BU90" i="11"/>
  <c r="BU89" i="11"/>
  <c r="BG10" i="9"/>
  <c r="BF111" i="11"/>
  <c r="CG97" i="11"/>
  <c r="CG89" i="11"/>
  <c r="CG90" i="11"/>
  <c r="BS10" i="9"/>
  <c r="BR111" i="11"/>
  <c r="AB10" i="9"/>
  <c r="AP97" i="11"/>
  <c r="AA111" i="11"/>
  <c r="AP89" i="11"/>
  <c r="AP90" i="11"/>
  <c r="AG90" i="11"/>
  <c r="AG97" i="11"/>
  <c r="AG89" i="11"/>
  <c r="S10" i="9"/>
  <c r="R111" i="11"/>
  <c r="CL97" i="11"/>
  <c r="BW111" i="11"/>
  <c r="BX10" i="9"/>
  <c r="CL89" i="11"/>
  <c r="CL91" i="11" s="1"/>
  <c r="BX5" i="9" s="1"/>
  <c r="BX67" i="7" s="1"/>
  <c r="CL90" i="11"/>
  <c r="AB89" i="11"/>
  <c r="AB91" i="11" s="1"/>
  <c r="N5" i="9" s="1"/>
  <c r="AB97" i="11"/>
  <c r="N10" i="9"/>
  <c r="M111" i="11"/>
  <c r="AO9" i="9"/>
  <c r="AO7" i="9" s="1"/>
  <c r="AO13" i="7" s="1"/>
  <c r="G9" i="9"/>
  <c r="G7" i="9" s="1"/>
  <c r="G13" i="7" s="1"/>
  <c r="BG20" i="7"/>
  <c r="BN23" i="7"/>
  <c r="BG24" i="7"/>
  <c r="BG28" i="7"/>
  <c r="BG25" i="7"/>
  <c r="V113" i="5"/>
  <c r="AS20" i="7"/>
  <c r="AS28" i="7"/>
  <c r="AZ23" i="7"/>
  <c r="AS24" i="7"/>
  <c r="AS25" i="7"/>
  <c r="BH111" i="5"/>
  <c r="AY28" i="7"/>
  <c r="AY24" i="7"/>
  <c r="AY25" i="7"/>
  <c r="AY20" i="7"/>
  <c r="BF23" i="7"/>
  <c r="C110" i="5"/>
  <c r="AT109" i="5"/>
  <c r="AD9" i="9"/>
  <c r="AD7" i="9" s="1"/>
  <c r="AD13" i="7" s="1"/>
  <c r="AV9" i="7"/>
  <c r="AV4" i="7"/>
  <c r="AV12" i="7" s="1"/>
  <c r="BJ92" i="11"/>
  <c r="AD20" i="7"/>
  <c r="AD25" i="7"/>
  <c r="AK23" i="7"/>
  <c r="AD28" i="7"/>
  <c r="AD24" i="7"/>
  <c r="BM92" i="11"/>
  <c r="R28" i="7"/>
  <c r="Y23" i="7"/>
  <c r="R20" i="7"/>
  <c r="R24" i="7"/>
  <c r="AS113" i="5"/>
  <c r="BC110" i="5"/>
  <c r="M24" i="14"/>
  <c r="AF92" i="11"/>
  <c r="L39" i="15"/>
  <c r="AZ9" i="9"/>
  <c r="AZ7" i="9" s="1"/>
  <c r="AZ13" i="7" s="1"/>
  <c r="BI110" i="5"/>
  <c r="AK110" i="5"/>
  <c r="AH97" i="5"/>
  <c r="AH90" i="5"/>
  <c r="BY53" i="7"/>
  <c r="BR58" i="7"/>
  <c r="BR50" i="7"/>
  <c r="BR55" i="7"/>
  <c r="BR54" i="7"/>
  <c r="BJ94" i="5"/>
  <c r="BJ87" i="5"/>
  <c r="BP109" i="5"/>
  <c r="AM92" i="11"/>
  <c r="Y9" i="7"/>
  <c r="Y4" i="7"/>
  <c r="Y12" i="7" s="1"/>
  <c r="BG23" i="7"/>
  <c r="AZ20" i="7"/>
  <c r="AZ25" i="7"/>
  <c r="AZ24" i="7"/>
  <c r="AZ28" i="7"/>
  <c r="BE107" i="11"/>
  <c r="AB9" i="9"/>
  <c r="AB7" i="9" s="1"/>
  <c r="AB13" i="7" s="1"/>
  <c r="AJ113" i="5"/>
  <c r="AI107" i="11"/>
  <c r="AJ110" i="5"/>
  <c r="AJ109" i="5"/>
  <c r="AJ9" i="9"/>
  <c r="AJ7" i="9" s="1"/>
  <c r="AJ13" i="7" s="1"/>
  <c r="AJ111" i="5"/>
  <c r="BX9" i="9"/>
  <c r="BX7" i="9" s="1"/>
  <c r="BX13" i="7" s="1"/>
  <c r="BX113" i="5"/>
  <c r="BX112" i="5"/>
  <c r="BW107" i="11"/>
  <c r="BX109" i="5"/>
  <c r="BX111" i="5"/>
  <c r="BX110" i="5"/>
  <c r="AL111" i="5"/>
  <c r="AL113" i="5"/>
  <c r="AL109" i="5"/>
  <c r="Q9" i="9"/>
  <c r="Q7" i="9" s="1"/>
  <c r="Q13" i="7" s="1"/>
  <c r="Q113" i="5"/>
  <c r="Q109" i="5"/>
  <c r="Q112" i="5"/>
  <c r="Q110" i="5"/>
  <c r="BL109" i="5"/>
  <c r="BL113" i="5"/>
  <c r="BL110" i="5"/>
  <c r="BL112" i="5"/>
  <c r="S110" i="5"/>
  <c r="S113" i="5"/>
  <c r="R107" i="11"/>
  <c r="BS111" i="5"/>
  <c r="BS113" i="5"/>
  <c r="BS112" i="5"/>
  <c r="BR107" i="11"/>
  <c r="BS110" i="5"/>
  <c r="BS9" i="9"/>
  <c r="BS7" i="9" s="1"/>
  <c r="BS13" i="7" s="1"/>
  <c r="BS109" i="5"/>
  <c r="K113" i="5"/>
  <c r="BS92" i="11"/>
  <c r="BE9" i="7"/>
  <c r="BE4" i="7"/>
  <c r="BE12" i="7" s="1"/>
  <c r="AR97" i="11"/>
  <c r="AD10" i="9"/>
  <c r="AR89" i="11"/>
  <c r="AR91" i="11" s="1"/>
  <c r="AD5" i="9" s="1"/>
  <c r="AC111" i="11"/>
  <c r="BL90" i="11"/>
  <c r="AW111" i="11"/>
  <c r="BL97" i="11"/>
  <c r="AX10" i="9"/>
  <c r="BL89" i="11"/>
  <c r="BY97" i="11"/>
  <c r="BY90" i="11"/>
  <c r="BK10" i="9"/>
  <c r="BJ111" i="11"/>
  <c r="BY89" i="11"/>
  <c r="BY91" i="11" s="1"/>
  <c r="BK5" i="9" s="1"/>
  <c r="BQ97" i="11"/>
  <c r="BQ89" i="11"/>
  <c r="BB111" i="11"/>
  <c r="BC10" i="9"/>
  <c r="BQ90" i="11"/>
  <c r="CM97" i="11"/>
  <c r="BX111" i="11"/>
  <c r="BY10" i="9"/>
  <c r="CM90" i="11"/>
  <c r="CM89" i="11"/>
  <c r="BX97" i="11"/>
  <c r="BX90" i="11"/>
  <c r="BI111" i="11"/>
  <c r="BX89" i="11"/>
  <c r="BJ10" i="9"/>
  <c r="AX90" i="11"/>
  <c r="AI111" i="11"/>
  <c r="AJ10" i="9"/>
  <c r="AX89" i="11"/>
  <c r="AX97" i="11"/>
  <c r="AO109" i="5"/>
  <c r="AW113" i="5"/>
  <c r="BA54" i="7"/>
  <c r="BA50" i="7"/>
  <c r="BA58" i="7"/>
  <c r="BA55" i="7"/>
  <c r="BH53" i="7"/>
  <c r="AN112" i="5"/>
  <c r="V110" i="5"/>
  <c r="BH113" i="5"/>
  <c r="AC4" i="7"/>
  <c r="AC12" i="7" s="1"/>
  <c r="AC9" i="7"/>
  <c r="AQ92" i="11"/>
  <c r="O9" i="7"/>
  <c r="O4" i="7"/>
  <c r="O12" i="7" s="1"/>
  <c r="AC92" i="11"/>
  <c r="BS50" i="7"/>
  <c r="BS54" i="7"/>
  <c r="BZ53" i="7"/>
  <c r="BS58" i="7"/>
  <c r="BS55" i="7"/>
  <c r="BN109" i="5"/>
  <c r="K4" i="7"/>
  <c r="K12" i="7" s="1"/>
  <c r="Y92" i="11"/>
  <c r="K9" i="7"/>
  <c r="Z92" i="11"/>
  <c r="L9" i="7"/>
  <c r="L4" i="7"/>
  <c r="L12" i="7" s="1"/>
  <c r="AV110" i="5"/>
  <c r="N9" i="7"/>
  <c r="AB92" i="11"/>
  <c r="N4" i="7"/>
  <c r="N12" i="7" s="1"/>
  <c r="BA90" i="11"/>
  <c r="AS111" i="5"/>
  <c r="BC111" i="5"/>
  <c r="J20" i="7"/>
  <c r="Q23" i="7"/>
  <c r="J24" i="7"/>
  <c r="J28" i="7"/>
  <c r="N24" i="14"/>
  <c r="X39" i="15"/>
  <c r="AZ109" i="5"/>
  <c r="BI111" i="5"/>
  <c r="BO111" i="5"/>
  <c r="BH86" i="5"/>
  <c r="BH93" i="5"/>
  <c r="BV54" i="7"/>
  <c r="CC53" i="7"/>
  <c r="BV50" i="7"/>
  <c r="BV58" i="7"/>
  <c r="BV55" i="7"/>
  <c r="BF96" i="5"/>
  <c r="BF89" i="5"/>
  <c r="AB111" i="5"/>
  <c r="BZ110" i="5"/>
  <c r="BZ109" i="5"/>
  <c r="BZ113" i="5"/>
  <c r="BZ112" i="5"/>
  <c r="BY107" i="11"/>
  <c r="BZ9" i="9"/>
  <c r="BZ7" i="9" s="1"/>
  <c r="BZ13" i="7" s="1"/>
  <c r="BZ111" i="5"/>
  <c r="BV109" i="5"/>
  <c r="BV110" i="5"/>
  <c r="BV9" i="9"/>
  <c r="BV7" i="9" s="1"/>
  <c r="BV13" i="7" s="1"/>
  <c r="BV112" i="5"/>
  <c r="BV113" i="5"/>
  <c r="BV111" i="5"/>
  <c r="BU107" i="11"/>
  <c r="D111" i="5"/>
  <c r="D112" i="5"/>
  <c r="D110" i="5"/>
  <c r="C107" i="11"/>
  <c r="BY110" i="5"/>
  <c r="BY111" i="5"/>
  <c r="BY112" i="5"/>
  <c r="BX107" i="11"/>
  <c r="BY109" i="5"/>
  <c r="BY113" i="5"/>
  <c r="C113" i="5"/>
  <c r="CS76" i="11"/>
  <c r="B107" i="11"/>
  <c r="W9" i="9"/>
  <c r="W7" i="9" s="1"/>
  <c r="W13" i="7" s="1"/>
  <c r="W111" i="5"/>
  <c r="W112" i="5"/>
  <c r="BE110" i="5"/>
  <c r="BD107" i="11"/>
  <c r="BE111" i="5"/>
  <c r="BE113" i="5"/>
  <c r="BE109" i="5"/>
  <c r="BE112" i="5"/>
  <c r="AV53" i="7"/>
  <c r="AO50" i="7"/>
  <c r="AO55" i="7"/>
  <c r="BB9" i="7"/>
  <c r="BB4" i="7"/>
  <c r="BB12" i="7" s="1"/>
  <c r="BP92" i="11"/>
  <c r="AG9" i="9"/>
  <c r="AG7" i="9" s="1"/>
  <c r="AG13" i="7" s="1"/>
  <c r="K111" i="5"/>
  <c r="AN28" i="7"/>
  <c r="AN25" i="7"/>
  <c r="AN24" i="7"/>
  <c r="AN20" i="7"/>
  <c r="AU23" i="7"/>
  <c r="AW28" i="7"/>
  <c r="AW20" i="7"/>
  <c r="BD23" i="7"/>
  <c r="AW24" i="7"/>
  <c r="AW25" i="7"/>
  <c r="CH97" i="11"/>
  <c r="CH89" i="11"/>
  <c r="CH91" i="11" s="1"/>
  <c r="BT5" i="9" s="1"/>
  <c r="BT10" i="9"/>
  <c r="BS111" i="11"/>
  <c r="AJ90" i="11"/>
  <c r="AJ97" i="11"/>
  <c r="D51" i="18"/>
  <c r="AH6" i="9" a="1"/>
  <c r="AH6" i="9" s="1"/>
  <c r="U111" i="11"/>
  <c r="D59" i="18"/>
  <c r="V10" i="9"/>
  <c r="D26" i="18"/>
  <c r="AJ89" i="11"/>
  <c r="D35" i="18"/>
  <c r="D43" i="18"/>
  <c r="AQ90" i="11"/>
  <c r="AQ89" i="11"/>
  <c r="AC10" i="9"/>
  <c r="AB111" i="11"/>
  <c r="AQ97" i="11"/>
  <c r="V89" i="11"/>
  <c r="V90" i="11"/>
  <c r="V97" i="11"/>
  <c r="H10" i="9"/>
  <c r="G111" i="11"/>
  <c r="CC97" i="11"/>
  <c r="BN111" i="11"/>
  <c r="CC90" i="11"/>
  <c r="BO10" i="9"/>
  <c r="CC89" i="11"/>
  <c r="CI97" i="11"/>
  <c r="BT111" i="11"/>
  <c r="BU10" i="9"/>
  <c r="CI90" i="11"/>
  <c r="CI89" i="11"/>
  <c r="BP97" i="11"/>
  <c r="BA111" i="11"/>
  <c r="BB10" i="9"/>
  <c r="BP89" i="11"/>
  <c r="BP90" i="11"/>
  <c r="AN107" i="11"/>
  <c r="W109" i="5"/>
  <c r="AL7" i="7"/>
  <c r="AE8" i="7"/>
  <c r="Z20" i="7"/>
  <c r="Z28" i="7"/>
  <c r="Z25" i="7"/>
  <c r="AG23" i="7"/>
  <c r="Z24" i="7"/>
  <c r="AN109" i="5"/>
  <c r="V109" i="5"/>
  <c r="AW23" i="7"/>
  <c r="AP28" i="7"/>
  <c r="AP25" i="7"/>
  <c r="AP20" i="7"/>
  <c r="AP24" i="7"/>
  <c r="BD92" i="11"/>
  <c r="P4" i="7"/>
  <c r="P12" i="7" s="1"/>
  <c r="P9" i="7"/>
  <c r="AD92" i="11"/>
  <c r="BM107" i="11"/>
  <c r="BP25" i="7"/>
  <c r="BW23" i="7"/>
  <c r="BP28" i="7"/>
  <c r="BP20" i="7"/>
  <c r="BP24" i="7"/>
  <c r="D113" i="5"/>
  <c r="AS9" i="9"/>
  <c r="AS7" i="9" s="1"/>
  <c r="AS13" i="7" s="1"/>
  <c r="BC112" i="5"/>
  <c r="BD9" i="7"/>
  <c r="BD4" i="7"/>
  <c r="BD12" i="7" s="1"/>
  <c r="BR92" i="11"/>
  <c r="BK58" i="7"/>
  <c r="BR53" i="7"/>
  <c r="BK55" i="7"/>
  <c r="BK54" i="7"/>
  <c r="BK50" i="7"/>
  <c r="BJ54" i="7"/>
  <c r="BJ55" i="7"/>
  <c r="BJ58" i="7"/>
  <c r="BQ53" i="7"/>
  <c r="BJ50" i="7"/>
  <c r="BH107" i="11"/>
  <c r="BQ92" i="11"/>
  <c r="BC9" i="7"/>
  <c r="BC4" i="7"/>
  <c r="BC12" i="7" s="1"/>
  <c r="AZ92" i="11"/>
  <c r="AL28" i="7"/>
  <c r="AS23" i="7"/>
  <c r="AL20" i="7"/>
  <c r="AL25" i="7"/>
  <c r="AL24" i="7"/>
  <c r="G109" i="5"/>
  <c r="BP54" i="7"/>
  <c r="BW53" i="7"/>
  <c r="BP50" i="7"/>
  <c r="BP58" i="7"/>
  <c r="BP55" i="7"/>
  <c r="O7" i="7"/>
  <c r="H8" i="7"/>
  <c r="E8" i="7"/>
  <c r="E3" i="7" s="1"/>
  <c r="E2" i="7" s="1"/>
  <c r="D5" i="8"/>
  <c r="D3" i="8" s="1"/>
  <c r="L7" i="7"/>
  <c r="J107" i="11"/>
  <c r="AK55" i="7"/>
  <c r="AK50" i="7"/>
  <c r="AB113" i="5"/>
  <c r="AA24" i="7"/>
  <c r="AH23" i="7"/>
  <c r="AA28" i="7"/>
  <c r="AA25" i="7"/>
  <c r="AA20" i="7"/>
  <c r="R9" i="9"/>
  <c r="R7" i="9" s="1"/>
  <c r="R13" i="7" s="1"/>
  <c r="Q107" i="11"/>
  <c r="AE109" i="5"/>
  <c r="AE112" i="5"/>
  <c r="AE110" i="5"/>
  <c r="AE111" i="5"/>
  <c r="AP107" i="11"/>
  <c r="AQ113" i="5"/>
  <c r="AQ110" i="5"/>
  <c r="AQ109" i="5"/>
  <c r="BO9" i="9"/>
  <c r="BO7" i="9" s="1"/>
  <c r="BO13" i="7" s="1"/>
  <c r="BO112" i="5"/>
  <c r="BO110" i="5"/>
  <c r="M112" i="5"/>
  <c r="M110" i="5"/>
  <c r="M109" i="5"/>
  <c r="M9" i="9"/>
  <c r="M7" i="9" s="1"/>
  <c r="M13" i="7" s="1"/>
  <c r="AZ112" i="5"/>
  <c r="AY107" i="11"/>
  <c r="AD107" i="11"/>
  <c r="AG111" i="5"/>
  <c r="K9" i="9"/>
  <c r="K7" i="9" s="1"/>
  <c r="K13" i="7" s="1"/>
  <c r="BI4" i="7"/>
  <c r="BI12" i="7" s="1"/>
  <c r="BW92" i="11"/>
  <c r="BI9" i="7"/>
  <c r="X89" i="11"/>
  <c r="X91" i="11" s="1"/>
  <c r="J5" i="9" s="1"/>
  <c r="V6" i="9" a="1"/>
  <c r="V6" i="9" s="1"/>
  <c r="X97" i="11"/>
  <c r="J10" i="9"/>
  <c r="C35" i="18"/>
  <c r="C26" i="18"/>
  <c r="C59" i="18"/>
  <c r="C51" i="18"/>
  <c r="C43" i="18"/>
  <c r="I111" i="11"/>
  <c r="L25" i="14" s="1"/>
  <c r="BE97" i="11"/>
  <c r="AX68" i="7" s="1"/>
  <c r="AP111" i="11"/>
  <c r="AQ10" i="9"/>
  <c r="BE89" i="11"/>
  <c r="BE90" i="11"/>
  <c r="CE97" i="11"/>
  <c r="BP111" i="11"/>
  <c r="CE90" i="11"/>
  <c r="BQ10" i="9"/>
  <c r="CE89" i="11"/>
  <c r="Z10" i="9"/>
  <c r="Y111" i="11"/>
  <c r="AN97" i="11"/>
  <c r="AN89" i="11"/>
  <c r="AN91" i="11" s="1"/>
  <c r="Z5" i="9" s="1"/>
  <c r="AN90" i="11"/>
  <c r="BJ97" i="11"/>
  <c r="AU111" i="11"/>
  <c r="AV10" i="9"/>
  <c r="BJ89" i="11"/>
  <c r="BJ90" i="11"/>
  <c r="N111" i="11"/>
  <c r="AC97" i="11"/>
  <c r="O10" i="9"/>
  <c r="AC89" i="11"/>
  <c r="AC90" i="11"/>
  <c r="BC97" i="11"/>
  <c r="AV68" i="7" s="1"/>
  <c r="AO10" i="9"/>
  <c r="BC89" i="11"/>
  <c r="BC90" i="11"/>
  <c r="AN111" i="11"/>
  <c r="AM50" i="7"/>
  <c r="AT53" i="7"/>
  <c r="AM55" i="7"/>
  <c r="W110" i="5"/>
  <c r="AJ9" i="7"/>
  <c r="AJ4" i="7"/>
  <c r="AJ12" i="7" s="1"/>
  <c r="AX92" i="11"/>
  <c r="AR107" i="11"/>
  <c r="W28" i="7"/>
  <c r="AD23" i="7"/>
  <c r="W24" i="7"/>
  <c r="W20" i="7"/>
  <c r="W25" i="7"/>
  <c r="AG25" i="7"/>
  <c r="AN23" i="7"/>
  <c r="AG20" i="7"/>
  <c r="AG28" i="7"/>
  <c r="AG24" i="7"/>
  <c r="AN113" i="5"/>
  <c r="CE92" i="11"/>
  <c r="BQ5" i="8" s="1"/>
  <c r="BQ3" i="8" s="1"/>
  <c r="BQ9" i="10" s="1"/>
  <c r="BQ7" i="10" s="1"/>
  <c r="BQ4" i="7"/>
  <c r="BQ12" i="7" s="1"/>
  <c r="BQ9" i="7"/>
  <c r="AE23" i="7"/>
  <c r="X24" i="7"/>
  <c r="X25" i="7"/>
  <c r="X20" i="7"/>
  <c r="X28" i="7"/>
  <c r="AY53" i="7"/>
  <c r="AR50" i="7"/>
  <c r="AR55" i="7"/>
  <c r="AQ111" i="5"/>
  <c r="BA92" i="11"/>
  <c r="AM9" i="7"/>
  <c r="AM4" i="7"/>
  <c r="AM12" i="7" s="1"/>
  <c r="C112" i="5"/>
  <c r="AH111" i="5"/>
  <c r="D9" i="9"/>
  <c r="D7" i="9" s="1"/>
  <c r="D13" i="7" s="1"/>
  <c r="CB92" i="11"/>
  <c r="BN4" i="7"/>
  <c r="BN12" i="7" s="1"/>
  <c r="BN9" i="7"/>
  <c r="AE24" i="7"/>
  <c r="AE20" i="7"/>
  <c r="AE28" i="7"/>
  <c r="AE25" i="7"/>
  <c r="AL23" i="7"/>
  <c r="BC54" i="7"/>
  <c r="BC58" i="7"/>
  <c r="BJ53" i="7"/>
  <c r="BC50" i="7"/>
  <c r="BC55" i="7"/>
  <c r="AS110" i="5"/>
  <c r="H111" i="5"/>
  <c r="AB9" i="7"/>
  <c r="AB4" i="7"/>
  <c r="AB12" i="7" s="1"/>
  <c r="AP92" i="11"/>
  <c r="BB54" i="7"/>
  <c r="BB55" i="7"/>
  <c r="BB50" i="7"/>
  <c r="BB58" i="7"/>
  <c r="BI53" i="7"/>
  <c r="AZ111" i="5"/>
  <c r="F109" i="5"/>
  <c r="BR12" i="7"/>
  <c r="B110" i="11"/>
  <c r="E42" i="13"/>
  <c r="E45" i="13" s="1"/>
  <c r="H12" i="18"/>
  <c r="I24" i="5"/>
  <c r="H45" i="5"/>
  <c r="H10" i="6" s="1"/>
  <c r="BZ12" i="7"/>
  <c r="AD12" i="7"/>
  <c r="BW12" i="7"/>
  <c r="BY7" i="7"/>
  <c r="BR8" i="7"/>
  <c r="BX12" i="7"/>
  <c r="AS5" i="7"/>
  <c r="AS52" i="7"/>
  <c r="AS36" i="7"/>
  <c r="AS66" i="7"/>
  <c r="AS21" i="7"/>
  <c r="AS6" i="7"/>
  <c r="AS42" i="7"/>
  <c r="AS37" i="7"/>
  <c r="AS11" i="7"/>
  <c r="BS12" i="7"/>
  <c r="AD8" i="7"/>
  <c r="AK7" i="7"/>
  <c r="AD5" i="8"/>
  <c r="AD3" i="8" s="1"/>
  <c r="AD9" i="10" s="1"/>
  <c r="AD7" i="10" s="1"/>
  <c r="BX8" i="7"/>
  <c r="BW5" i="8"/>
  <c r="BW3" i="8" s="1"/>
  <c r="BW9" i="10" s="1"/>
  <c r="BW7" i="10" s="1"/>
  <c r="BV5" i="8"/>
  <c r="BV3" i="8" s="1"/>
  <c r="BV9" i="10" s="1"/>
  <c r="BV7" i="10" s="1"/>
  <c r="BW8" i="7"/>
  <c r="H13" i="18"/>
  <c r="I25" i="5"/>
  <c r="BT12" i="7"/>
  <c r="BY12" i="7"/>
  <c r="BS8" i="7"/>
  <c r="BR5" i="8"/>
  <c r="BR3" i="8" s="1"/>
  <c r="BR9" i="10" s="1"/>
  <c r="BR7" i="10" s="1"/>
  <c r="BZ7" i="7"/>
  <c r="BY5" i="8"/>
  <c r="BY3" i="8" s="1"/>
  <c r="BY9" i="10" s="1"/>
  <c r="BY7" i="10" s="1"/>
  <c r="BZ8" i="7"/>
  <c r="BX21" i="7"/>
  <c r="BX4" i="9"/>
  <c r="BX37" i="7"/>
  <c r="BX52" i="7"/>
  <c r="CC12" i="7"/>
  <c r="AJ41" i="15"/>
  <c r="AJ15" i="7"/>
  <c r="AJ11" i="10"/>
  <c r="AJ10" i="10" s="1"/>
  <c r="CB12" i="7"/>
  <c r="CA12" i="7"/>
  <c r="BU8" i="7"/>
  <c r="BT5" i="8"/>
  <c r="BT3" i="8" s="1"/>
  <c r="BT9" i="10" s="1"/>
  <c r="BT7" i="10" s="1"/>
  <c r="CB7" i="7"/>
  <c r="CA7" i="7"/>
  <c r="BT8" i="7"/>
  <c r="BS5" i="8"/>
  <c r="BS3" i="8" s="1"/>
  <c r="BS9" i="10" s="1"/>
  <c r="BS7" i="10" s="1"/>
  <c r="BX5" i="8"/>
  <c r="BX3" i="8" s="1"/>
  <c r="BX9" i="10" s="1"/>
  <c r="BX7" i="10" s="1"/>
  <c r="BY8" i="7"/>
  <c r="CB5" i="8"/>
  <c r="CB3" i="8" s="1"/>
  <c r="CB9" i="10" s="1"/>
  <c r="CB7" i="10" s="1"/>
  <c r="CC8" i="7"/>
  <c r="I18" i="2"/>
  <c r="H14" i="18"/>
  <c r="I26" i="5"/>
  <c r="CC66" i="7"/>
  <c r="CC22" i="7"/>
  <c r="CC27" i="7"/>
  <c r="CC11" i="7"/>
  <c r="CC6" i="7"/>
  <c r="CC57" i="7"/>
  <c r="CC51" i="7"/>
  <c r="CC42" i="7"/>
  <c r="CC21" i="7"/>
  <c r="CC67" i="7"/>
  <c r="CC4" i="9"/>
  <c r="CC36" i="7"/>
  <c r="BV12" i="7"/>
  <c r="BU12" i="7"/>
  <c r="BU5" i="8"/>
  <c r="BU3" i="8" s="1"/>
  <c r="BU9" i="10" s="1"/>
  <c r="BU7" i="10" s="1"/>
  <c r="BV8" i="7"/>
  <c r="CC7" i="7"/>
  <c r="CB8" i="7"/>
  <c r="CA5" i="8"/>
  <c r="CA3" i="8" s="1"/>
  <c r="CA9" i="10" s="1"/>
  <c r="CA7" i="10" s="1"/>
  <c r="CA8" i="7"/>
  <c r="BZ5" i="8"/>
  <c r="BZ3" i="8" s="1"/>
  <c r="BZ9" i="10" s="1"/>
  <c r="BZ7" i="10" s="1"/>
  <c r="AH51" i="7"/>
  <c r="AH52" i="7"/>
  <c r="AH36" i="7"/>
  <c r="AH5" i="7"/>
  <c r="AH42" i="7"/>
  <c r="AH21" i="7"/>
  <c r="AH4" i="9"/>
  <c r="AH57" i="7"/>
  <c r="AH66" i="7"/>
  <c r="AH37" i="7"/>
  <c r="AH11" i="7"/>
  <c r="AH72" i="7"/>
  <c r="AH67" i="7"/>
  <c r="AH27" i="7"/>
  <c r="AH22" i="7"/>
  <c r="AH6" i="7"/>
  <c r="BM91" i="11" l="1"/>
  <c r="AY5" i="9" s="1"/>
  <c r="CI91" i="11"/>
  <c r="BU5" i="9" s="1"/>
  <c r="AJ91" i="11"/>
  <c r="V5" i="9" s="1"/>
  <c r="CF91" i="11"/>
  <c r="BR5" i="9" s="1"/>
  <c r="BR67" i="7" s="1"/>
  <c r="CO91" i="11"/>
  <c r="CA5" i="9" s="1"/>
  <c r="BL91" i="11"/>
  <c r="AX5" i="9" s="1"/>
  <c r="AZ91" i="11"/>
  <c r="AL5" i="9" s="1"/>
  <c r="CD91" i="11"/>
  <c r="BP5" i="9" s="1"/>
  <c r="AO91" i="11"/>
  <c r="AA5" i="9" s="1"/>
  <c r="BF91" i="11"/>
  <c r="AR5" i="9" s="1"/>
  <c r="BV91" i="11"/>
  <c r="BH5" i="9" s="1"/>
  <c r="CA91" i="11"/>
  <c r="BM5" i="9" s="1"/>
  <c r="P22" i="14"/>
  <c r="AP91" i="11"/>
  <c r="AB5" i="9" s="1"/>
  <c r="AB72" i="7" s="1"/>
  <c r="AQ94" i="5"/>
  <c r="AQ87" i="5"/>
  <c r="AZ88" i="5"/>
  <c r="AZ95" i="5"/>
  <c r="V93" i="5"/>
  <c r="V86" i="5"/>
  <c r="AS67" i="7"/>
  <c r="BA93" i="5"/>
  <c r="BA86" i="5"/>
  <c r="J94" i="5"/>
  <c r="J87" i="5"/>
  <c r="C34" i="18"/>
  <c r="C37" i="18" s="1"/>
  <c r="L88" i="5"/>
  <c r="L95" i="5"/>
  <c r="Y97" i="5"/>
  <c r="Y90" i="5"/>
  <c r="W5" i="8"/>
  <c r="W3" i="8" s="1"/>
  <c r="W9" i="10" s="1"/>
  <c r="W7" i="10" s="1"/>
  <c r="W8" i="7"/>
  <c r="V5" i="8"/>
  <c r="V3" i="8" s="1"/>
  <c r="V9" i="10" s="1"/>
  <c r="V7" i="10" s="1"/>
  <c r="AD7" i="7"/>
  <c r="BA68" i="7"/>
  <c r="AT70" i="7"/>
  <c r="AT65" i="7"/>
  <c r="AT69" i="7"/>
  <c r="AT73" i="7"/>
  <c r="BA89" i="5"/>
  <c r="BA96" i="5"/>
  <c r="AP5" i="8"/>
  <c r="AP3" i="8" s="1"/>
  <c r="AP9" i="10" s="1"/>
  <c r="AP7" i="10" s="1"/>
  <c r="AX7" i="7"/>
  <c r="AQ8" i="7"/>
  <c r="W94" i="5"/>
  <c r="W87" i="5"/>
  <c r="M96" i="5"/>
  <c r="M89" i="5"/>
  <c r="AE86" i="5"/>
  <c r="AE93" i="5"/>
  <c r="G93" i="5"/>
  <c r="G86" i="5"/>
  <c r="W7" i="7"/>
  <c r="O5" i="8"/>
  <c r="O3" i="8" s="1"/>
  <c r="O9" i="10" s="1"/>
  <c r="O7" i="10" s="1"/>
  <c r="P8" i="7"/>
  <c r="BZ89" i="5"/>
  <c r="BZ96" i="5"/>
  <c r="BC65" i="7"/>
  <c r="BJ68" i="7"/>
  <c r="BC69" i="7"/>
  <c r="BC70" i="7"/>
  <c r="BC73" i="7"/>
  <c r="Q94" i="5"/>
  <c r="Q87" i="5"/>
  <c r="BT89" i="5"/>
  <c r="BT96" i="5"/>
  <c r="X88" i="5"/>
  <c r="X95" i="5"/>
  <c r="BH5" i="8"/>
  <c r="BH3" i="8" s="1"/>
  <c r="BH9" i="10" s="1"/>
  <c r="BH7" i="10" s="1"/>
  <c r="BI8" i="7"/>
  <c r="BP7" i="7"/>
  <c r="Q89" i="5"/>
  <c r="Q96" i="5"/>
  <c r="BF97" i="5"/>
  <c r="BF90" i="5"/>
  <c r="G58" i="18"/>
  <c r="U94" i="5"/>
  <c r="U87" i="5"/>
  <c r="L89" i="5"/>
  <c r="L96" i="5"/>
  <c r="AA8" i="7"/>
  <c r="AH7" i="7"/>
  <c r="Z5" i="8"/>
  <c r="Z3" i="8" s="1"/>
  <c r="Z9" i="10" s="1"/>
  <c r="Z7" i="10" s="1"/>
  <c r="CC52" i="7"/>
  <c r="CC5" i="7"/>
  <c r="CC3" i="7" s="1"/>
  <c r="CC72" i="7"/>
  <c r="BR70" i="7"/>
  <c r="BR69" i="7"/>
  <c r="BR65" i="7"/>
  <c r="BR73" i="7"/>
  <c r="BY68" i="7"/>
  <c r="BE96" i="5"/>
  <c r="BE89" i="5"/>
  <c r="BC88" i="5"/>
  <c r="BC95" i="5"/>
  <c r="K5" i="8"/>
  <c r="K3" i="8" s="1"/>
  <c r="K9" i="10" s="1"/>
  <c r="K7" i="10" s="1"/>
  <c r="J5" i="8"/>
  <c r="J3" i="8" s="1"/>
  <c r="J9" i="10" s="1"/>
  <c r="J7" i="10" s="1"/>
  <c r="R7" i="7"/>
  <c r="K8" i="7"/>
  <c r="AC8" i="7"/>
  <c r="AB5" i="8"/>
  <c r="AB3" i="8" s="1"/>
  <c r="AB9" i="10" s="1"/>
  <c r="AB7" i="10" s="1"/>
  <c r="AJ7" i="7"/>
  <c r="AC5" i="8"/>
  <c r="AC3" i="8" s="1"/>
  <c r="AD11" i="7"/>
  <c r="AD6" i="7"/>
  <c r="AD67" i="7"/>
  <c r="AD37" i="7"/>
  <c r="AD22" i="7"/>
  <c r="AD5" i="7"/>
  <c r="AD66" i="7"/>
  <c r="AD27" i="7"/>
  <c r="AD21" i="7"/>
  <c r="AD51" i="7"/>
  <c r="AD52" i="7"/>
  <c r="AD72" i="7"/>
  <c r="AD4" i="9"/>
  <c r="AD36" i="7"/>
  <c r="AD42" i="7"/>
  <c r="AD57" i="7"/>
  <c r="BS89" i="5"/>
  <c r="BS96" i="5"/>
  <c r="BX96" i="5"/>
  <c r="BX89" i="5"/>
  <c r="Y7" i="7"/>
  <c r="R8" i="7"/>
  <c r="Q5" i="8"/>
  <c r="Q3" i="8" s="1"/>
  <c r="Q9" i="10" s="1"/>
  <c r="Q7" i="10" s="1"/>
  <c r="BX22" i="7"/>
  <c r="BX5" i="7"/>
  <c r="BX27" i="7"/>
  <c r="AF97" i="5"/>
  <c r="AF90" i="5"/>
  <c r="BB97" i="5"/>
  <c r="BB90" i="5"/>
  <c r="BM87" i="5"/>
  <c r="BM94" i="5"/>
  <c r="BX72" i="7"/>
  <c r="AB66" i="7"/>
  <c r="AB52" i="7"/>
  <c r="AM7" i="7"/>
  <c r="AE5" i="8"/>
  <c r="AE3" i="8" s="1"/>
  <c r="AE9" i="10" s="1"/>
  <c r="AE7" i="10" s="1"/>
  <c r="AF8" i="7"/>
  <c r="AF5" i="8"/>
  <c r="AF3" i="8" s="1"/>
  <c r="AF9" i="10" s="1"/>
  <c r="AF7" i="10" s="1"/>
  <c r="I87" i="5"/>
  <c r="I94" i="5"/>
  <c r="AA97" i="5"/>
  <c r="AA90" i="5"/>
  <c r="BM7" i="7"/>
  <c r="BE5" i="8"/>
  <c r="BE3" i="8" s="1"/>
  <c r="BE9" i="10" s="1"/>
  <c r="BE7" i="10" s="1"/>
  <c r="BF8" i="7"/>
  <c r="G25" i="18"/>
  <c r="G30" i="18" s="1"/>
  <c r="BJ73" i="7"/>
  <c r="BJ70" i="7"/>
  <c r="BJ69" i="7"/>
  <c r="BQ68" i="7"/>
  <c r="BJ65" i="7"/>
  <c r="AO5" i="8"/>
  <c r="AO3" i="8" s="1"/>
  <c r="AO9" i="10" s="1"/>
  <c r="AO7" i="10" s="1"/>
  <c r="AW7" i="7"/>
  <c r="AP8" i="7"/>
  <c r="BU66" i="7"/>
  <c r="BU67" i="7"/>
  <c r="BU42" i="7"/>
  <c r="BU51" i="7"/>
  <c r="V67" i="7"/>
  <c r="V37" i="7"/>
  <c r="V72" i="7"/>
  <c r="V66" i="7"/>
  <c r="V22" i="7"/>
  <c r="V36" i="7"/>
  <c r="V51" i="7"/>
  <c r="V52" i="7"/>
  <c r="V27" i="7"/>
  <c r="V11" i="7"/>
  <c r="V42" i="7"/>
  <c r="V57" i="7"/>
  <c r="V6" i="7"/>
  <c r="V4" i="9"/>
  <c r="V21" i="7"/>
  <c r="V5" i="7"/>
  <c r="BT6" i="7"/>
  <c r="BT57" i="7"/>
  <c r="BT66" i="7"/>
  <c r="BT37" i="7"/>
  <c r="BT67" i="7"/>
  <c r="BT21" i="7"/>
  <c r="BT27" i="7"/>
  <c r="BT36" i="7"/>
  <c r="BT42" i="7"/>
  <c r="BT4" i="9"/>
  <c r="BT11" i="7"/>
  <c r="BT51" i="7"/>
  <c r="BT5" i="7"/>
  <c r="BE97" i="5"/>
  <c r="BE90" i="5"/>
  <c r="BY93" i="5"/>
  <c r="BY86" i="5"/>
  <c r="BV97" i="5"/>
  <c r="BV90" i="5"/>
  <c r="BZ94" i="5"/>
  <c r="BZ87" i="5"/>
  <c r="BO95" i="5"/>
  <c r="BO88" i="5"/>
  <c r="BN86" i="5"/>
  <c r="BN93" i="5"/>
  <c r="BS95" i="5"/>
  <c r="BS88" i="5"/>
  <c r="Q97" i="5"/>
  <c r="Q90" i="5"/>
  <c r="BC87" i="5"/>
  <c r="BC94" i="5"/>
  <c r="BQ86" i="5"/>
  <c r="BQ93" i="5"/>
  <c r="BJ90" i="5"/>
  <c r="BJ97" i="5"/>
  <c r="BJ8" i="7"/>
  <c r="BQ7" i="7"/>
  <c r="BI5" i="8"/>
  <c r="BI3" i="8" s="1"/>
  <c r="BI9" i="10" s="1"/>
  <c r="BI7" i="10" s="1"/>
  <c r="BN91" i="11"/>
  <c r="AZ5" i="9" s="1"/>
  <c r="B25" i="18"/>
  <c r="B30" i="18" s="1"/>
  <c r="BT69" i="7"/>
  <c r="BT70" i="7"/>
  <c r="BT65" i="7"/>
  <c r="BT73" i="7"/>
  <c r="CA68" i="7"/>
  <c r="K95" i="5"/>
  <c r="K88" i="5"/>
  <c r="BE95" i="5"/>
  <c r="BE88" i="5"/>
  <c r="AW91" i="11"/>
  <c r="AI5" i="9" s="1"/>
  <c r="BZ69" i="7"/>
  <c r="BZ65" i="7"/>
  <c r="BZ70" i="7"/>
  <c r="BZ73" i="7"/>
  <c r="BT95" i="5"/>
  <c r="BT88" i="5"/>
  <c r="BU86" i="5"/>
  <c r="BU93" i="5"/>
  <c r="G42" i="18"/>
  <c r="G45" i="18" s="1"/>
  <c r="B58" i="18"/>
  <c r="B51" i="18"/>
  <c r="AJ89" i="5"/>
  <c r="AJ96" i="5"/>
  <c r="AN5" i="8"/>
  <c r="AN3" i="8" s="1"/>
  <c r="AN9" i="10" s="1"/>
  <c r="AN7" i="10" s="1"/>
  <c r="AN8" i="7"/>
  <c r="AU7" i="7"/>
  <c r="AM5" i="8"/>
  <c r="AM3" i="8" s="1"/>
  <c r="AM9" i="10" s="1"/>
  <c r="AM7" i="10" s="1"/>
  <c r="BN70" i="7"/>
  <c r="BU68" i="7"/>
  <c r="BN69" i="7"/>
  <c r="BN73" i="7"/>
  <c r="BN65" i="7"/>
  <c r="AW90" i="5"/>
  <c r="AW97" i="5"/>
  <c r="BY96" i="5"/>
  <c r="BY89" i="5"/>
  <c r="V94" i="5"/>
  <c r="V87" i="5"/>
  <c r="BR68" i="7"/>
  <c r="BK65" i="7"/>
  <c r="BK69" i="7"/>
  <c r="BK73" i="7"/>
  <c r="BK70" i="7"/>
  <c r="BT72" i="7"/>
  <c r="BX42" i="7"/>
  <c r="AQ95" i="5"/>
  <c r="AQ88" i="5"/>
  <c r="BP5" i="8"/>
  <c r="BP3" i="8" s="1"/>
  <c r="BP9" i="10" s="1"/>
  <c r="BP7" i="10" s="1"/>
  <c r="H18" i="2"/>
  <c r="BX7" i="7"/>
  <c r="BQ8" i="7"/>
  <c r="BC91" i="11"/>
  <c r="AO5" i="9" s="1"/>
  <c r="BQ65" i="7"/>
  <c r="BQ73" i="7"/>
  <c r="BQ69" i="7"/>
  <c r="BQ70" i="7"/>
  <c r="BX68" i="7"/>
  <c r="AQ97" i="5"/>
  <c r="AQ90" i="5"/>
  <c r="AL8" i="7"/>
  <c r="AS7" i="7"/>
  <c r="AK5" i="8"/>
  <c r="AK3" i="8" s="1"/>
  <c r="AK9" i="10" s="1"/>
  <c r="AK7" i="10" s="1"/>
  <c r="AL37" i="7"/>
  <c r="AL66" i="7"/>
  <c r="AL52" i="7"/>
  <c r="V91" i="11"/>
  <c r="H5" i="9" s="1"/>
  <c r="H4" i="9" s="1"/>
  <c r="BA5" i="8"/>
  <c r="BA3" i="8" s="1"/>
  <c r="BA9" i="10" s="1"/>
  <c r="BA7" i="10" s="1"/>
  <c r="BI7" i="7"/>
  <c r="BB8" i="7"/>
  <c r="BE87" i="5"/>
  <c r="BE94" i="5"/>
  <c r="BY95" i="5"/>
  <c r="BY88" i="5"/>
  <c r="BV94" i="5"/>
  <c r="BV87" i="5"/>
  <c r="X41" i="15"/>
  <c r="X15" i="7"/>
  <c r="X11" i="10"/>
  <c r="X10" i="10" s="1"/>
  <c r="AN89" i="5"/>
  <c r="AN96" i="5"/>
  <c r="BY70" i="7"/>
  <c r="BY65" i="7"/>
  <c r="BY73" i="7"/>
  <c r="BY69" i="7"/>
  <c r="AX51" i="7"/>
  <c r="AX36" i="7"/>
  <c r="AX4" i="9"/>
  <c r="AX27" i="7"/>
  <c r="AX52" i="7"/>
  <c r="AX66" i="7"/>
  <c r="AX72" i="7"/>
  <c r="AX6" i="7"/>
  <c r="AX42" i="7"/>
  <c r="AX11" i="7"/>
  <c r="AX67" i="7"/>
  <c r="AX57" i="7"/>
  <c r="AX37" i="7"/>
  <c r="AX22" i="7"/>
  <c r="AX21" i="7"/>
  <c r="AX5" i="7"/>
  <c r="BD5" i="8"/>
  <c r="BD3" i="8" s="1"/>
  <c r="BD9" i="10" s="1"/>
  <c r="BD7" i="10" s="1"/>
  <c r="G18" i="2"/>
  <c r="BL7" i="7"/>
  <c r="BE8" i="7"/>
  <c r="S87" i="5"/>
  <c r="S94" i="5"/>
  <c r="AL97" i="5"/>
  <c r="AL90" i="5"/>
  <c r="AJ86" i="5"/>
  <c r="AJ93" i="5"/>
  <c r="Y89" i="5"/>
  <c r="Y96" i="5"/>
  <c r="BJ95" i="5"/>
  <c r="BJ88" i="5"/>
  <c r="AH95" i="5"/>
  <c r="AH88" i="5"/>
  <c r="E42" i="18"/>
  <c r="E45" i="18" s="1"/>
  <c r="AA5" i="8"/>
  <c r="AA3" i="8" s="1"/>
  <c r="AA9" i="10" s="1"/>
  <c r="AA7" i="10" s="1"/>
  <c r="AB8" i="7"/>
  <c r="AI7" i="7"/>
  <c r="AB37" i="7"/>
  <c r="AB42" i="7"/>
  <c r="AB5" i="7"/>
  <c r="AB36" i="7"/>
  <c r="BJ91" i="11"/>
  <c r="AV5" i="9" s="1"/>
  <c r="AZ86" i="5"/>
  <c r="AZ93" i="5"/>
  <c r="S90" i="5"/>
  <c r="S85" i="5" s="1"/>
  <c r="S97" i="5"/>
  <c r="BX57" i="7"/>
  <c r="BU36" i="7"/>
  <c r="AV69" i="7"/>
  <c r="AV65" i="7"/>
  <c r="AV70" i="7"/>
  <c r="BC68" i="7"/>
  <c r="AV73" i="7"/>
  <c r="AZ96" i="5"/>
  <c r="AZ89" i="5"/>
  <c r="W93" i="5"/>
  <c r="W86" i="5"/>
  <c r="W89" i="5"/>
  <c r="W96" i="5"/>
  <c r="BV93" i="5"/>
  <c r="BV86" i="5"/>
  <c r="K90" i="5"/>
  <c r="K97" i="5"/>
  <c r="AL95" i="5"/>
  <c r="AL88" i="5"/>
  <c r="AG91" i="11"/>
  <c r="S5" i="9" s="1"/>
  <c r="CG91" i="11"/>
  <c r="BS5" i="9" s="1"/>
  <c r="AY91" i="11"/>
  <c r="AK5" i="9" s="1"/>
  <c r="AQ86" i="5"/>
  <c r="AQ93" i="5"/>
  <c r="M5" i="8"/>
  <c r="M3" i="8" s="1"/>
  <c r="M9" i="10" s="1"/>
  <c r="M7" i="10" s="1"/>
  <c r="U7" i="7"/>
  <c r="N8" i="7"/>
  <c r="AL93" i="5"/>
  <c r="AL86" i="5"/>
  <c r="BT52" i="7"/>
  <c r="BX66" i="7"/>
  <c r="BU37" i="7"/>
  <c r="AB57" i="7"/>
  <c r="AR72" i="7"/>
  <c r="AN90" i="5"/>
  <c r="AN97" i="5"/>
  <c r="BU69" i="7"/>
  <c r="BU73" i="7"/>
  <c r="BU70" i="7"/>
  <c r="BU65" i="7"/>
  <c r="CB68" i="7"/>
  <c r="M25" i="14"/>
  <c r="BY87" i="5"/>
  <c r="BY94" i="5"/>
  <c r="AV87" i="5"/>
  <c r="AV94" i="5"/>
  <c r="BL89" i="5"/>
  <c r="BL96" i="5"/>
  <c r="AJ87" i="5"/>
  <c r="AJ94" i="5"/>
  <c r="CC37" i="7"/>
  <c r="BT22" i="7"/>
  <c r="BX11" i="7"/>
  <c r="BU5" i="7"/>
  <c r="BU57" i="7"/>
  <c r="BR72" i="7"/>
  <c r="AB67" i="7"/>
  <c r="BO94" i="5"/>
  <c r="BO87" i="5"/>
  <c r="BO73" i="7"/>
  <c r="BO65" i="7"/>
  <c r="BO70" i="7"/>
  <c r="BV68" i="7"/>
  <c r="BO69" i="7"/>
  <c r="BZ97" i="5"/>
  <c r="BZ90" i="5"/>
  <c r="BK21" i="7"/>
  <c r="BK22" i="7"/>
  <c r="BK27" i="7"/>
  <c r="BK67" i="7"/>
  <c r="BK72" i="7"/>
  <c r="BK52" i="7"/>
  <c r="BK6" i="7"/>
  <c r="BK11" i="7"/>
  <c r="BK5" i="7"/>
  <c r="BK37" i="7"/>
  <c r="BK51" i="7"/>
  <c r="BK4" i="9"/>
  <c r="BK57" i="7"/>
  <c r="BK42" i="7"/>
  <c r="BK36" i="7"/>
  <c r="BK66" i="7"/>
  <c r="AG95" i="5"/>
  <c r="AG88" i="5"/>
  <c r="BX6" i="7"/>
  <c r="BX51" i="7"/>
  <c r="BU52" i="7"/>
  <c r="AB51" i="7"/>
  <c r="AT7" i="7"/>
  <c r="AL5" i="8"/>
  <c r="AL3" i="8" s="1"/>
  <c r="AL9" i="10" s="1"/>
  <c r="AL7" i="10" s="1"/>
  <c r="AM8" i="7"/>
  <c r="BX36" i="7"/>
  <c r="BU6" i="7"/>
  <c r="AB27" i="7"/>
  <c r="AS72" i="7"/>
  <c r="Z51" i="7"/>
  <c r="Z22" i="7"/>
  <c r="Z21" i="7"/>
  <c r="Z57" i="7"/>
  <c r="Z67" i="7"/>
  <c r="Z72" i="7"/>
  <c r="Z37" i="7"/>
  <c r="Z11" i="7"/>
  <c r="Z52" i="7"/>
  <c r="Z36" i="7"/>
  <c r="Z4" i="9"/>
  <c r="Z42" i="7"/>
  <c r="Z6" i="7"/>
  <c r="Z5" i="7"/>
  <c r="Z27" i="7"/>
  <c r="Z66" i="7"/>
  <c r="M93" i="5"/>
  <c r="M86" i="5"/>
  <c r="AE87" i="5"/>
  <c r="AE94" i="5"/>
  <c r="BJ7" i="7"/>
  <c r="BC8" i="7"/>
  <c r="BB5" i="8"/>
  <c r="BB3" i="8" s="1"/>
  <c r="BB9" i="10" s="1"/>
  <c r="BB7" i="10" s="1"/>
  <c r="D87" i="5"/>
  <c r="D94" i="5"/>
  <c r="N5" i="8"/>
  <c r="N3" i="8" s="1"/>
  <c r="N9" i="10" s="1"/>
  <c r="N7" i="10" s="1"/>
  <c r="V7" i="7"/>
  <c r="O8" i="7"/>
  <c r="BX91" i="11"/>
  <c r="BJ5" i="9" s="1"/>
  <c r="BL97" i="5"/>
  <c r="BL90" i="5"/>
  <c r="BX95" i="5"/>
  <c r="BX88" i="5"/>
  <c r="AJ90" i="5"/>
  <c r="AJ97" i="5"/>
  <c r="BP86" i="5"/>
  <c r="BP93" i="5"/>
  <c r="BI94" i="5"/>
  <c r="BI87" i="5"/>
  <c r="AY8" i="7"/>
  <c r="BF7" i="7"/>
  <c r="AX5" i="8"/>
  <c r="AX3" i="8" s="1"/>
  <c r="AX9" i="10" s="1"/>
  <c r="AX7" i="10" s="1"/>
  <c r="AY5" i="8"/>
  <c r="AY3" i="8" s="1"/>
  <c r="AY9" i="10" s="1"/>
  <c r="AY7" i="10" s="1"/>
  <c r="C87" i="5"/>
  <c r="C94" i="5"/>
  <c r="B34" i="18"/>
  <c r="B37" i="18" s="1"/>
  <c r="Y88" i="5"/>
  <c r="Y95" i="5"/>
  <c r="AS4" i="9"/>
  <c r="AS51" i="7"/>
  <c r="AR67" i="7"/>
  <c r="BU7" i="7"/>
  <c r="BM5" i="8"/>
  <c r="BM3" i="8" s="1"/>
  <c r="BM9" i="10" s="1"/>
  <c r="BM7" i="10" s="1"/>
  <c r="BN8" i="7"/>
  <c r="AC91" i="11"/>
  <c r="O5" i="9" s="1"/>
  <c r="J66" i="7"/>
  <c r="J36" i="7"/>
  <c r="J22" i="7"/>
  <c r="J42" i="7"/>
  <c r="J27" i="7"/>
  <c r="J4" i="9"/>
  <c r="J37" i="7"/>
  <c r="J21" i="7"/>
  <c r="J67" i="7"/>
  <c r="J11" i="7"/>
  <c r="J5" i="7"/>
  <c r="J51" i="7"/>
  <c r="J57" i="7"/>
  <c r="J72" i="7"/>
  <c r="J52" i="7"/>
  <c r="J6" i="7"/>
  <c r="M94" i="5"/>
  <c r="M87" i="5"/>
  <c r="AE89" i="5"/>
  <c r="AE96" i="5"/>
  <c r="BK7" i="7"/>
  <c r="BD8" i="7"/>
  <c r="BC5" i="8"/>
  <c r="BC3" i="8" s="1"/>
  <c r="BC9" i="10" s="1"/>
  <c r="BC7" i="10" s="1"/>
  <c r="AN86" i="5"/>
  <c r="AN93" i="5"/>
  <c r="BP91" i="11"/>
  <c r="BB5" i="9" s="1"/>
  <c r="AQ91" i="11"/>
  <c r="AC5" i="9" s="1"/>
  <c r="K22" i="14"/>
  <c r="B50" i="18"/>
  <c r="S7" i="7"/>
  <c r="L8" i="7"/>
  <c r="BQ91" i="11"/>
  <c r="BC5" i="9" s="1"/>
  <c r="BS87" i="5"/>
  <c r="BS94" i="5"/>
  <c r="BL86" i="5"/>
  <c r="BL93" i="5"/>
  <c r="BX93" i="5"/>
  <c r="BX86" i="5"/>
  <c r="V97" i="5"/>
  <c r="V90" i="5"/>
  <c r="N66" i="7"/>
  <c r="N21" i="7"/>
  <c r="N5" i="7"/>
  <c r="N51" i="7"/>
  <c r="N11" i="7"/>
  <c r="N4" i="9"/>
  <c r="N37" i="7"/>
  <c r="N57" i="7"/>
  <c r="N36" i="7"/>
  <c r="N27" i="7"/>
  <c r="N72" i="7"/>
  <c r="N42" i="7"/>
  <c r="N6" i="7"/>
  <c r="N67" i="7"/>
  <c r="N52" i="7"/>
  <c r="N22" i="7"/>
  <c r="AF86" i="5"/>
  <c r="AF93" i="5"/>
  <c r="AW86" i="5"/>
  <c r="AW93" i="5"/>
  <c r="AI90" i="5"/>
  <c r="E58" i="18"/>
  <c r="AI97" i="5"/>
  <c r="C25" i="18"/>
  <c r="C30" i="18" s="1"/>
  <c r="N93" i="5"/>
  <c r="N86" i="5"/>
  <c r="R95" i="5"/>
  <c r="R88" i="5"/>
  <c r="G94" i="5"/>
  <c r="G87" i="5"/>
  <c r="J97" i="5"/>
  <c r="J90" i="5"/>
  <c r="K40" i="5" s="1"/>
  <c r="C58" i="18"/>
  <c r="CC95" i="5"/>
  <c r="CC88" i="5"/>
  <c r="K25" i="14"/>
  <c r="AG87" i="5"/>
  <c r="AG94" i="5"/>
  <c r="AH68" i="5" s="1"/>
  <c r="BB91" i="11"/>
  <c r="AN5" i="9" s="1"/>
  <c r="BV65" i="7"/>
  <c r="BV69" i="7"/>
  <c r="BV70" i="7"/>
  <c r="BV73" i="7"/>
  <c r="CC68" i="7"/>
  <c r="BR7" i="7"/>
  <c r="BK8" i="7"/>
  <c r="BJ5" i="8"/>
  <c r="BJ3" i="8" s="1"/>
  <c r="BJ9" i="10" s="1"/>
  <c r="BJ7" i="10" s="1"/>
  <c r="AU95" i="5"/>
  <c r="AU88" i="5"/>
  <c r="BP65" i="7"/>
  <c r="BW68" i="7"/>
  <c r="BP70" i="7"/>
  <c r="BP69" i="7"/>
  <c r="BP73" i="7"/>
  <c r="BG90" i="5"/>
  <c r="BG97" i="5"/>
  <c r="AO89" i="5"/>
  <c r="AO96" i="5"/>
  <c r="AM91" i="11"/>
  <c r="Y5" i="9" s="1"/>
  <c r="E34" i="18"/>
  <c r="E37" i="18" s="1"/>
  <c r="AH94" i="5"/>
  <c r="AH87" i="5"/>
  <c r="AC88" i="5"/>
  <c r="AC95" i="5"/>
  <c r="BC90" i="5"/>
  <c r="BC97" i="5"/>
  <c r="BC92" i="5" s="1"/>
  <c r="AS91" i="11"/>
  <c r="AE5" i="9" s="1"/>
  <c r="BR86" i="5"/>
  <c r="H25" i="18"/>
  <c r="H30" i="18" s="1"/>
  <c r="BR93" i="5"/>
  <c r="BQ97" i="5"/>
  <c r="BQ90" i="5"/>
  <c r="AA94" i="5"/>
  <c r="AA87" i="5"/>
  <c r="BD97" i="5"/>
  <c r="BD90" i="5"/>
  <c r="AY94" i="5"/>
  <c r="AY87" i="5"/>
  <c r="AR90" i="5"/>
  <c r="AR97" i="5"/>
  <c r="AP97" i="5"/>
  <c r="AP90" i="5"/>
  <c r="AM94" i="5"/>
  <c r="AM87" i="5"/>
  <c r="L15" i="7"/>
  <c r="E23" i="3"/>
  <c r="L11" i="10"/>
  <c r="L10" i="10" s="1"/>
  <c r="L41" i="15"/>
  <c r="BU91" i="11"/>
  <c r="BG5" i="9" s="1"/>
  <c r="AF89" i="5"/>
  <c r="AF96" i="5"/>
  <c r="AB89" i="5"/>
  <c r="AB96" i="5"/>
  <c r="AZ90" i="5"/>
  <c r="AZ97" i="5"/>
  <c r="R96" i="5"/>
  <c r="R89" i="5"/>
  <c r="BT87" i="5"/>
  <c r="BT94" i="5"/>
  <c r="N90" i="5"/>
  <c r="N97" i="5"/>
  <c r="AD94" i="5"/>
  <c r="AD92" i="5" s="1"/>
  <c r="AD87" i="5"/>
  <c r="AD85" i="5" s="1"/>
  <c r="AK91" i="11"/>
  <c r="W5" i="9" s="1"/>
  <c r="J96" i="5"/>
  <c r="J89" i="5"/>
  <c r="K39" i="5" s="1"/>
  <c r="L39" i="5" s="1"/>
  <c r="M39" i="5" s="1"/>
  <c r="N39" i="5" s="1"/>
  <c r="C50" i="18"/>
  <c r="C53" i="18" s="1"/>
  <c r="L90" i="5"/>
  <c r="L97" i="5"/>
  <c r="BP90" i="5"/>
  <c r="BP97" i="5"/>
  <c r="C8" i="7"/>
  <c r="C3" i="7" s="1"/>
  <c r="C2" i="7" s="1"/>
  <c r="J7" i="7"/>
  <c r="BA91" i="11"/>
  <c r="AM5" i="9" s="1"/>
  <c r="CK91" i="11"/>
  <c r="BW5" i="9" s="1"/>
  <c r="AK88" i="5"/>
  <c r="AK95" i="5"/>
  <c r="AG93" i="5"/>
  <c r="AG86" i="5"/>
  <c r="AU89" i="5"/>
  <c r="AU96" i="5"/>
  <c r="BG96" i="5"/>
  <c r="BG89" i="5"/>
  <c r="G50" i="18"/>
  <c r="G53" i="18" s="1"/>
  <c r="T7" i="7"/>
  <c r="M8" i="7"/>
  <c r="L5" i="8"/>
  <c r="L3" i="8" s="1"/>
  <c r="L9" i="10" s="1"/>
  <c r="L7" i="10" s="1"/>
  <c r="BH15" i="7"/>
  <c r="BH11" i="10"/>
  <c r="BH10" i="10" s="1"/>
  <c r="BH41" i="15"/>
  <c r="BM86" i="5"/>
  <c r="BM93" i="5"/>
  <c r="Q36" i="7"/>
  <c r="Q51" i="7"/>
  <c r="Q21" i="7"/>
  <c r="Q27" i="7"/>
  <c r="Q66" i="7"/>
  <c r="Q37" i="7"/>
  <c r="Q22" i="7"/>
  <c r="Q72" i="7"/>
  <c r="Q67" i="7"/>
  <c r="Q11" i="7"/>
  <c r="Q5" i="7"/>
  <c r="Q57" i="7"/>
  <c r="Q6" i="7"/>
  <c r="Q42" i="7"/>
  <c r="Q52" i="7"/>
  <c r="Q4" i="9"/>
  <c r="AH86" i="5"/>
  <c r="AH93" i="5"/>
  <c r="E25" i="18"/>
  <c r="E30" i="18" s="1"/>
  <c r="AW95" i="5"/>
  <c r="AW88" i="5"/>
  <c r="BT7" i="7"/>
  <c r="BL5" i="8"/>
  <c r="BL3" i="8" s="1"/>
  <c r="BL9" i="10" s="1"/>
  <c r="BL7" i="10" s="1"/>
  <c r="BM8" i="7"/>
  <c r="AI12" i="7"/>
  <c r="O22" i="14"/>
  <c r="AA86" i="5"/>
  <c r="AA93" i="5"/>
  <c r="O97" i="5"/>
  <c r="O90" i="5"/>
  <c r="BI86" i="5"/>
  <c r="BI93" i="5"/>
  <c r="BD94" i="5"/>
  <c r="BD87" i="5"/>
  <c r="AY88" i="5"/>
  <c r="AY95" i="5"/>
  <c r="AR96" i="5"/>
  <c r="AR89" i="5"/>
  <c r="AP86" i="5"/>
  <c r="AP93" i="5"/>
  <c r="AU94" i="5"/>
  <c r="AU87" i="5"/>
  <c r="H3" i="7"/>
  <c r="H2" i="7" s="1"/>
  <c r="BH4" i="9"/>
  <c r="BH22" i="7"/>
  <c r="BH52" i="7"/>
  <c r="BH21" i="7"/>
  <c r="BH36" i="7"/>
  <c r="BH51" i="7"/>
  <c r="BH67" i="7"/>
  <c r="BH37" i="7"/>
  <c r="BH42" i="7"/>
  <c r="BH6" i="7"/>
  <c r="BH66" i="7"/>
  <c r="BH57" i="7"/>
  <c r="BH72" i="7"/>
  <c r="BH11" i="7"/>
  <c r="BH27" i="7"/>
  <c r="BH5" i="7"/>
  <c r="P25" i="14"/>
  <c r="P26" i="14" s="1"/>
  <c r="E50" i="18"/>
  <c r="E53" i="18" s="1"/>
  <c r="AH96" i="5"/>
  <c r="AH89" i="5"/>
  <c r="P89" i="5"/>
  <c r="P96" i="5"/>
  <c r="BW86" i="5"/>
  <c r="BW93" i="5"/>
  <c r="BR87" i="5"/>
  <c r="H34" i="18"/>
  <c r="H37" i="18" s="1"/>
  <c r="BR94" i="5"/>
  <c r="AV97" i="5"/>
  <c r="AV90" i="5"/>
  <c r="X94" i="5"/>
  <c r="X87" i="5"/>
  <c r="O88" i="5"/>
  <c r="O95" i="5"/>
  <c r="BD89" i="5"/>
  <c r="BD96" i="5"/>
  <c r="AS22" i="7"/>
  <c r="CE91" i="11"/>
  <c r="BQ5" i="9" s="1"/>
  <c r="BO96" i="5"/>
  <c r="BO89" i="5"/>
  <c r="BC89" i="5"/>
  <c r="BC96" i="5"/>
  <c r="BB69" i="7"/>
  <c r="BB70" i="7"/>
  <c r="BB73" i="7"/>
  <c r="BB65" i="7"/>
  <c r="BI68" i="7"/>
  <c r="BE93" i="5"/>
  <c r="BE86" i="5"/>
  <c r="BY97" i="5"/>
  <c r="BY90" i="5"/>
  <c r="BV88" i="5"/>
  <c r="BV95" i="5"/>
  <c r="BZ93" i="5"/>
  <c r="BZ86" i="5"/>
  <c r="AS95" i="5"/>
  <c r="AS88" i="5"/>
  <c r="AO93" i="5"/>
  <c r="AO86" i="5"/>
  <c r="CM91" i="11"/>
  <c r="BY5" i="9" s="1"/>
  <c r="BS90" i="5"/>
  <c r="BS97" i="5"/>
  <c r="Q86" i="5"/>
  <c r="Q93" i="5"/>
  <c r="Q92" i="5" s="1"/>
  <c r="BX97" i="5"/>
  <c r="BX90" i="5"/>
  <c r="BG65" i="7"/>
  <c r="BG69" i="7"/>
  <c r="BN68" i="7"/>
  <c r="BG73" i="7"/>
  <c r="BG70" i="7"/>
  <c r="K94" i="5"/>
  <c r="K87" i="5"/>
  <c r="BJ93" i="5"/>
  <c r="BJ86" i="5"/>
  <c r="BJ85" i="5" s="1"/>
  <c r="AE7" i="7"/>
  <c r="X8" i="7"/>
  <c r="CB91" i="11"/>
  <c r="BN5" i="9" s="1"/>
  <c r="BQ89" i="5"/>
  <c r="BQ96" i="5"/>
  <c r="AC7" i="7"/>
  <c r="V8" i="7"/>
  <c r="U5" i="8"/>
  <c r="U3" i="8" s="1"/>
  <c r="U9" i="10" s="1"/>
  <c r="U7" i="10" s="1"/>
  <c r="L94" i="5"/>
  <c r="L87" i="5"/>
  <c r="BH91" i="11"/>
  <c r="AT5" i="9" s="1"/>
  <c r="P94" i="5"/>
  <c r="P87" i="5"/>
  <c r="AZ5" i="8"/>
  <c r="AZ3" i="8" s="1"/>
  <c r="AZ9" i="10" s="1"/>
  <c r="AZ7" i="10" s="1"/>
  <c r="BA8" i="7"/>
  <c r="BH7" i="7"/>
  <c r="BD68" i="7"/>
  <c r="AW65" i="7"/>
  <c r="AW70" i="7"/>
  <c r="AW69" i="7"/>
  <c r="AW73" i="7"/>
  <c r="AF91" i="11"/>
  <c r="R5" i="9" s="1"/>
  <c r="BB95" i="5"/>
  <c r="BB88" i="5"/>
  <c r="AU90" i="5"/>
  <c r="AU97" i="5"/>
  <c r="T91" i="11"/>
  <c r="F5" i="9" s="1"/>
  <c r="F4" i="9" s="1"/>
  <c r="BP12" i="7"/>
  <c r="BM73" i="7"/>
  <c r="BT68" i="7"/>
  <c r="BM65" i="7"/>
  <c r="BM70" i="7"/>
  <c r="BM69" i="7"/>
  <c r="BO91" i="11"/>
  <c r="BA5" i="9" s="1"/>
  <c r="AR7" i="7"/>
  <c r="AJ5" i="8"/>
  <c r="AJ3" i="8" s="1"/>
  <c r="AJ9" i="10" s="1"/>
  <c r="AJ7" i="10" s="1"/>
  <c r="AK8" i="7"/>
  <c r="N22" i="14"/>
  <c r="P86" i="5"/>
  <c r="P93" i="5"/>
  <c r="AI8" i="7"/>
  <c r="AP7" i="7"/>
  <c r="AH5" i="8"/>
  <c r="AH3" i="8" s="1"/>
  <c r="AH9" i="10" s="1"/>
  <c r="AH7" i="10" s="1"/>
  <c r="BI69" i="7"/>
  <c r="BI65" i="7"/>
  <c r="BP68" i="7"/>
  <c r="BI73" i="7"/>
  <c r="BI70" i="7"/>
  <c r="K86" i="5"/>
  <c r="K93" i="5"/>
  <c r="BR96" i="5"/>
  <c r="H50" i="18"/>
  <c r="H53" i="18" s="1"/>
  <c r="BR89" i="5"/>
  <c r="AV95" i="5"/>
  <c r="AV88" i="5"/>
  <c r="BN95" i="5"/>
  <c r="BN88" i="5"/>
  <c r="O93" i="5"/>
  <c r="O86" i="5"/>
  <c r="BD86" i="5"/>
  <c r="BD93" i="5"/>
  <c r="X89" i="5"/>
  <c r="X96" i="5"/>
  <c r="AP95" i="5"/>
  <c r="AP88" i="5"/>
  <c r="BA88" i="5"/>
  <c r="BA95" i="5"/>
  <c r="AF21" i="7"/>
  <c r="AF67" i="7"/>
  <c r="AF57" i="7"/>
  <c r="AF66" i="7"/>
  <c r="AF22" i="7"/>
  <c r="AF37" i="7"/>
  <c r="AF5" i="7"/>
  <c r="AF51" i="7"/>
  <c r="AF11" i="7"/>
  <c r="AF4" i="9"/>
  <c r="AF42" i="7"/>
  <c r="AF27" i="7"/>
  <c r="AF36" i="7"/>
  <c r="AF52" i="7"/>
  <c r="AF72" i="7"/>
  <c r="AF6" i="7"/>
  <c r="AT95" i="5"/>
  <c r="AT88" i="5"/>
  <c r="F42" i="18"/>
  <c r="F45" i="18" s="1"/>
  <c r="AG96" i="5"/>
  <c r="AG89" i="5"/>
  <c r="CB94" i="5"/>
  <c r="CB87" i="5"/>
  <c r="P97" i="5"/>
  <c r="P90" i="5"/>
  <c r="BI97" i="5"/>
  <c r="BI90" i="5"/>
  <c r="AQ89" i="5"/>
  <c r="AQ96" i="5"/>
  <c r="AY70" i="7"/>
  <c r="BF68" i="7"/>
  <c r="AY69" i="7"/>
  <c r="AY65" i="7"/>
  <c r="AY73" i="7"/>
  <c r="AG97" i="5"/>
  <c r="AG90" i="5"/>
  <c r="Q22" i="14"/>
  <c r="BK87" i="5"/>
  <c r="BK94" i="5"/>
  <c r="O96" i="5"/>
  <c r="O89" i="5"/>
  <c r="X93" i="5"/>
  <c r="X86" i="5"/>
  <c r="CA90" i="5"/>
  <c r="CA97" i="5"/>
  <c r="AP94" i="5"/>
  <c r="AP87" i="5"/>
  <c r="Y5" i="8"/>
  <c r="Y3" i="8" s="1"/>
  <c r="Y9" i="10" s="1"/>
  <c r="Y7" i="10" s="1"/>
  <c r="AG7" i="7"/>
  <c r="Z8" i="7"/>
  <c r="BV89" i="5"/>
  <c r="BV96" i="5"/>
  <c r="AB95" i="5"/>
  <c r="AB88" i="5"/>
  <c r="BI95" i="5"/>
  <c r="BI88" i="5"/>
  <c r="BH97" i="5"/>
  <c r="BH90" i="5"/>
  <c r="AX91" i="11"/>
  <c r="AJ5" i="9" s="1"/>
  <c r="AJ95" i="5"/>
  <c r="AJ88" i="5"/>
  <c r="AS90" i="5"/>
  <c r="AS97" i="5"/>
  <c r="BC7" i="7"/>
  <c r="AV5" i="8"/>
  <c r="AV3" i="8" s="1"/>
  <c r="AV9" i="10" s="1"/>
  <c r="AV7" i="10" s="1"/>
  <c r="AU5" i="8"/>
  <c r="AU3" i="8" s="1"/>
  <c r="AU9" i="10" s="1"/>
  <c r="AU7" i="10" s="1"/>
  <c r="AV8" i="7"/>
  <c r="BH95" i="5"/>
  <c r="BH88" i="5"/>
  <c r="BX65" i="7"/>
  <c r="BX70" i="7"/>
  <c r="BX73" i="7"/>
  <c r="BX69" i="7"/>
  <c r="AT8" i="7"/>
  <c r="AS5" i="8"/>
  <c r="AS3" i="8" s="1"/>
  <c r="AS9" i="10" s="1"/>
  <c r="AS7" i="10" s="1"/>
  <c r="BA7" i="7"/>
  <c r="BI91" i="11"/>
  <c r="AU5" i="9" s="1"/>
  <c r="CN91" i="11"/>
  <c r="BZ5" i="9" s="1"/>
  <c r="BT86" i="5"/>
  <c r="BT93" i="5"/>
  <c r="BU94" i="5"/>
  <c r="BU87" i="5"/>
  <c r="T86" i="5"/>
  <c r="T93" i="5"/>
  <c r="BG93" i="5"/>
  <c r="BG86" i="5"/>
  <c r="AW94" i="5"/>
  <c r="AW87" i="5"/>
  <c r="CP91" i="11"/>
  <c r="CB5" i="9" s="1"/>
  <c r="BS91" i="11"/>
  <c r="BE5" i="9" s="1"/>
  <c r="CC94" i="5"/>
  <c r="CC87" i="5"/>
  <c r="BG12" i="7"/>
  <c r="R94" i="5"/>
  <c r="R87" i="5"/>
  <c r="BS7" i="7"/>
  <c r="BK5" i="8"/>
  <c r="BK3" i="8" s="1"/>
  <c r="BK9" i="10" s="1"/>
  <c r="BK7" i="10" s="1"/>
  <c r="BL8" i="7"/>
  <c r="BW70" i="7"/>
  <c r="BW69" i="7"/>
  <c r="BW65" i="7"/>
  <c r="BW73" i="7"/>
  <c r="O25" i="14"/>
  <c r="O26" i="14" s="1"/>
  <c r="BA87" i="5"/>
  <c r="BA94" i="5"/>
  <c r="AW5" i="8"/>
  <c r="AW3" i="8" s="1"/>
  <c r="AW9" i="10" s="1"/>
  <c r="AW7" i="10" s="1"/>
  <c r="BE7" i="7"/>
  <c r="AX8" i="7"/>
  <c r="L86" i="5"/>
  <c r="L93" i="5"/>
  <c r="BK91" i="11"/>
  <c r="AW5" i="9" s="1"/>
  <c r="F34" i="18"/>
  <c r="F37" i="18" s="1"/>
  <c r="AT87" i="5"/>
  <c r="AT94" i="5"/>
  <c r="U91" i="11"/>
  <c r="G5" i="9" s="1"/>
  <c r="G4" i="9" s="1"/>
  <c r="BH69" i="7"/>
  <c r="BH65" i="7"/>
  <c r="BH73" i="7"/>
  <c r="BO68" i="7"/>
  <c r="BH70" i="7"/>
  <c r="BO5" i="8"/>
  <c r="BO3" i="8" s="1"/>
  <c r="BO9" i="10" s="1"/>
  <c r="BO7" i="10" s="1"/>
  <c r="BW7" i="7"/>
  <c r="BP8" i="7"/>
  <c r="CB89" i="5"/>
  <c r="CB96" i="5"/>
  <c r="P95" i="5"/>
  <c r="P88" i="5"/>
  <c r="AY21" i="7"/>
  <c r="AY18" i="7" s="1"/>
  <c r="AY57" i="7"/>
  <c r="AY5" i="7"/>
  <c r="AY66" i="7"/>
  <c r="AY67" i="7"/>
  <c r="AY11" i="7"/>
  <c r="AY6" i="7"/>
  <c r="AY42" i="7"/>
  <c r="AY37" i="7"/>
  <c r="AY22" i="7"/>
  <c r="AY4" i="9"/>
  <c r="AY36" i="7"/>
  <c r="AY72" i="7"/>
  <c r="AY51" i="7"/>
  <c r="AY27" i="7"/>
  <c r="AY52" i="7"/>
  <c r="AX95" i="5"/>
  <c r="AX88" i="5"/>
  <c r="H58" i="18"/>
  <c r="BR97" i="5"/>
  <c r="BR90" i="5"/>
  <c r="AZ87" i="5"/>
  <c r="AZ94" i="5"/>
  <c r="BK88" i="5"/>
  <c r="BK95" i="5"/>
  <c r="O87" i="5"/>
  <c r="O94" i="5"/>
  <c r="X97" i="5"/>
  <c r="X90" i="5"/>
  <c r="CA87" i="5"/>
  <c r="CA94" i="5"/>
  <c r="AK96" i="5"/>
  <c r="AK89" i="5"/>
  <c r="BQ87" i="5"/>
  <c r="BQ94" i="5"/>
  <c r="BE70" i="7"/>
  <c r="BE73" i="7"/>
  <c r="BL68" i="7"/>
  <c r="BE69" i="7"/>
  <c r="BE65" i="7"/>
  <c r="BB86" i="5"/>
  <c r="BB93" i="5"/>
  <c r="BN7" i="7"/>
  <c r="BF5" i="8"/>
  <c r="BF3" i="8" s="1"/>
  <c r="BF9" i="10" s="1"/>
  <c r="BF7" i="10" s="1"/>
  <c r="BG8" i="7"/>
  <c r="BM90" i="5"/>
  <c r="BM97" i="5"/>
  <c r="BR6" i="7"/>
  <c r="BR4" i="9"/>
  <c r="BR11" i="7"/>
  <c r="BM95" i="5"/>
  <c r="BM88" i="5"/>
  <c r="CA57" i="7"/>
  <c r="CA11" i="7"/>
  <c r="CA72" i="7"/>
  <c r="CA5" i="7"/>
  <c r="CA3" i="7" s="1"/>
  <c r="CA36" i="7"/>
  <c r="CA37" i="7"/>
  <c r="CA67" i="7"/>
  <c r="CA21" i="7"/>
  <c r="CA22" i="7"/>
  <c r="CA27" i="7"/>
  <c r="CA52" i="7"/>
  <c r="CA66" i="7"/>
  <c r="CA51" i="7"/>
  <c r="CA6" i="7"/>
  <c r="CA4" i="9"/>
  <c r="CA42" i="7"/>
  <c r="AT96" i="5"/>
  <c r="AT89" i="5"/>
  <c r="F50" i="18"/>
  <c r="F53" i="18" s="1"/>
  <c r="AV15" i="7"/>
  <c r="AV11" i="10"/>
  <c r="AV10" i="10" s="1"/>
  <c r="AV41" i="15"/>
  <c r="BF11" i="7"/>
  <c r="BF51" i="7"/>
  <c r="BF21" i="7"/>
  <c r="BF27" i="7"/>
  <c r="BF52" i="7"/>
  <c r="BF42" i="7"/>
  <c r="BF66" i="7"/>
  <c r="BF57" i="7"/>
  <c r="BF22" i="7"/>
  <c r="BF6" i="7"/>
  <c r="BF67" i="7"/>
  <c r="BF36" i="7"/>
  <c r="BF72" i="7"/>
  <c r="BF4" i="9"/>
  <c r="BF5" i="7"/>
  <c r="BF37" i="7"/>
  <c r="BN90" i="5"/>
  <c r="BN97" i="5"/>
  <c r="BA70" i="7"/>
  <c r="BH68" i="7"/>
  <c r="BA69" i="7"/>
  <c r="BA65" i="7"/>
  <c r="BA73" i="7"/>
  <c r="CB88" i="5"/>
  <c r="CB95" i="5"/>
  <c r="W97" i="5"/>
  <c r="W90" i="5"/>
  <c r="Y91" i="11"/>
  <c r="K5" i="9" s="1"/>
  <c r="AD91" i="11"/>
  <c r="P5" i="9" s="1"/>
  <c r="AX87" i="5"/>
  <c r="AX94" i="5"/>
  <c r="BK93" i="5"/>
  <c r="BK86" i="5"/>
  <c r="U8" i="7"/>
  <c r="T5" i="8"/>
  <c r="T3" i="8" s="1"/>
  <c r="T9" i="10" s="1"/>
  <c r="T7" i="10" s="1"/>
  <c r="AB7" i="7"/>
  <c r="D18" i="2"/>
  <c r="BD95" i="5"/>
  <c r="BD88" i="5"/>
  <c r="CA89" i="5"/>
  <c r="CA96" i="5"/>
  <c r="AM95" i="5"/>
  <c r="AM88" i="5"/>
  <c r="BT97" i="5"/>
  <c r="BT90" i="5"/>
  <c r="BU89" i="5"/>
  <c r="BU96" i="5"/>
  <c r="AL94" i="5"/>
  <c r="AL87" i="5"/>
  <c r="S91" i="11"/>
  <c r="E5" i="9" s="1"/>
  <c r="E4" i="9" s="1"/>
  <c r="AZ70" i="7"/>
  <c r="AZ69" i="7"/>
  <c r="BG68" i="7"/>
  <c r="AZ73" i="7"/>
  <c r="AZ65" i="7"/>
  <c r="CB70" i="7"/>
  <c r="CB65" i="7"/>
  <c r="CB73" i="7"/>
  <c r="CB69" i="7"/>
  <c r="BG95" i="5"/>
  <c r="BG88" i="5"/>
  <c r="T87" i="5"/>
  <c r="T94" i="5"/>
  <c r="AT90" i="5"/>
  <c r="AT97" i="5"/>
  <c r="F58" i="18"/>
  <c r="N25" i="14"/>
  <c r="H86" i="5"/>
  <c r="H85" i="5" s="1"/>
  <c r="H93" i="5"/>
  <c r="U96" i="5"/>
  <c r="U89" i="5"/>
  <c r="I93" i="5"/>
  <c r="I92" i="5" s="1"/>
  <c r="I86" i="5"/>
  <c r="I85" i="5" s="1"/>
  <c r="AA91" i="11"/>
  <c r="M5" i="9" s="1"/>
  <c r="CB90" i="5"/>
  <c r="CB97" i="5"/>
  <c r="AC93" i="5"/>
  <c r="AC86" i="5"/>
  <c r="BN5" i="8"/>
  <c r="BN3" i="8" s="1"/>
  <c r="BN9" i="10" s="1"/>
  <c r="BN7" i="10" s="1"/>
  <c r="BO8" i="7"/>
  <c r="BV7" i="7"/>
  <c r="AO94" i="5"/>
  <c r="AO87" i="5"/>
  <c r="BW88" i="5"/>
  <c r="BW95" i="5"/>
  <c r="AX89" i="5"/>
  <c r="AX96" i="5"/>
  <c r="M22" i="14"/>
  <c r="M26" i="14" s="1"/>
  <c r="BG87" i="5"/>
  <c r="BG94" i="5"/>
  <c r="AK97" i="5"/>
  <c r="AK90" i="5"/>
  <c r="BK97" i="5"/>
  <c r="BK90" i="5"/>
  <c r="AY93" i="5"/>
  <c r="AY86" i="5"/>
  <c r="CA88" i="5"/>
  <c r="CA95" i="5"/>
  <c r="AM93" i="5"/>
  <c r="AM86" i="5"/>
  <c r="BH94" i="5"/>
  <c r="BH87" i="5"/>
  <c r="AU69" i="7"/>
  <c r="AU65" i="7"/>
  <c r="AU70" i="7"/>
  <c r="AU73" i="7"/>
  <c r="BB68" i="7"/>
  <c r="AU91" i="11"/>
  <c r="AG5" i="9" s="1"/>
  <c r="AI89" i="5"/>
  <c r="AI96" i="5"/>
  <c r="AI92" i="5" s="1"/>
  <c r="N95" i="5"/>
  <c r="N88" i="5"/>
  <c r="BU95" i="5"/>
  <c r="BU88" i="5"/>
  <c r="J88" i="5"/>
  <c r="C42" i="18"/>
  <c r="C45" i="18" s="1"/>
  <c r="J95" i="5"/>
  <c r="AN88" i="5"/>
  <c r="AN95" i="5"/>
  <c r="CC86" i="5"/>
  <c r="CC93" i="5"/>
  <c r="BA97" i="5"/>
  <c r="BA90" i="5"/>
  <c r="CC69" i="7"/>
  <c r="CC73" i="7"/>
  <c r="CC70" i="7"/>
  <c r="CC65" i="7"/>
  <c r="Z91" i="11"/>
  <c r="L5" i="9" s="1"/>
  <c r="Q25" i="14"/>
  <c r="T95" i="5"/>
  <c r="T88" i="5"/>
  <c r="H94" i="5"/>
  <c r="H87" i="5"/>
  <c r="R93" i="5"/>
  <c r="R86" i="5"/>
  <c r="B42" i="18"/>
  <c r="B45" i="18" s="1"/>
  <c r="BM89" i="5"/>
  <c r="BM96" i="5"/>
  <c r="N94" i="5"/>
  <c r="N87" i="5"/>
  <c r="AH91" i="11"/>
  <c r="T5" i="9" s="1"/>
  <c r="BD91" i="11"/>
  <c r="AP5" i="9" s="1"/>
  <c r="AC89" i="5"/>
  <c r="AC96" i="5"/>
  <c r="BF94" i="5"/>
  <c r="BF92" i="5" s="1"/>
  <c r="BF87" i="5"/>
  <c r="BF85" i="5" s="1"/>
  <c r="G34" i="18"/>
  <c r="G37" i="18" s="1"/>
  <c r="BZ91" i="11"/>
  <c r="BL5" i="9" s="1"/>
  <c r="BW97" i="5"/>
  <c r="BW90" i="5"/>
  <c r="AX90" i="5"/>
  <c r="AX97" i="5"/>
  <c r="V88" i="5"/>
  <c r="V95" i="5"/>
  <c r="D42" i="18"/>
  <c r="D45" i="18" s="1"/>
  <c r="D36" i="5"/>
  <c r="D29" i="5"/>
  <c r="D22" i="5"/>
  <c r="C85" i="5"/>
  <c r="BO97" i="5"/>
  <c r="BO90" i="5"/>
  <c r="BK96" i="5"/>
  <c r="BK89" i="5"/>
  <c r="AY96" i="5"/>
  <c r="AY89" i="5"/>
  <c r="CA93" i="5"/>
  <c r="CA86" i="5"/>
  <c r="D34" i="18"/>
  <c r="D37" i="18" s="1"/>
  <c r="Y87" i="5"/>
  <c r="Y94" i="5"/>
  <c r="Z87" i="5"/>
  <c r="Z85" i="5" s="1"/>
  <c r="Z94" i="5"/>
  <c r="Z92" i="5" s="1"/>
  <c r="AS27" i="7"/>
  <c r="AS18" i="7" s="1"/>
  <c r="AR42" i="7"/>
  <c r="F86" i="5"/>
  <c r="F85" i="5" s="1"/>
  <c r="F93" i="5"/>
  <c r="F92" i="5" s="1"/>
  <c r="AS87" i="5"/>
  <c r="AS94" i="5"/>
  <c r="AJ8" i="7"/>
  <c r="AQ7" i="7"/>
  <c r="AI5" i="8"/>
  <c r="AI3" i="8" s="1"/>
  <c r="AI9" i="10" s="1"/>
  <c r="AI7" i="10" s="1"/>
  <c r="BE91" i="11"/>
  <c r="AQ5" i="9" s="1"/>
  <c r="AE95" i="5"/>
  <c r="AE88" i="5"/>
  <c r="AB97" i="5"/>
  <c r="AB90" i="5"/>
  <c r="CC91" i="11"/>
  <c r="BO5" i="9" s="1"/>
  <c r="W88" i="5"/>
  <c r="W95" i="5"/>
  <c r="BZ88" i="5"/>
  <c r="BZ95" i="5"/>
  <c r="AX70" i="7"/>
  <c r="AX69" i="7"/>
  <c r="AX65" i="7"/>
  <c r="BE68" i="7"/>
  <c r="AX73" i="7"/>
  <c r="BS86" i="5"/>
  <c r="BS93" i="5"/>
  <c r="BS92" i="5" s="1"/>
  <c r="BL87" i="5"/>
  <c r="BL94" i="5"/>
  <c r="BX87" i="5"/>
  <c r="BX94" i="5"/>
  <c r="Y8" i="7"/>
  <c r="AF7" i="7"/>
  <c r="X5" i="8"/>
  <c r="X3" i="8" s="1"/>
  <c r="X9" i="10" s="1"/>
  <c r="X7" i="10" s="1"/>
  <c r="AK94" i="5"/>
  <c r="AK87" i="5"/>
  <c r="AT86" i="5"/>
  <c r="AT93" i="5"/>
  <c r="BS65" i="7"/>
  <c r="BS70" i="7"/>
  <c r="BZ68" i="7"/>
  <c r="BS69" i="7"/>
  <c r="BS73" i="7"/>
  <c r="D25" i="18"/>
  <c r="D30" i="18" s="1"/>
  <c r="Y93" i="5"/>
  <c r="Y92" i="5" s="1"/>
  <c r="Y86" i="5"/>
  <c r="I5" i="8"/>
  <c r="I3" i="8" s="1"/>
  <c r="I9" i="10" s="1"/>
  <c r="I7" i="10" s="1"/>
  <c r="J8" i="7"/>
  <c r="Q7" i="7"/>
  <c r="V89" i="5"/>
  <c r="D50" i="18"/>
  <c r="D53" i="18" s="1"/>
  <c r="V96" i="5"/>
  <c r="L22" i="14"/>
  <c r="L26" i="14" s="1"/>
  <c r="AI91" i="11"/>
  <c r="U5" i="9" s="1"/>
  <c r="AN87" i="5"/>
  <c r="AN94" i="5"/>
  <c r="CC96" i="5"/>
  <c r="CC89" i="5"/>
  <c r="AZ7" i="7"/>
  <c r="AR5" i="8"/>
  <c r="AR3" i="8" s="1"/>
  <c r="AR9" i="10" s="1"/>
  <c r="AR7" i="10" s="1"/>
  <c r="F18" i="2"/>
  <c r="AS8" i="7"/>
  <c r="AS3" i="7" s="1"/>
  <c r="Q91" i="11"/>
  <c r="C5" i="9" s="1"/>
  <c r="C4" i="9" s="1"/>
  <c r="T97" i="5"/>
  <c r="T90" i="5"/>
  <c r="J93" i="5"/>
  <c r="J86" i="5"/>
  <c r="G5" i="8"/>
  <c r="G3" i="8" s="1"/>
  <c r="G9" i="10" s="1"/>
  <c r="G7" i="10" s="1"/>
  <c r="F5" i="8"/>
  <c r="F3" i="8" s="1"/>
  <c r="F9" i="10" s="1"/>
  <c r="F7" i="10" s="1"/>
  <c r="G8" i="7"/>
  <c r="G3" i="7" s="1"/>
  <c r="G2" i="7" s="1"/>
  <c r="N7" i="7"/>
  <c r="AL91" i="11"/>
  <c r="X5" i="9" s="1"/>
  <c r="CJ91" i="11"/>
  <c r="BV5" i="9" s="1"/>
  <c r="E93" i="5"/>
  <c r="E92" i="5" s="1"/>
  <c r="E86" i="5"/>
  <c r="E85" i="5" s="1"/>
  <c r="AB86" i="5"/>
  <c r="AB93" i="5"/>
  <c r="AQ5" i="8"/>
  <c r="AQ3" i="8" s="1"/>
  <c r="AQ9" i="10" s="1"/>
  <c r="AQ7" i="10" s="1"/>
  <c r="AR8" i="7"/>
  <c r="AY7" i="7"/>
  <c r="U95" i="5"/>
  <c r="U88" i="5"/>
  <c r="BR91" i="11"/>
  <c r="BD5" i="9" s="1"/>
  <c r="AC87" i="5"/>
  <c r="AC94" i="5"/>
  <c r="P5" i="8"/>
  <c r="P3" i="8" s="1"/>
  <c r="P9" i="10" s="1"/>
  <c r="P7" i="10" s="1"/>
  <c r="Q8" i="7"/>
  <c r="X7" i="7"/>
  <c r="AT5" i="8"/>
  <c r="AT3" i="8" s="1"/>
  <c r="AT9" i="10" s="1"/>
  <c r="AT7" i="10" s="1"/>
  <c r="BB7" i="7"/>
  <c r="AU8" i="7"/>
  <c r="R91" i="11"/>
  <c r="D5" i="9" s="1"/>
  <c r="D4" i="9" s="1"/>
  <c r="BW94" i="5"/>
  <c r="BW87" i="5"/>
  <c r="AX93" i="5"/>
  <c r="AX86" i="5"/>
  <c r="AV96" i="5"/>
  <c r="AV89" i="5"/>
  <c r="BQ95" i="5"/>
  <c r="BQ88" i="5"/>
  <c r="D60" i="5"/>
  <c r="D53" i="5"/>
  <c r="D67" i="5"/>
  <c r="C92" i="5"/>
  <c r="BO93" i="5"/>
  <c r="BO86" i="5"/>
  <c r="AA89" i="5"/>
  <c r="AA96" i="5"/>
  <c r="AY90" i="5"/>
  <c r="AY97" i="5"/>
  <c r="AR93" i="5"/>
  <c r="AR86" i="5"/>
  <c r="AM96" i="5"/>
  <c r="AM89" i="5"/>
  <c r="BP95" i="5"/>
  <c r="BP88" i="5"/>
  <c r="AA67" i="7"/>
  <c r="AA21" i="7"/>
  <c r="AA18" i="7" s="1"/>
  <c r="AA72" i="7"/>
  <c r="AA57" i="7"/>
  <c r="AA51" i="7"/>
  <c r="AA42" i="7"/>
  <c r="AA5" i="7"/>
  <c r="AA37" i="7"/>
  <c r="AA11" i="7"/>
  <c r="AA6" i="7"/>
  <c r="AA4" i="9"/>
  <c r="AA27" i="7"/>
  <c r="AA36" i="7"/>
  <c r="AA52" i="7"/>
  <c r="AA22" i="7"/>
  <c r="AA66" i="7"/>
  <c r="N89" i="5"/>
  <c r="N96" i="5"/>
  <c r="BU97" i="5"/>
  <c r="BU90" i="5"/>
  <c r="AS96" i="5"/>
  <c r="AS89" i="5"/>
  <c r="CC90" i="5"/>
  <c r="CC97" i="5"/>
  <c r="T8" i="7"/>
  <c r="AA7" i="7"/>
  <c r="S5" i="8"/>
  <c r="S3" i="8" s="1"/>
  <c r="S9" i="10" s="1"/>
  <c r="S7" i="10" s="1"/>
  <c r="BO7" i="7"/>
  <c r="BH8" i="7"/>
  <c r="BG5" i="8"/>
  <c r="BG3" i="8" s="1"/>
  <c r="BG9" i="10" s="1"/>
  <c r="BG7" i="10" s="1"/>
  <c r="BB89" i="5"/>
  <c r="BB96" i="5"/>
  <c r="T96" i="5"/>
  <c r="T89" i="5"/>
  <c r="CA70" i="7"/>
  <c r="CA65" i="7"/>
  <c r="CA69" i="7"/>
  <c r="CA73" i="7"/>
  <c r="F25" i="18"/>
  <c r="F30" i="18" s="1"/>
  <c r="AU93" i="5"/>
  <c r="AU86" i="5"/>
  <c r="AU85" i="5" s="1"/>
  <c r="AB94" i="5"/>
  <c r="AB87" i="5"/>
  <c r="C5" i="8"/>
  <c r="C3" i="8" s="1"/>
  <c r="K7" i="7"/>
  <c r="D8" i="7"/>
  <c r="D3" i="7" s="1"/>
  <c r="D2" i="7" s="1"/>
  <c r="BP36" i="7"/>
  <c r="BP6" i="7"/>
  <c r="BP27" i="7"/>
  <c r="BP11" i="7"/>
  <c r="BP5" i="7"/>
  <c r="BP3" i="7" s="1"/>
  <c r="BP66" i="7"/>
  <c r="BP52" i="7"/>
  <c r="BP72" i="7"/>
  <c r="BP42" i="7"/>
  <c r="BP67" i="7"/>
  <c r="BP21" i="7"/>
  <c r="BP57" i="7"/>
  <c r="BP51" i="7"/>
  <c r="BP4" i="9"/>
  <c r="BP22" i="7"/>
  <c r="BP37" i="7"/>
  <c r="BD70" i="7"/>
  <c r="BD69" i="7"/>
  <c r="BD73" i="7"/>
  <c r="BK68" i="7"/>
  <c r="BD65" i="7"/>
  <c r="BF69" i="7"/>
  <c r="BM68" i="7"/>
  <c r="BF65" i="7"/>
  <c r="BF70" i="7"/>
  <c r="BF73" i="7"/>
  <c r="BI96" i="5"/>
  <c r="BI89" i="5"/>
  <c r="CB93" i="5"/>
  <c r="CB86" i="5"/>
  <c r="D58" i="18"/>
  <c r="AC90" i="5"/>
  <c r="AC97" i="5"/>
  <c r="BN89" i="5"/>
  <c r="BN96" i="5"/>
  <c r="BS68" i="7"/>
  <c r="BL73" i="7"/>
  <c r="BL69" i="7"/>
  <c r="BL70" i="7"/>
  <c r="BL65" i="7"/>
  <c r="BW91" i="11"/>
  <c r="BI5" i="9" s="1"/>
  <c r="BW89" i="5"/>
  <c r="BW96" i="5"/>
  <c r="H42" i="18"/>
  <c r="H45" i="18" s="1"/>
  <c r="BR88" i="5"/>
  <c r="BR95" i="5"/>
  <c r="AV86" i="5"/>
  <c r="AV93" i="5"/>
  <c r="D93" i="5"/>
  <c r="D92" i="5" s="1"/>
  <c r="D86" i="5"/>
  <c r="D85" i="5" s="1"/>
  <c r="D84" i="5" s="1"/>
  <c r="S8" i="7"/>
  <c r="Z7" i="7"/>
  <c r="R5" i="8"/>
  <c r="R3" i="8" s="1"/>
  <c r="R9" i="10" s="1"/>
  <c r="R7" i="10" s="1"/>
  <c r="AF94" i="5"/>
  <c r="AF87" i="5"/>
  <c r="AA95" i="5"/>
  <c r="AA88" i="5"/>
  <c r="AR88" i="5"/>
  <c r="AR95" i="5"/>
  <c r="AP96" i="5"/>
  <c r="AP89" i="5"/>
  <c r="AM90" i="5"/>
  <c r="AM97" i="5"/>
  <c r="AO7" i="7"/>
  <c r="AG5" i="8"/>
  <c r="AG3" i="8" s="1"/>
  <c r="AG9" i="10" s="1"/>
  <c r="AG7" i="10" s="1"/>
  <c r="AH8" i="7"/>
  <c r="AH3" i="7" s="1"/>
  <c r="AH2" i="7" s="1"/>
  <c r="AD84" i="5"/>
  <c r="W6" i="14" s="1"/>
  <c r="CC18" i="7"/>
  <c r="CC2" i="7" s="1"/>
  <c r="I12" i="18"/>
  <c r="I45" i="5"/>
  <c r="I10" i="6" s="1"/>
  <c r="J24" i="5"/>
  <c r="I13" i="18"/>
  <c r="J25" i="5"/>
  <c r="AC9" i="10"/>
  <c r="AC7" i="10" s="1"/>
  <c r="AH18" i="7"/>
  <c r="E43" i="13"/>
  <c r="E44" i="13"/>
  <c r="I14" i="18"/>
  <c r="J26" i="5"/>
  <c r="BX18" i="7"/>
  <c r="AV85" i="5" l="1"/>
  <c r="AU92" i="5"/>
  <c r="AU84" i="5"/>
  <c r="AN6" i="14" s="1"/>
  <c r="BH85" i="5"/>
  <c r="Y85" i="5"/>
  <c r="Y84" i="5" s="1"/>
  <c r="R6" i="14" s="1"/>
  <c r="AK92" i="5"/>
  <c r="AK84" i="5" s="1"/>
  <c r="AD6" i="14" s="1"/>
  <c r="BX3" i="7"/>
  <c r="G85" i="5"/>
  <c r="AR85" i="5"/>
  <c r="AV92" i="5"/>
  <c r="AV84" i="5" s="1"/>
  <c r="AO6" i="14" s="1"/>
  <c r="I84" i="5"/>
  <c r="B6" i="14" s="1"/>
  <c r="B5" i="14" s="1"/>
  <c r="B13" i="14" s="1"/>
  <c r="AD3" i="7"/>
  <c r="AL42" i="7"/>
  <c r="AL22" i="7"/>
  <c r="AL27" i="7"/>
  <c r="AL21" i="7"/>
  <c r="AL11" i="7"/>
  <c r="AL36" i="7"/>
  <c r="AL57" i="7"/>
  <c r="AL5" i="7"/>
  <c r="AL3" i="7" s="1"/>
  <c r="AL72" i="7"/>
  <c r="AL51" i="7"/>
  <c r="AL6" i="7"/>
  <c r="AL4" i="9"/>
  <c r="BT3" i="7"/>
  <c r="BH3" i="7"/>
  <c r="AL67" i="7"/>
  <c r="AB6" i="7"/>
  <c r="AB4" i="9"/>
  <c r="AB11" i="7"/>
  <c r="AB22" i="7"/>
  <c r="AB21" i="7"/>
  <c r="AB18" i="7" s="1"/>
  <c r="BX2" i="7"/>
  <c r="BR36" i="7"/>
  <c r="BR66" i="7"/>
  <c r="BR37" i="7"/>
  <c r="BR42" i="7"/>
  <c r="BR27" i="7"/>
  <c r="BR57" i="7"/>
  <c r="BR51" i="7"/>
  <c r="BR5" i="7"/>
  <c r="BR52" i="7"/>
  <c r="BR22" i="7"/>
  <c r="BR21" i="7"/>
  <c r="G18" i="3"/>
  <c r="O85" i="5"/>
  <c r="BM57" i="7"/>
  <c r="BM51" i="7"/>
  <c r="BM52" i="7"/>
  <c r="BM72" i="7"/>
  <c r="BM27" i="7"/>
  <c r="BM37" i="7"/>
  <c r="BM21" i="7"/>
  <c r="BM42" i="7"/>
  <c r="BM66" i="7"/>
  <c r="BM67" i="7"/>
  <c r="BM11" i="7"/>
  <c r="BM5" i="7"/>
  <c r="BM3" i="7" s="1"/>
  <c r="BM4" i="9"/>
  <c r="BM6" i="7"/>
  <c r="BM22" i="7"/>
  <c r="BM36" i="7"/>
  <c r="U92" i="5"/>
  <c r="U84" i="5" s="1"/>
  <c r="N6" i="14" s="1"/>
  <c r="BS85" i="5"/>
  <c r="BS84" i="5" s="1"/>
  <c r="BL6" i="14" s="1"/>
  <c r="F84" i="5"/>
  <c r="BT85" i="5"/>
  <c r="AX18" i="7"/>
  <c r="BU72" i="7"/>
  <c r="BU4" i="9"/>
  <c r="BU22" i="7"/>
  <c r="BU21" i="7"/>
  <c r="BU27" i="7"/>
  <c r="BR3" i="7"/>
  <c r="BU11" i="7"/>
  <c r="AR36" i="7"/>
  <c r="AR22" i="7"/>
  <c r="AR27" i="7"/>
  <c r="AR37" i="7"/>
  <c r="AR4" i="9"/>
  <c r="AR66" i="7"/>
  <c r="AR6" i="7"/>
  <c r="AR21" i="7"/>
  <c r="AR5" i="7"/>
  <c r="AR57" i="7"/>
  <c r="AR11" i="7"/>
  <c r="AR52" i="7"/>
  <c r="AR51" i="7"/>
  <c r="L92" i="5"/>
  <c r="CB85" i="5"/>
  <c r="AS92" i="5"/>
  <c r="U85" i="5"/>
  <c r="BE92" i="5"/>
  <c r="AT85" i="5"/>
  <c r="CC85" i="5"/>
  <c r="AI85" i="5"/>
  <c r="AI84" i="5" s="1"/>
  <c r="AB6" i="14" s="1"/>
  <c r="AW92" i="5"/>
  <c r="BY85" i="5"/>
  <c r="AB92" i="5"/>
  <c r="J92" i="5"/>
  <c r="L85" i="5"/>
  <c r="Q85" i="5"/>
  <c r="Q84" i="5" s="1"/>
  <c r="J6" i="14" s="1"/>
  <c r="BC85" i="5"/>
  <c r="AH85" i="5"/>
  <c r="BF84" i="5"/>
  <c r="AY6" i="14" s="1"/>
  <c r="R85" i="5"/>
  <c r="BO85" i="5"/>
  <c r="BO84" i="5" s="1"/>
  <c r="BH6" i="14" s="1"/>
  <c r="AX92" i="5"/>
  <c r="R92" i="5"/>
  <c r="BH92" i="5"/>
  <c r="BH84" i="5" s="1"/>
  <c r="BA6" i="14" s="1"/>
  <c r="AK85" i="5"/>
  <c r="AS85" i="5"/>
  <c r="AS84" i="5" s="1"/>
  <c r="AL6" i="14" s="1"/>
  <c r="BO92" i="5"/>
  <c r="AM85" i="5"/>
  <c r="P92" i="5"/>
  <c r="BE85" i="5"/>
  <c r="BE84" i="5" s="1"/>
  <c r="AX6" i="14" s="1"/>
  <c r="BC84" i="5"/>
  <c r="AV6" i="14" s="1"/>
  <c r="AX85" i="5"/>
  <c r="C84" i="5"/>
  <c r="BL4" i="9"/>
  <c r="BL67" i="7"/>
  <c r="BL66" i="7"/>
  <c r="BL51" i="7"/>
  <c r="BL11" i="7"/>
  <c r="BL6" i="7"/>
  <c r="BL27" i="7"/>
  <c r="BL57" i="7"/>
  <c r="BL36" i="7"/>
  <c r="BL52" i="7"/>
  <c r="BL5" i="7"/>
  <c r="BL42" i="7"/>
  <c r="BL72" i="7"/>
  <c r="BL21" i="7"/>
  <c r="BL22" i="7"/>
  <c r="BL37" i="7"/>
  <c r="AY92" i="5"/>
  <c r="M72" i="7"/>
  <c r="M42" i="7"/>
  <c r="M37" i="7"/>
  <c r="M6" i="7"/>
  <c r="M21" i="7"/>
  <c r="M27" i="7"/>
  <c r="M57" i="7"/>
  <c r="M4" i="9"/>
  <c r="M5" i="7"/>
  <c r="M36" i="7"/>
  <c r="M66" i="7"/>
  <c r="M67" i="7"/>
  <c r="M51" i="7"/>
  <c r="M22" i="7"/>
  <c r="M11" i="7"/>
  <c r="M52" i="7"/>
  <c r="BF3" i="7"/>
  <c r="BT92" i="5"/>
  <c r="Q26" i="14"/>
  <c r="BD85" i="5"/>
  <c r="K85" i="5"/>
  <c r="N26" i="14"/>
  <c r="BY36" i="7"/>
  <c r="BY6" i="7"/>
  <c r="BY3" i="7" s="1"/>
  <c r="BY52" i="7"/>
  <c r="BY67" i="7"/>
  <c r="BY72" i="7"/>
  <c r="BY22" i="7"/>
  <c r="BY5" i="7"/>
  <c r="BY27" i="7"/>
  <c r="BY4" i="9"/>
  <c r="BY11" i="7"/>
  <c r="BY42" i="7"/>
  <c r="BY51" i="7"/>
  <c r="BY21" i="7"/>
  <c r="BY66" i="7"/>
  <c r="BY57" i="7"/>
  <c r="BY37" i="7"/>
  <c r="AA85" i="5"/>
  <c r="K56" i="5"/>
  <c r="L56" i="5" s="1"/>
  <c r="M56" i="5" s="1"/>
  <c r="N56" i="5" s="1"/>
  <c r="O56" i="5" s="1"/>
  <c r="P56" i="5" s="1"/>
  <c r="Q56" i="5" s="1"/>
  <c r="R56" i="5" s="1"/>
  <c r="S56" i="5" s="1"/>
  <c r="T56" i="5" s="1"/>
  <c r="U56" i="5" s="1"/>
  <c r="V56" i="5" s="1"/>
  <c r="W56" i="5" s="1"/>
  <c r="X56" i="5" s="1"/>
  <c r="Y56" i="5" s="1"/>
  <c r="Z56" i="5" s="1"/>
  <c r="AA56" i="5" s="1"/>
  <c r="AB56" i="5" s="1"/>
  <c r="AC56" i="5" s="1"/>
  <c r="AD56" i="5" s="1"/>
  <c r="AE56" i="5" s="1"/>
  <c r="AF56" i="5" s="1"/>
  <c r="AG56" i="5" s="1"/>
  <c r="AH56" i="5" s="1"/>
  <c r="AI56" i="5" s="1"/>
  <c r="AJ56" i="5" s="1"/>
  <c r="AK56" i="5" s="1"/>
  <c r="AL56" i="5" s="1"/>
  <c r="AM56" i="5" s="1"/>
  <c r="AN56" i="5" s="1"/>
  <c r="AO56" i="5" s="1"/>
  <c r="AP56" i="5" s="1"/>
  <c r="AQ56" i="5" s="1"/>
  <c r="AR56" i="5" s="1"/>
  <c r="AS56" i="5" s="1"/>
  <c r="AT56" i="5" s="1"/>
  <c r="AU56" i="5" s="1"/>
  <c r="AV56" i="5" s="1"/>
  <c r="AW56" i="5" s="1"/>
  <c r="AX56" i="5" s="1"/>
  <c r="AY56" i="5" s="1"/>
  <c r="AZ56" i="5" s="1"/>
  <c r="BA56" i="5" s="1"/>
  <c r="BB56" i="5" s="1"/>
  <c r="BC56" i="5" s="1"/>
  <c r="BD56" i="5" s="1"/>
  <c r="BE56" i="5" s="1"/>
  <c r="BF56" i="5" s="1"/>
  <c r="BG56" i="5" s="1"/>
  <c r="BH56" i="5" s="1"/>
  <c r="BI56" i="5" s="1"/>
  <c r="BJ56" i="5" s="1"/>
  <c r="BK56" i="5" s="1"/>
  <c r="BL56" i="5" s="1"/>
  <c r="BM56" i="5" s="1"/>
  <c r="BN56" i="5" s="1"/>
  <c r="BO56" i="5" s="1"/>
  <c r="BP56" i="5" s="1"/>
  <c r="BQ56" i="5" s="1"/>
  <c r="BR56" i="5" s="1"/>
  <c r="BS56" i="5" s="1"/>
  <c r="BT56" i="5" s="1"/>
  <c r="BU56" i="5" s="1"/>
  <c r="BV56" i="5" s="1"/>
  <c r="BW56" i="5" s="1"/>
  <c r="BX56" i="5" s="1"/>
  <c r="BY56" i="5" s="1"/>
  <c r="BZ56" i="5" s="1"/>
  <c r="CA56" i="5" s="1"/>
  <c r="CB56" i="5" s="1"/>
  <c r="CC56" i="5" s="1"/>
  <c r="K63" i="5"/>
  <c r="L63" i="5" s="1"/>
  <c r="M63" i="5" s="1"/>
  <c r="N63" i="5" s="1"/>
  <c r="O63" i="5" s="1"/>
  <c r="P63" i="5" s="1"/>
  <c r="Q63" i="5" s="1"/>
  <c r="R63" i="5" s="1"/>
  <c r="S63" i="5" s="1"/>
  <c r="T63" i="5" s="1"/>
  <c r="U63" i="5" s="1"/>
  <c r="V63" i="5" s="1"/>
  <c r="W63" i="5" s="1"/>
  <c r="X63" i="5" s="1"/>
  <c r="Y63" i="5" s="1"/>
  <c r="Z63" i="5" s="1"/>
  <c r="AA63" i="5" s="1"/>
  <c r="AB63" i="5" s="1"/>
  <c r="AC63" i="5" s="1"/>
  <c r="AD63" i="5" s="1"/>
  <c r="AE63" i="5" s="1"/>
  <c r="AF63" i="5" s="1"/>
  <c r="AG63" i="5" s="1"/>
  <c r="AH63" i="5" s="1"/>
  <c r="AI63" i="5" s="1"/>
  <c r="AJ63" i="5" s="1"/>
  <c r="AK63" i="5" s="1"/>
  <c r="AL63" i="5" s="1"/>
  <c r="AM63" i="5" s="1"/>
  <c r="AN63" i="5" s="1"/>
  <c r="AO63" i="5" s="1"/>
  <c r="AP63" i="5" s="1"/>
  <c r="AQ63" i="5" s="1"/>
  <c r="AR63" i="5" s="1"/>
  <c r="AS63" i="5" s="1"/>
  <c r="AT63" i="5" s="1"/>
  <c r="AU63" i="5" s="1"/>
  <c r="AV63" i="5" s="1"/>
  <c r="AW63" i="5" s="1"/>
  <c r="AX63" i="5" s="1"/>
  <c r="AY63" i="5" s="1"/>
  <c r="AZ63" i="5" s="1"/>
  <c r="BA63" i="5" s="1"/>
  <c r="BB63" i="5" s="1"/>
  <c r="BC63" i="5" s="1"/>
  <c r="BD63" i="5" s="1"/>
  <c r="BE63" i="5" s="1"/>
  <c r="BF63" i="5" s="1"/>
  <c r="BG63" i="5" s="1"/>
  <c r="BH63" i="5" s="1"/>
  <c r="BI63" i="5" s="1"/>
  <c r="BJ63" i="5" s="1"/>
  <c r="BK63" i="5" s="1"/>
  <c r="BL63" i="5" s="1"/>
  <c r="BM63" i="5" s="1"/>
  <c r="BN63" i="5" s="1"/>
  <c r="BO63" i="5" s="1"/>
  <c r="BP63" i="5" s="1"/>
  <c r="BQ63" i="5" s="1"/>
  <c r="BR63" i="5" s="1"/>
  <c r="BS63" i="5" s="1"/>
  <c r="BT63" i="5" s="1"/>
  <c r="BU63" i="5" s="1"/>
  <c r="BV63" i="5" s="1"/>
  <c r="BW63" i="5" s="1"/>
  <c r="BX63" i="5" s="1"/>
  <c r="BY63" i="5" s="1"/>
  <c r="BZ63" i="5" s="1"/>
  <c r="CA63" i="5" s="1"/>
  <c r="CB63" i="5" s="1"/>
  <c r="CC63" i="5" s="1"/>
  <c r="AF92" i="5"/>
  <c r="BL92" i="5"/>
  <c r="BP85" i="5"/>
  <c r="Z18" i="7"/>
  <c r="AL92" i="5"/>
  <c r="AZ85" i="5"/>
  <c r="G65" i="18"/>
  <c r="G61" i="18"/>
  <c r="BA85" i="5"/>
  <c r="D43" i="5"/>
  <c r="E22" i="5"/>
  <c r="D10" i="18"/>
  <c r="K31" i="5"/>
  <c r="L31" i="5" s="1"/>
  <c r="M31" i="5" s="1"/>
  <c r="N31" i="5" s="1"/>
  <c r="O31" i="5" s="1"/>
  <c r="P31" i="5" s="1"/>
  <c r="Q31" i="5" s="1"/>
  <c r="R31" i="5" s="1"/>
  <c r="S31" i="5" s="1"/>
  <c r="T31" i="5" s="1"/>
  <c r="U31" i="5" s="1"/>
  <c r="V31" i="5" s="1"/>
  <c r="W31" i="5" s="1"/>
  <c r="X31" i="5" s="1"/>
  <c r="Y31" i="5" s="1"/>
  <c r="Z31" i="5" s="1"/>
  <c r="AA31" i="5" s="1"/>
  <c r="AB31" i="5" s="1"/>
  <c r="AC31" i="5" s="1"/>
  <c r="AD31" i="5" s="1"/>
  <c r="AE31" i="5" s="1"/>
  <c r="AF31" i="5" s="1"/>
  <c r="AG31" i="5" s="1"/>
  <c r="AH31" i="5" s="1"/>
  <c r="AI31" i="5" s="1"/>
  <c r="AJ31" i="5" s="1"/>
  <c r="AK31" i="5" s="1"/>
  <c r="AL31" i="5" s="1"/>
  <c r="AM31" i="5" s="1"/>
  <c r="AN31" i="5" s="1"/>
  <c r="AO31" i="5" s="1"/>
  <c r="AP31" i="5" s="1"/>
  <c r="AQ31" i="5" s="1"/>
  <c r="AR31" i="5" s="1"/>
  <c r="AS31" i="5" s="1"/>
  <c r="AT31" i="5" s="1"/>
  <c r="AU31" i="5" s="1"/>
  <c r="AV31" i="5" s="1"/>
  <c r="AW31" i="5" s="1"/>
  <c r="AX31" i="5" s="1"/>
  <c r="AY31" i="5" s="1"/>
  <c r="AZ31" i="5" s="1"/>
  <c r="BA31" i="5" s="1"/>
  <c r="BB31" i="5" s="1"/>
  <c r="BC31" i="5" s="1"/>
  <c r="BD31" i="5" s="1"/>
  <c r="BE31" i="5" s="1"/>
  <c r="BF31" i="5" s="1"/>
  <c r="BG31" i="5" s="1"/>
  <c r="BH31" i="5" s="1"/>
  <c r="BI31" i="5" s="1"/>
  <c r="BJ31" i="5" s="1"/>
  <c r="BK31" i="5" s="1"/>
  <c r="BL31" i="5" s="1"/>
  <c r="BM31" i="5" s="1"/>
  <c r="BN31" i="5" s="1"/>
  <c r="BO31" i="5" s="1"/>
  <c r="BP31" i="5" s="1"/>
  <c r="BQ31" i="5" s="1"/>
  <c r="BR31" i="5" s="1"/>
  <c r="BS31" i="5" s="1"/>
  <c r="BT31" i="5" s="1"/>
  <c r="BU31" i="5" s="1"/>
  <c r="BV31" i="5" s="1"/>
  <c r="BW31" i="5" s="1"/>
  <c r="BX31" i="5" s="1"/>
  <c r="BY31" i="5" s="1"/>
  <c r="BZ31" i="5" s="1"/>
  <c r="CA31" i="5" s="1"/>
  <c r="CB31" i="5" s="1"/>
  <c r="CC31" i="5" s="1"/>
  <c r="K38" i="5"/>
  <c r="L38" i="5" s="1"/>
  <c r="M38" i="5" s="1"/>
  <c r="N38" i="5" s="1"/>
  <c r="O38" i="5" s="1"/>
  <c r="P38" i="5" s="1"/>
  <c r="Q38" i="5" s="1"/>
  <c r="R38" i="5" s="1"/>
  <c r="S38" i="5" s="1"/>
  <c r="T38" i="5" s="1"/>
  <c r="U38" i="5" s="1"/>
  <c r="V38" i="5" s="1"/>
  <c r="W38" i="5" s="1"/>
  <c r="X38" i="5" s="1"/>
  <c r="Y38" i="5" s="1"/>
  <c r="Z38" i="5" s="1"/>
  <c r="AA38" i="5" s="1"/>
  <c r="AB38" i="5" s="1"/>
  <c r="AC38" i="5" s="1"/>
  <c r="AD38" i="5" s="1"/>
  <c r="AE38" i="5" s="1"/>
  <c r="AF38" i="5" s="1"/>
  <c r="AG38" i="5" s="1"/>
  <c r="AH38" i="5" s="1"/>
  <c r="AI38" i="5" s="1"/>
  <c r="AJ38" i="5" s="1"/>
  <c r="AK38" i="5" s="1"/>
  <c r="AL38" i="5" s="1"/>
  <c r="AM38" i="5" s="1"/>
  <c r="AN38" i="5" s="1"/>
  <c r="AO38" i="5" s="1"/>
  <c r="AP38" i="5" s="1"/>
  <c r="AQ38" i="5" s="1"/>
  <c r="AR38" i="5" s="1"/>
  <c r="AS38" i="5" s="1"/>
  <c r="AT38" i="5" s="1"/>
  <c r="AU38" i="5" s="1"/>
  <c r="AV38" i="5" s="1"/>
  <c r="AW38" i="5" s="1"/>
  <c r="AX38" i="5" s="1"/>
  <c r="AY38" i="5" s="1"/>
  <c r="AZ38" i="5" s="1"/>
  <c r="BA38" i="5" s="1"/>
  <c r="BB38" i="5" s="1"/>
  <c r="BC38" i="5" s="1"/>
  <c r="BD38" i="5" s="1"/>
  <c r="BE38" i="5" s="1"/>
  <c r="BF38" i="5" s="1"/>
  <c r="BG38" i="5" s="1"/>
  <c r="BH38" i="5" s="1"/>
  <c r="BI38" i="5" s="1"/>
  <c r="BJ38" i="5" s="1"/>
  <c r="BK38" i="5" s="1"/>
  <c r="BL38" i="5" s="1"/>
  <c r="BM38" i="5" s="1"/>
  <c r="BN38" i="5" s="1"/>
  <c r="BO38" i="5" s="1"/>
  <c r="BP38" i="5" s="1"/>
  <c r="BQ38" i="5" s="1"/>
  <c r="BR38" i="5" s="1"/>
  <c r="BS38" i="5" s="1"/>
  <c r="BT38" i="5" s="1"/>
  <c r="BU38" i="5" s="1"/>
  <c r="BV38" i="5" s="1"/>
  <c r="BW38" i="5" s="1"/>
  <c r="BX38" i="5" s="1"/>
  <c r="BY38" i="5" s="1"/>
  <c r="BZ38" i="5" s="1"/>
  <c r="CA38" i="5" s="1"/>
  <c r="CB38" i="5" s="1"/>
  <c r="CC38" i="5" s="1"/>
  <c r="B108" i="11"/>
  <c r="AW11" i="7"/>
  <c r="AW36" i="7"/>
  <c r="AW6" i="7"/>
  <c r="AW5" i="7"/>
  <c r="AW21" i="7"/>
  <c r="AW22" i="7"/>
  <c r="AW52" i="7"/>
  <c r="AW42" i="7"/>
  <c r="AW51" i="7"/>
  <c r="AW67" i="7"/>
  <c r="AW27" i="7"/>
  <c r="AW57" i="7"/>
  <c r="AW72" i="7"/>
  <c r="AW37" i="7"/>
  <c r="AW66" i="7"/>
  <c r="AW4" i="9"/>
  <c r="BE51" i="7"/>
  <c r="BE36" i="7"/>
  <c r="BE6" i="7"/>
  <c r="BE57" i="7"/>
  <c r="BE67" i="7"/>
  <c r="BE66" i="7"/>
  <c r="BE4" i="9"/>
  <c r="BE42" i="7"/>
  <c r="BE72" i="7"/>
  <c r="BE27" i="7"/>
  <c r="BE22" i="7"/>
  <c r="BE37" i="7"/>
  <c r="BE11" i="7"/>
  <c r="BE5" i="7"/>
  <c r="BE3" i="7" s="1"/>
  <c r="BE52" i="7"/>
  <c r="BE21" i="7"/>
  <c r="BE18" i="7" s="1"/>
  <c r="AO85" i="5"/>
  <c r="BQ36" i="7"/>
  <c r="BQ72" i="7"/>
  <c r="BQ51" i="7"/>
  <c r="BQ21" i="7"/>
  <c r="BQ6" i="7"/>
  <c r="BQ42" i="7"/>
  <c r="BQ57" i="7"/>
  <c r="BQ37" i="7"/>
  <c r="BQ52" i="7"/>
  <c r="BQ27" i="7"/>
  <c r="BQ67" i="7"/>
  <c r="BQ5" i="7"/>
  <c r="BQ3" i="7" s="1"/>
  <c r="BQ22" i="7"/>
  <c r="BQ4" i="9"/>
  <c r="BQ66" i="7"/>
  <c r="BQ11" i="7"/>
  <c r="BW11" i="7"/>
  <c r="BW6" i="7"/>
  <c r="BW4" i="9"/>
  <c r="BW36" i="7"/>
  <c r="BW37" i="7"/>
  <c r="BW21" i="7"/>
  <c r="BW42" i="7"/>
  <c r="BW67" i="7"/>
  <c r="BW52" i="7"/>
  <c r="BW72" i="7"/>
  <c r="BW22" i="7"/>
  <c r="BW5" i="7"/>
  <c r="BW51" i="7"/>
  <c r="BW27" i="7"/>
  <c r="BW57" i="7"/>
  <c r="BW66" i="7"/>
  <c r="W27" i="7"/>
  <c r="W51" i="7"/>
  <c r="W6" i="7"/>
  <c r="W4" i="9"/>
  <c r="W36" i="7"/>
  <c r="W67" i="7"/>
  <c r="W22" i="7"/>
  <c r="W37" i="7"/>
  <c r="W11" i="7"/>
  <c r="W21" i="7"/>
  <c r="W57" i="7"/>
  <c r="W52" i="7"/>
  <c r="W42" i="7"/>
  <c r="W5" i="7"/>
  <c r="W72" i="7"/>
  <c r="W66" i="7"/>
  <c r="AN42" i="7"/>
  <c r="AN67" i="7"/>
  <c r="AN11" i="7"/>
  <c r="AN5" i="7"/>
  <c r="AN4" i="9"/>
  <c r="AN27" i="7"/>
  <c r="AN52" i="7"/>
  <c r="AN72" i="7"/>
  <c r="AN66" i="7"/>
  <c r="AN51" i="7"/>
  <c r="AN22" i="7"/>
  <c r="AN21" i="7"/>
  <c r="AN57" i="7"/>
  <c r="AN6" i="7"/>
  <c r="AN37" i="7"/>
  <c r="AN36" i="7"/>
  <c r="AF85" i="5"/>
  <c r="BL85" i="5"/>
  <c r="BK18" i="7"/>
  <c r="AV66" i="7"/>
  <c r="AV4" i="9"/>
  <c r="AV6" i="7"/>
  <c r="AV51" i="7"/>
  <c r="AV67" i="7"/>
  <c r="AV52" i="7"/>
  <c r="AV5" i="7"/>
  <c r="AV27" i="7"/>
  <c r="AV37" i="7"/>
  <c r="AV72" i="7"/>
  <c r="AV36" i="7"/>
  <c r="AV11" i="7"/>
  <c r="AV22" i="7"/>
  <c r="AV42" i="7"/>
  <c r="AV57" i="7"/>
  <c r="AV21" i="7"/>
  <c r="BU92" i="5"/>
  <c r="BN92" i="5"/>
  <c r="BA92" i="5"/>
  <c r="D9" i="10"/>
  <c r="D7" i="10" s="1"/>
  <c r="E18" i="3"/>
  <c r="J18" i="3"/>
  <c r="CB6" i="7"/>
  <c r="CB37" i="7"/>
  <c r="CB27" i="7"/>
  <c r="CB5" i="7"/>
  <c r="CB51" i="7"/>
  <c r="CB57" i="7"/>
  <c r="CB4" i="9"/>
  <c r="CB36" i="7"/>
  <c r="CB72" i="7"/>
  <c r="CB11" i="7"/>
  <c r="CB67" i="7"/>
  <c r="CB22" i="7"/>
  <c r="CB66" i="7"/>
  <c r="CB21" i="7"/>
  <c r="CB52" i="7"/>
  <c r="CB42" i="7"/>
  <c r="BZ11" i="7"/>
  <c r="BZ72" i="7"/>
  <c r="BZ22" i="7"/>
  <c r="BZ66" i="7"/>
  <c r="BZ27" i="7"/>
  <c r="BZ52" i="7"/>
  <c r="BZ36" i="7"/>
  <c r="BZ21" i="7"/>
  <c r="BZ6" i="7"/>
  <c r="BZ57" i="7"/>
  <c r="BZ42" i="7"/>
  <c r="BZ51" i="7"/>
  <c r="BZ37" i="7"/>
  <c r="BZ4" i="9"/>
  <c r="BZ5" i="7"/>
  <c r="BZ67" i="7"/>
  <c r="O92" i="5"/>
  <c r="O84" i="5" s="1"/>
  <c r="H6" i="14" s="1"/>
  <c r="AO92" i="5"/>
  <c r="BH18" i="7"/>
  <c r="BH2" i="7" s="1"/>
  <c r="AM4" i="9"/>
  <c r="AM22" i="7"/>
  <c r="AM5" i="7"/>
  <c r="AM51" i="7"/>
  <c r="AM11" i="7"/>
  <c r="AM27" i="7"/>
  <c r="AM66" i="7"/>
  <c r="AM6" i="7"/>
  <c r="AM36" i="7"/>
  <c r="AM42" i="7"/>
  <c r="AM52" i="7"/>
  <c r="AM57" i="7"/>
  <c r="AM72" i="7"/>
  <c r="AM37" i="7"/>
  <c r="AM67" i="7"/>
  <c r="AM21" i="7"/>
  <c r="AI68" i="5"/>
  <c r="AJ68" i="5" s="1"/>
  <c r="AK68" i="5" s="1"/>
  <c r="AL68" i="5" s="1"/>
  <c r="AM68" i="5" s="1"/>
  <c r="AN68" i="5" s="1"/>
  <c r="AO68" i="5" s="1"/>
  <c r="AP68" i="5" s="1"/>
  <c r="AQ68" i="5" s="1"/>
  <c r="AR68" i="5" s="1"/>
  <c r="AS68" i="5" s="1"/>
  <c r="AT68" i="5" s="1"/>
  <c r="AU68" i="5" s="1"/>
  <c r="AV68" i="5" s="1"/>
  <c r="AW68" i="5" s="1"/>
  <c r="AX68" i="5" s="1"/>
  <c r="AY68" i="5" s="1"/>
  <c r="AZ68" i="5" s="1"/>
  <c r="BA68" i="5" s="1"/>
  <c r="BB68" i="5" s="1"/>
  <c r="BC68" i="5" s="1"/>
  <c r="BD68" i="5" s="1"/>
  <c r="BE68" i="5" s="1"/>
  <c r="BF68" i="5" s="1"/>
  <c r="BG68" i="5" s="1"/>
  <c r="BH68" i="5" s="1"/>
  <c r="BI68" i="5" s="1"/>
  <c r="BJ68" i="5" s="1"/>
  <c r="BK68" i="5" s="1"/>
  <c r="BL68" i="5" s="1"/>
  <c r="BM68" i="5" s="1"/>
  <c r="BN68" i="5" s="1"/>
  <c r="BO68" i="5" s="1"/>
  <c r="BP68" i="5" s="1"/>
  <c r="BQ68" i="5" s="1"/>
  <c r="BR68" i="5" s="1"/>
  <c r="BS68" i="5" s="1"/>
  <c r="BT68" i="5" s="1"/>
  <c r="BU68" i="5" s="1"/>
  <c r="BV68" i="5" s="1"/>
  <c r="BW68" i="5" s="1"/>
  <c r="BX68" i="5" s="1"/>
  <c r="BY68" i="5" s="1"/>
  <c r="BZ68" i="5" s="1"/>
  <c r="CA68" i="5" s="1"/>
  <c r="CB68" i="5" s="1"/>
  <c r="CC68" i="5" s="1"/>
  <c r="D61" i="5"/>
  <c r="E61" i="5" s="1"/>
  <c r="F61" i="5" s="1"/>
  <c r="G61" i="5" s="1"/>
  <c r="H61" i="5" s="1"/>
  <c r="I61" i="5" s="1"/>
  <c r="J61" i="5" s="1"/>
  <c r="K61" i="5" s="1"/>
  <c r="L61" i="5" s="1"/>
  <c r="M61" i="5" s="1"/>
  <c r="N61" i="5" s="1"/>
  <c r="O61" i="5" s="1"/>
  <c r="P61" i="5" s="1"/>
  <c r="Q61" i="5" s="1"/>
  <c r="R61" i="5" s="1"/>
  <c r="S61" i="5" s="1"/>
  <c r="T61" i="5" s="1"/>
  <c r="U61" i="5" s="1"/>
  <c r="V61" i="5" s="1"/>
  <c r="W61" i="5" s="1"/>
  <c r="X61" i="5" s="1"/>
  <c r="Y61" i="5" s="1"/>
  <c r="Z61" i="5" s="1"/>
  <c r="AA61" i="5" s="1"/>
  <c r="AB61" i="5" s="1"/>
  <c r="AC61" i="5" s="1"/>
  <c r="AD61" i="5" s="1"/>
  <c r="AE61" i="5" s="1"/>
  <c r="AF61" i="5" s="1"/>
  <c r="AG61" i="5" s="1"/>
  <c r="AH61" i="5" s="1"/>
  <c r="AI61" i="5" s="1"/>
  <c r="AJ61" i="5" s="1"/>
  <c r="AK61" i="5" s="1"/>
  <c r="AL61" i="5" s="1"/>
  <c r="AM61" i="5" s="1"/>
  <c r="AN61" i="5" s="1"/>
  <c r="AO61" i="5" s="1"/>
  <c r="AP61" i="5" s="1"/>
  <c r="AQ61" i="5" s="1"/>
  <c r="AR61" i="5" s="1"/>
  <c r="AS61" i="5" s="1"/>
  <c r="AT61" i="5" s="1"/>
  <c r="AU61" i="5" s="1"/>
  <c r="AV61" i="5" s="1"/>
  <c r="AW61" i="5" s="1"/>
  <c r="AX61" i="5" s="1"/>
  <c r="AY61" i="5" s="1"/>
  <c r="AZ61" i="5" s="1"/>
  <c r="BA61" i="5" s="1"/>
  <c r="BB61" i="5" s="1"/>
  <c r="BC61" i="5" s="1"/>
  <c r="BD61" i="5" s="1"/>
  <c r="BE61" i="5" s="1"/>
  <c r="BF61" i="5" s="1"/>
  <c r="BG61" i="5" s="1"/>
  <c r="BH61" i="5" s="1"/>
  <c r="BI61" i="5" s="1"/>
  <c r="BJ61" i="5" s="1"/>
  <c r="BK61" i="5" s="1"/>
  <c r="BL61" i="5" s="1"/>
  <c r="BM61" i="5" s="1"/>
  <c r="BN61" i="5" s="1"/>
  <c r="BO61" i="5" s="1"/>
  <c r="BP61" i="5" s="1"/>
  <c r="BQ61" i="5" s="1"/>
  <c r="BR61" i="5" s="1"/>
  <c r="BS61" i="5" s="1"/>
  <c r="BT61" i="5" s="1"/>
  <c r="BU61" i="5" s="1"/>
  <c r="BV61" i="5" s="1"/>
  <c r="BW61" i="5" s="1"/>
  <c r="BX61" i="5" s="1"/>
  <c r="BY61" i="5" s="1"/>
  <c r="BZ61" i="5" s="1"/>
  <c r="CA61" i="5" s="1"/>
  <c r="CB61" i="5" s="1"/>
  <c r="CC61" i="5" s="1"/>
  <c r="D54" i="5"/>
  <c r="E54" i="5" s="1"/>
  <c r="F54" i="5" s="1"/>
  <c r="G54" i="5" s="1"/>
  <c r="H54" i="5" s="1"/>
  <c r="I54" i="5" s="1"/>
  <c r="J54" i="5" s="1"/>
  <c r="K54" i="5" s="1"/>
  <c r="L54" i="5" s="1"/>
  <c r="M54" i="5" s="1"/>
  <c r="N54" i="5" s="1"/>
  <c r="O54" i="5" s="1"/>
  <c r="P54" i="5" s="1"/>
  <c r="Q54" i="5" s="1"/>
  <c r="R54" i="5" s="1"/>
  <c r="S54" i="5" s="1"/>
  <c r="T54" i="5" s="1"/>
  <c r="U54" i="5" s="1"/>
  <c r="V54" i="5" s="1"/>
  <c r="W54" i="5" s="1"/>
  <c r="X54" i="5" s="1"/>
  <c r="Y54" i="5" s="1"/>
  <c r="Z54" i="5" s="1"/>
  <c r="AA54" i="5" s="1"/>
  <c r="AB54" i="5" s="1"/>
  <c r="AC54" i="5" s="1"/>
  <c r="AD54" i="5" s="1"/>
  <c r="AE54" i="5" s="1"/>
  <c r="AF54" i="5" s="1"/>
  <c r="AG54" i="5" s="1"/>
  <c r="AH54" i="5" s="1"/>
  <c r="AI54" i="5" s="1"/>
  <c r="AJ54" i="5" s="1"/>
  <c r="AK54" i="5" s="1"/>
  <c r="AL54" i="5" s="1"/>
  <c r="AM54" i="5" s="1"/>
  <c r="AN54" i="5" s="1"/>
  <c r="AO54" i="5" s="1"/>
  <c r="AP54" i="5" s="1"/>
  <c r="AQ54" i="5" s="1"/>
  <c r="AR54" i="5" s="1"/>
  <c r="AS54" i="5" s="1"/>
  <c r="AT54" i="5" s="1"/>
  <c r="AU54" i="5" s="1"/>
  <c r="AV54" i="5" s="1"/>
  <c r="AW54" i="5" s="1"/>
  <c r="AX54" i="5" s="1"/>
  <c r="AY54" i="5" s="1"/>
  <c r="AZ54" i="5" s="1"/>
  <c r="BA54" i="5" s="1"/>
  <c r="BB54" i="5" s="1"/>
  <c r="BC54" i="5" s="1"/>
  <c r="BD54" i="5" s="1"/>
  <c r="BE54" i="5" s="1"/>
  <c r="BF54" i="5" s="1"/>
  <c r="BG54" i="5" s="1"/>
  <c r="BH54" i="5" s="1"/>
  <c r="BI54" i="5" s="1"/>
  <c r="BJ54" i="5" s="1"/>
  <c r="BK54" i="5" s="1"/>
  <c r="BL54" i="5" s="1"/>
  <c r="BM54" i="5" s="1"/>
  <c r="BN54" i="5" s="1"/>
  <c r="BO54" i="5" s="1"/>
  <c r="BP54" i="5" s="1"/>
  <c r="BQ54" i="5" s="1"/>
  <c r="BR54" i="5" s="1"/>
  <c r="BS54" i="5" s="1"/>
  <c r="BT54" i="5" s="1"/>
  <c r="BU54" i="5" s="1"/>
  <c r="BV54" i="5" s="1"/>
  <c r="BW54" i="5" s="1"/>
  <c r="BX54" i="5" s="1"/>
  <c r="BY54" i="5" s="1"/>
  <c r="BZ54" i="5" s="1"/>
  <c r="CA54" i="5" s="1"/>
  <c r="CB54" i="5" s="1"/>
  <c r="CC54" i="5" s="1"/>
  <c r="BU85" i="5"/>
  <c r="BN85" i="5"/>
  <c r="BI42" i="7"/>
  <c r="BI4" i="9"/>
  <c r="BI37" i="7"/>
  <c r="BI11" i="7"/>
  <c r="BI22" i="7"/>
  <c r="BI21" i="7"/>
  <c r="BI51" i="7"/>
  <c r="BI27" i="7"/>
  <c r="BI66" i="7"/>
  <c r="BI5" i="7"/>
  <c r="BI57" i="7"/>
  <c r="BI36" i="7"/>
  <c r="BI6" i="7"/>
  <c r="BI67" i="7"/>
  <c r="BI72" i="7"/>
  <c r="BI52" i="7"/>
  <c r="D28" i="5"/>
  <c r="E29" i="5"/>
  <c r="CA18" i="7"/>
  <c r="CA2" i="7" s="1"/>
  <c r="CB92" i="5"/>
  <c r="CB84" i="5" s="1"/>
  <c r="BU6" i="14" s="1"/>
  <c r="AT92" i="5"/>
  <c r="BO57" i="7"/>
  <c r="BO22" i="7"/>
  <c r="BO21" i="7"/>
  <c r="BO6" i="7"/>
  <c r="BO51" i="7"/>
  <c r="BO4" i="9"/>
  <c r="BO5" i="7"/>
  <c r="BO11" i="7"/>
  <c r="BO37" i="7"/>
  <c r="BO72" i="7"/>
  <c r="BO52" i="7"/>
  <c r="BO27" i="7"/>
  <c r="BO67" i="7"/>
  <c r="BO36" i="7"/>
  <c r="BO42" i="7"/>
  <c r="BO66" i="7"/>
  <c r="CA85" i="5"/>
  <c r="E36" i="5"/>
  <c r="P42" i="7"/>
  <c r="P27" i="7"/>
  <c r="P22" i="7"/>
  <c r="P66" i="7"/>
  <c r="P37" i="7"/>
  <c r="P11" i="7"/>
  <c r="P6" i="7"/>
  <c r="P36" i="7"/>
  <c r="P72" i="7"/>
  <c r="P67" i="7"/>
  <c r="P5" i="7"/>
  <c r="P3" i="7" s="1"/>
  <c r="P52" i="7"/>
  <c r="P51" i="7"/>
  <c r="P4" i="9"/>
  <c r="P21" i="7"/>
  <c r="P57" i="7"/>
  <c r="AU52" i="7"/>
  <c r="AU51" i="7"/>
  <c r="AU6" i="7"/>
  <c r="AU4" i="9"/>
  <c r="AU37" i="7"/>
  <c r="AU67" i="7"/>
  <c r="AU66" i="7"/>
  <c r="AU57" i="7"/>
  <c r="AU5" i="7"/>
  <c r="AU27" i="7"/>
  <c r="AU21" i="7"/>
  <c r="AU72" i="7"/>
  <c r="AU36" i="7"/>
  <c r="AU11" i="7"/>
  <c r="AU22" i="7"/>
  <c r="AU42" i="7"/>
  <c r="AF18" i="7"/>
  <c r="Q18" i="7"/>
  <c r="BR92" i="5"/>
  <c r="Y37" i="7"/>
  <c r="Y67" i="7"/>
  <c r="Y52" i="7"/>
  <c r="Y51" i="7"/>
  <c r="Y11" i="7"/>
  <c r="Y22" i="7"/>
  <c r="Y5" i="7"/>
  <c r="Y3" i="7" s="1"/>
  <c r="Y6" i="7"/>
  <c r="Y66" i="7"/>
  <c r="Y42" i="7"/>
  <c r="Y27" i="7"/>
  <c r="Y57" i="7"/>
  <c r="Y36" i="7"/>
  <c r="Y21" i="7"/>
  <c r="Y4" i="9"/>
  <c r="Y72" i="7"/>
  <c r="AG85" i="5"/>
  <c r="N85" i="5"/>
  <c r="J3" i="7"/>
  <c r="O36" i="7"/>
  <c r="O37" i="7"/>
  <c r="O57" i="7"/>
  <c r="O22" i="7"/>
  <c r="O18" i="7" s="1"/>
  <c r="O21" i="7"/>
  <c r="O27" i="7"/>
  <c r="O5" i="7"/>
  <c r="O72" i="7"/>
  <c r="O66" i="7"/>
  <c r="O52" i="7"/>
  <c r="O6" i="7"/>
  <c r="O11" i="7"/>
  <c r="O4" i="9"/>
  <c r="O42" i="7"/>
  <c r="O67" i="7"/>
  <c r="O51" i="7"/>
  <c r="D30" i="5"/>
  <c r="E30" i="5" s="1"/>
  <c r="F30" i="5" s="1"/>
  <c r="G30" i="5" s="1"/>
  <c r="H30" i="5" s="1"/>
  <c r="I30" i="5" s="1"/>
  <c r="J30" i="5" s="1"/>
  <c r="K30" i="5" s="1"/>
  <c r="L30" i="5" s="1"/>
  <c r="M30" i="5" s="1"/>
  <c r="N30" i="5" s="1"/>
  <c r="O30" i="5" s="1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A30" i="5" s="1"/>
  <c r="AB30" i="5" s="1"/>
  <c r="AC30" i="5" s="1"/>
  <c r="AD30" i="5" s="1"/>
  <c r="AE30" i="5" s="1"/>
  <c r="AF30" i="5" s="1"/>
  <c r="AG30" i="5" s="1"/>
  <c r="AH30" i="5" s="1"/>
  <c r="AI30" i="5" s="1"/>
  <c r="AJ30" i="5" s="1"/>
  <c r="AK30" i="5" s="1"/>
  <c r="AL30" i="5" s="1"/>
  <c r="AM30" i="5" s="1"/>
  <c r="AN30" i="5" s="1"/>
  <c r="AO30" i="5" s="1"/>
  <c r="AP30" i="5" s="1"/>
  <c r="AQ30" i="5" s="1"/>
  <c r="AR30" i="5" s="1"/>
  <c r="AS30" i="5" s="1"/>
  <c r="AT30" i="5" s="1"/>
  <c r="AU30" i="5" s="1"/>
  <c r="AV30" i="5" s="1"/>
  <c r="AW30" i="5" s="1"/>
  <c r="AX30" i="5" s="1"/>
  <c r="AY30" i="5" s="1"/>
  <c r="AZ30" i="5" s="1"/>
  <c r="BA30" i="5" s="1"/>
  <c r="BB30" i="5" s="1"/>
  <c r="BC30" i="5" s="1"/>
  <c r="BD30" i="5" s="1"/>
  <c r="BE30" i="5" s="1"/>
  <c r="BF30" i="5" s="1"/>
  <c r="BG30" i="5" s="1"/>
  <c r="BH30" i="5" s="1"/>
  <c r="BI30" i="5" s="1"/>
  <c r="BJ30" i="5" s="1"/>
  <c r="BK30" i="5" s="1"/>
  <c r="BL30" i="5" s="1"/>
  <c r="BM30" i="5" s="1"/>
  <c r="BN30" i="5" s="1"/>
  <c r="BO30" i="5" s="1"/>
  <c r="BP30" i="5" s="1"/>
  <c r="BQ30" i="5" s="1"/>
  <c r="BR30" i="5" s="1"/>
  <c r="BS30" i="5" s="1"/>
  <c r="BT30" i="5" s="1"/>
  <c r="BU30" i="5" s="1"/>
  <c r="BV30" i="5" s="1"/>
  <c r="BW30" i="5" s="1"/>
  <c r="BX30" i="5" s="1"/>
  <c r="BY30" i="5" s="1"/>
  <c r="BZ30" i="5" s="1"/>
  <c r="CA30" i="5" s="1"/>
  <c r="CB30" i="5" s="1"/>
  <c r="CC30" i="5" s="1"/>
  <c r="D32" i="5"/>
  <c r="D33" i="5"/>
  <c r="D23" i="5"/>
  <c r="D37" i="5"/>
  <c r="E37" i="5" s="1"/>
  <c r="F37" i="5" s="1"/>
  <c r="G37" i="5" s="1"/>
  <c r="H37" i="5" s="1"/>
  <c r="I37" i="5" s="1"/>
  <c r="J37" i="5" s="1"/>
  <c r="K37" i="5" s="1"/>
  <c r="L37" i="5" s="1"/>
  <c r="M37" i="5" s="1"/>
  <c r="N37" i="5" s="1"/>
  <c r="O37" i="5" s="1"/>
  <c r="P37" i="5" s="1"/>
  <c r="Q37" i="5" s="1"/>
  <c r="R37" i="5" s="1"/>
  <c r="S37" i="5" s="1"/>
  <c r="T37" i="5" s="1"/>
  <c r="U37" i="5" s="1"/>
  <c r="V37" i="5" s="1"/>
  <c r="W37" i="5" s="1"/>
  <c r="X37" i="5" s="1"/>
  <c r="Y37" i="5" s="1"/>
  <c r="Z37" i="5" s="1"/>
  <c r="AA37" i="5" s="1"/>
  <c r="AB37" i="5" s="1"/>
  <c r="AC37" i="5" s="1"/>
  <c r="AD37" i="5" s="1"/>
  <c r="AE37" i="5" s="1"/>
  <c r="AF37" i="5" s="1"/>
  <c r="AG37" i="5" s="1"/>
  <c r="AH37" i="5" s="1"/>
  <c r="AI37" i="5" s="1"/>
  <c r="AJ37" i="5" s="1"/>
  <c r="AK37" i="5" s="1"/>
  <c r="AL37" i="5" s="1"/>
  <c r="AM37" i="5" s="1"/>
  <c r="AN37" i="5" s="1"/>
  <c r="AO37" i="5" s="1"/>
  <c r="AP37" i="5" s="1"/>
  <c r="AQ37" i="5" s="1"/>
  <c r="AR37" i="5" s="1"/>
  <c r="AS37" i="5" s="1"/>
  <c r="AT37" i="5" s="1"/>
  <c r="AU37" i="5" s="1"/>
  <c r="AV37" i="5" s="1"/>
  <c r="AW37" i="5" s="1"/>
  <c r="AX37" i="5" s="1"/>
  <c r="AY37" i="5" s="1"/>
  <c r="AZ37" i="5" s="1"/>
  <c r="BA37" i="5" s="1"/>
  <c r="BB37" i="5" s="1"/>
  <c r="BC37" i="5" s="1"/>
  <c r="BD37" i="5" s="1"/>
  <c r="BE37" i="5" s="1"/>
  <c r="BF37" i="5" s="1"/>
  <c r="BG37" i="5" s="1"/>
  <c r="BH37" i="5" s="1"/>
  <c r="BI37" i="5" s="1"/>
  <c r="BJ37" i="5" s="1"/>
  <c r="BK37" i="5" s="1"/>
  <c r="BL37" i="5" s="1"/>
  <c r="BM37" i="5" s="1"/>
  <c r="BN37" i="5" s="1"/>
  <c r="BO37" i="5" s="1"/>
  <c r="BP37" i="5" s="1"/>
  <c r="BQ37" i="5" s="1"/>
  <c r="BR37" i="5" s="1"/>
  <c r="BS37" i="5" s="1"/>
  <c r="BT37" i="5" s="1"/>
  <c r="BU37" i="5" s="1"/>
  <c r="BV37" i="5" s="1"/>
  <c r="BW37" i="5" s="1"/>
  <c r="BX37" i="5" s="1"/>
  <c r="BY37" i="5" s="1"/>
  <c r="BZ37" i="5" s="1"/>
  <c r="CA37" i="5" s="1"/>
  <c r="CB37" i="5" s="1"/>
  <c r="CC37" i="5" s="1"/>
  <c r="BV85" i="5"/>
  <c r="G92" i="5"/>
  <c r="G84" i="5" s="1"/>
  <c r="D61" i="18"/>
  <c r="D65" i="18"/>
  <c r="BV37" i="7"/>
  <c r="BV52" i="7"/>
  <c r="BV6" i="7"/>
  <c r="BV4" i="9"/>
  <c r="BV21" i="7"/>
  <c r="BV22" i="7"/>
  <c r="BV11" i="7"/>
  <c r="BV67" i="7"/>
  <c r="BV66" i="7"/>
  <c r="BV72" i="7"/>
  <c r="BV51" i="7"/>
  <c r="BV42" i="7"/>
  <c r="BV5" i="7"/>
  <c r="BV57" i="7"/>
  <c r="BV27" i="7"/>
  <c r="BV36" i="7"/>
  <c r="BD21" i="7"/>
  <c r="BD66" i="7"/>
  <c r="BD57" i="7"/>
  <c r="BD36" i="7"/>
  <c r="BD51" i="7"/>
  <c r="BD6" i="7"/>
  <c r="BD52" i="7"/>
  <c r="BD72" i="7"/>
  <c r="BD67" i="7"/>
  <c r="BD4" i="9"/>
  <c r="BD22" i="7"/>
  <c r="BD37" i="7"/>
  <c r="BD27" i="7"/>
  <c r="BD5" i="7"/>
  <c r="BD42" i="7"/>
  <c r="BD11" i="7"/>
  <c r="CA92" i="5"/>
  <c r="K51" i="7"/>
  <c r="K6" i="7"/>
  <c r="K21" i="7"/>
  <c r="K27" i="7"/>
  <c r="K11" i="7"/>
  <c r="K36" i="7"/>
  <c r="K42" i="7"/>
  <c r="K5" i="7"/>
  <c r="K67" i="7"/>
  <c r="K52" i="7"/>
  <c r="K22" i="7"/>
  <c r="K66" i="7"/>
  <c r="K37" i="7"/>
  <c r="K72" i="7"/>
  <c r="K57" i="7"/>
  <c r="K4" i="9"/>
  <c r="AY3" i="7"/>
  <c r="AY2" i="7" s="1"/>
  <c r="X85" i="5"/>
  <c r="BA67" i="7"/>
  <c r="BA37" i="7"/>
  <c r="BA36" i="7"/>
  <c r="BA42" i="7"/>
  <c r="BA57" i="7"/>
  <c r="BA21" i="7"/>
  <c r="BA66" i="7"/>
  <c r="BA5" i="7"/>
  <c r="BA4" i="9"/>
  <c r="BA6" i="7"/>
  <c r="BA27" i="7"/>
  <c r="BA72" i="7"/>
  <c r="BA22" i="7"/>
  <c r="BA51" i="7"/>
  <c r="BA52" i="7"/>
  <c r="BA11" i="7"/>
  <c r="BN51" i="7"/>
  <c r="BN37" i="7"/>
  <c r="BN67" i="7"/>
  <c r="BN6" i="7"/>
  <c r="BN21" i="7"/>
  <c r="BN36" i="7"/>
  <c r="BN5" i="7"/>
  <c r="BN4" i="9"/>
  <c r="BN52" i="7"/>
  <c r="BN72" i="7"/>
  <c r="BN11" i="7"/>
  <c r="BN22" i="7"/>
  <c r="BN27" i="7"/>
  <c r="BN57" i="7"/>
  <c r="BN42" i="7"/>
  <c r="BN66" i="7"/>
  <c r="BW92" i="5"/>
  <c r="N92" i="5"/>
  <c r="N3" i="7"/>
  <c r="BC37" i="7"/>
  <c r="BC6" i="7"/>
  <c r="BC57" i="7"/>
  <c r="BC36" i="7"/>
  <c r="BC11" i="7"/>
  <c r="BC67" i="7"/>
  <c r="BC72" i="7"/>
  <c r="BC52" i="7"/>
  <c r="BC22" i="7"/>
  <c r="BC21" i="7"/>
  <c r="BC4" i="9"/>
  <c r="BC5" i="7"/>
  <c r="BC66" i="7"/>
  <c r="BC51" i="7"/>
  <c r="BC42" i="7"/>
  <c r="BC27" i="7"/>
  <c r="BK3" i="7"/>
  <c r="AQ92" i="5"/>
  <c r="BV92" i="5"/>
  <c r="BQ92" i="5"/>
  <c r="V3" i="7"/>
  <c r="AE92" i="5"/>
  <c r="V85" i="5"/>
  <c r="X36" i="7"/>
  <c r="X21" i="7"/>
  <c r="X22" i="7"/>
  <c r="X4" i="9"/>
  <c r="X6" i="7"/>
  <c r="X11" i="7"/>
  <c r="X66" i="7"/>
  <c r="X5" i="7"/>
  <c r="X3" i="7" s="1"/>
  <c r="X72" i="7"/>
  <c r="X27" i="7"/>
  <c r="X42" i="7"/>
  <c r="X67" i="7"/>
  <c r="X51" i="7"/>
  <c r="X57" i="7"/>
  <c r="X52" i="7"/>
  <c r="X37" i="7"/>
  <c r="D66" i="5"/>
  <c r="E67" i="5"/>
  <c r="AA3" i="7"/>
  <c r="AA2" i="7" s="1"/>
  <c r="D52" i="5"/>
  <c r="E53" i="5"/>
  <c r="CC92" i="5"/>
  <c r="H92" i="5"/>
  <c r="H84" i="5" s="1"/>
  <c r="BG85" i="5"/>
  <c r="X92" i="5"/>
  <c r="BW85" i="5"/>
  <c r="BG6" i="7"/>
  <c r="BG51" i="7"/>
  <c r="BG27" i="7"/>
  <c r="BG36" i="7"/>
  <c r="BG57" i="7"/>
  <c r="BG11" i="7"/>
  <c r="BG21" i="7"/>
  <c r="BG37" i="7"/>
  <c r="BG5" i="7"/>
  <c r="BG72" i="7"/>
  <c r="BG67" i="7"/>
  <c r="BG66" i="7"/>
  <c r="BG42" i="7"/>
  <c r="BG52" i="7"/>
  <c r="BG4" i="9"/>
  <c r="I15" i="3" s="1"/>
  <c r="BG22" i="7"/>
  <c r="BR85" i="5"/>
  <c r="N18" i="7"/>
  <c r="BU3" i="7"/>
  <c r="AQ85" i="5"/>
  <c r="AX3" i="7"/>
  <c r="AX2" i="7" s="1"/>
  <c r="BQ85" i="5"/>
  <c r="V18" i="7"/>
  <c r="F18" i="3"/>
  <c r="AE85" i="5"/>
  <c r="AE84" i="5" s="1"/>
  <c r="X6" i="14" s="1"/>
  <c r="V92" i="5"/>
  <c r="BG92" i="5"/>
  <c r="BZ85" i="5"/>
  <c r="BI92" i="5"/>
  <c r="Q3" i="7"/>
  <c r="BM92" i="5"/>
  <c r="AE22" i="7"/>
  <c r="AE57" i="7"/>
  <c r="AE5" i="7"/>
  <c r="AE52" i="7"/>
  <c r="AE67" i="7"/>
  <c r="AE72" i="7"/>
  <c r="AE66" i="7"/>
  <c r="AE21" i="7"/>
  <c r="AE36" i="7"/>
  <c r="AE27" i="7"/>
  <c r="AE37" i="7"/>
  <c r="AE42" i="7"/>
  <c r="AE51" i="7"/>
  <c r="AE6" i="7"/>
  <c r="AE4" i="9"/>
  <c r="AE11" i="7"/>
  <c r="J18" i="7"/>
  <c r="AJ92" i="5"/>
  <c r="J85" i="5"/>
  <c r="T42" i="7"/>
  <c r="T27" i="7"/>
  <c r="T37" i="7"/>
  <c r="T66" i="7"/>
  <c r="T57" i="7"/>
  <c r="T4" i="9"/>
  <c r="T67" i="7"/>
  <c r="T6" i="7"/>
  <c r="T51" i="7"/>
  <c r="T52" i="7"/>
  <c r="T22" i="7"/>
  <c r="T72" i="7"/>
  <c r="T11" i="7"/>
  <c r="T36" i="7"/>
  <c r="T5" i="7"/>
  <c r="T21" i="7"/>
  <c r="AN92" i="5"/>
  <c r="AM92" i="5"/>
  <c r="AM84" i="5" s="1"/>
  <c r="AF6" i="14" s="1"/>
  <c r="AC85" i="5"/>
  <c r="BF18" i="7"/>
  <c r="T92" i="5"/>
  <c r="R51" i="7"/>
  <c r="R66" i="7"/>
  <c r="R5" i="7"/>
  <c r="R37" i="7"/>
  <c r="R67" i="7"/>
  <c r="R36" i="7"/>
  <c r="R21" i="7"/>
  <c r="R27" i="7"/>
  <c r="R11" i="7"/>
  <c r="R42" i="7"/>
  <c r="R22" i="7"/>
  <c r="R4" i="9"/>
  <c r="R72" i="7"/>
  <c r="R57" i="7"/>
  <c r="R6" i="7"/>
  <c r="R52" i="7"/>
  <c r="AT37" i="7"/>
  <c r="AT4" i="9"/>
  <c r="AT6" i="7"/>
  <c r="AT36" i="7"/>
  <c r="AT11" i="7"/>
  <c r="AT27" i="7"/>
  <c r="AT21" i="7"/>
  <c r="AT42" i="7"/>
  <c r="AT52" i="7"/>
  <c r="AT67" i="7"/>
  <c r="AT66" i="7"/>
  <c r="AT57" i="7"/>
  <c r="AT5" i="7"/>
  <c r="AT72" i="7"/>
  <c r="AT51" i="7"/>
  <c r="AT22" i="7"/>
  <c r="BZ92" i="5"/>
  <c r="BI85" i="5"/>
  <c r="BM85" i="5"/>
  <c r="C61" i="18"/>
  <c r="C65" i="18"/>
  <c r="E65" i="18"/>
  <c r="E61" i="18"/>
  <c r="BJ66" i="7"/>
  <c r="BJ37" i="7"/>
  <c r="BJ52" i="7"/>
  <c r="BJ11" i="7"/>
  <c r="BJ4" i="9"/>
  <c r="BJ27" i="7"/>
  <c r="BJ42" i="7"/>
  <c r="BJ21" i="7"/>
  <c r="BJ72" i="7"/>
  <c r="BJ5" i="7"/>
  <c r="BJ6" i="7"/>
  <c r="BJ51" i="7"/>
  <c r="BJ36" i="7"/>
  <c r="BJ22" i="7"/>
  <c r="BJ57" i="7"/>
  <c r="BJ67" i="7"/>
  <c r="M85" i="5"/>
  <c r="BT18" i="7"/>
  <c r="BT2" i="7" s="1"/>
  <c r="AK42" i="7"/>
  <c r="AK21" i="7"/>
  <c r="AK66" i="7"/>
  <c r="AK36" i="7"/>
  <c r="AK11" i="7"/>
  <c r="AK6" i="7"/>
  <c r="AK37" i="7"/>
  <c r="AK5" i="7"/>
  <c r="AK3" i="7" s="1"/>
  <c r="AK4" i="9"/>
  <c r="AK27" i="7"/>
  <c r="AK52" i="7"/>
  <c r="AK57" i="7"/>
  <c r="AK22" i="7"/>
  <c r="AK72" i="7"/>
  <c r="AK67" i="7"/>
  <c r="AK51" i="7"/>
  <c r="W85" i="5"/>
  <c r="AJ85" i="5"/>
  <c r="AJ84" i="5" s="1"/>
  <c r="AC6" i="14" s="1"/>
  <c r="AD18" i="7"/>
  <c r="AD2" i="7" s="1"/>
  <c r="H18" i="3"/>
  <c r="D59" i="5"/>
  <c r="E60" i="5"/>
  <c r="AR92" i="5"/>
  <c r="AR84" i="5" s="1"/>
  <c r="AK6" i="14" s="1"/>
  <c r="AQ27" i="7"/>
  <c r="AQ51" i="7"/>
  <c r="AQ52" i="7"/>
  <c r="AQ66" i="7"/>
  <c r="AQ42" i="7"/>
  <c r="AQ11" i="7"/>
  <c r="AQ67" i="7"/>
  <c r="AQ37" i="7"/>
  <c r="AQ21" i="7"/>
  <c r="AQ5" i="7"/>
  <c r="AQ36" i="7"/>
  <c r="AQ6" i="7"/>
  <c r="AQ22" i="7"/>
  <c r="AQ4" i="9"/>
  <c r="AQ57" i="7"/>
  <c r="AQ72" i="7"/>
  <c r="AN85" i="5"/>
  <c r="AG37" i="7"/>
  <c r="AG5" i="7"/>
  <c r="AG52" i="7"/>
  <c r="AG67" i="7"/>
  <c r="AG42" i="7"/>
  <c r="AG4" i="9"/>
  <c r="AG21" i="7"/>
  <c r="AG11" i="7"/>
  <c r="AG66" i="7"/>
  <c r="AG36" i="7"/>
  <c r="AG6" i="7"/>
  <c r="AG72" i="7"/>
  <c r="AG51" i="7"/>
  <c r="AG22" i="7"/>
  <c r="AG27" i="7"/>
  <c r="AG57" i="7"/>
  <c r="AC92" i="5"/>
  <c r="F61" i="18"/>
  <c r="F65" i="18"/>
  <c r="T85" i="5"/>
  <c r="T84" i="5" s="1"/>
  <c r="M6" i="14" s="1"/>
  <c r="Z3" i="7"/>
  <c r="Z2" i="7" s="1"/>
  <c r="AF3" i="7"/>
  <c r="AF2" i="7" s="1"/>
  <c r="BJ92" i="5"/>
  <c r="BJ84" i="5" s="1"/>
  <c r="BC6" i="14" s="1"/>
  <c r="L40" i="5"/>
  <c r="M40" i="5" s="1"/>
  <c r="N40" i="5" s="1"/>
  <c r="O40" i="5" s="1"/>
  <c r="P40" i="5" s="1"/>
  <c r="Q40" i="5" s="1"/>
  <c r="R40" i="5" s="1"/>
  <c r="S40" i="5" s="1"/>
  <c r="T40" i="5" s="1"/>
  <c r="U40" i="5" s="1"/>
  <c r="V40" i="5" s="1"/>
  <c r="W40" i="5" s="1"/>
  <c r="X40" i="5" s="1"/>
  <c r="Y40" i="5" s="1"/>
  <c r="Z40" i="5" s="1"/>
  <c r="AA40" i="5" s="1"/>
  <c r="AB40" i="5" s="1"/>
  <c r="AC40" i="5" s="1"/>
  <c r="AD40" i="5" s="1"/>
  <c r="AE40" i="5" s="1"/>
  <c r="AF40" i="5" s="1"/>
  <c r="AG40" i="5" s="1"/>
  <c r="AH40" i="5" s="1"/>
  <c r="AI40" i="5" s="1"/>
  <c r="AJ40" i="5" s="1"/>
  <c r="AK40" i="5" s="1"/>
  <c r="AL40" i="5" s="1"/>
  <c r="AM40" i="5" s="1"/>
  <c r="AN40" i="5" s="1"/>
  <c r="AO40" i="5" s="1"/>
  <c r="AP40" i="5" s="1"/>
  <c r="AQ40" i="5" s="1"/>
  <c r="AR40" i="5" s="1"/>
  <c r="AS40" i="5" s="1"/>
  <c r="AT40" i="5" s="1"/>
  <c r="AU40" i="5" s="1"/>
  <c r="AV40" i="5" s="1"/>
  <c r="AW40" i="5" s="1"/>
  <c r="AX40" i="5" s="1"/>
  <c r="AY40" i="5" s="1"/>
  <c r="AZ40" i="5" s="1"/>
  <c r="BA40" i="5" s="1"/>
  <c r="BB40" i="5" s="1"/>
  <c r="BC40" i="5" s="1"/>
  <c r="BD40" i="5" s="1"/>
  <c r="BE40" i="5" s="1"/>
  <c r="BF40" i="5" s="1"/>
  <c r="BG40" i="5" s="1"/>
  <c r="BH40" i="5" s="1"/>
  <c r="BI40" i="5" s="1"/>
  <c r="BJ40" i="5" s="1"/>
  <c r="BK40" i="5" s="1"/>
  <c r="BL40" i="5" s="1"/>
  <c r="BM40" i="5" s="1"/>
  <c r="BN40" i="5" s="1"/>
  <c r="BO40" i="5" s="1"/>
  <c r="BP40" i="5" s="1"/>
  <c r="BQ40" i="5" s="1"/>
  <c r="BR40" i="5" s="1"/>
  <c r="BS40" i="5" s="1"/>
  <c r="BT40" i="5" s="1"/>
  <c r="BU40" i="5" s="1"/>
  <c r="BV40" i="5" s="1"/>
  <c r="BW40" i="5" s="1"/>
  <c r="BX40" i="5" s="1"/>
  <c r="BY40" i="5" s="1"/>
  <c r="BZ40" i="5" s="1"/>
  <c r="CA40" i="5" s="1"/>
  <c r="CB40" i="5" s="1"/>
  <c r="CC40" i="5" s="1"/>
  <c r="K26" i="14"/>
  <c r="M92" i="5"/>
  <c r="BS67" i="7"/>
  <c r="BS72" i="7"/>
  <c r="BS5" i="7"/>
  <c r="BS52" i="7"/>
  <c r="BS51" i="7"/>
  <c r="BS22" i="7"/>
  <c r="BS21" i="7"/>
  <c r="BS4" i="9"/>
  <c r="J15" i="3" s="1"/>
  <c r="BS37" i="7"/>
  <c r="BS27" i="7"/>
  <c r="BS66" i="7"/>
  <c r="BS6" i="7"/>
  <c r="BS11" i="7"/>
  <c r="BS42" i="7"/>
  <c r="BS36" i="7"/>
  <c r="BS57" i="7"/>
  <c r="W92" i="5"/>
  <c r="S92" i="5"/>
  <c r="S84" i="5" s="1"/>
  <c r="L6" i="14" s="1"/>
  <c r="BB85" i="5"/>
  <c r="AP66" i="7"/>
  <c r="AP4" i="9"/>
  <c r="AP5" i="7"/>
  <c r="AP37" i="7"/>
  <c r="AP51" i="7"/>
  <c r="AP11" i="7"/>
  <c r="AP22" i="7"/>
  <c r="AP72" i="7"/>
  <c r="AP6" i="7"/>
  <c r="AP52" i="7"/>
  <c r="AP67" i="7"/>
  <c r="AP27" i="7"/>
  <c r="AP57" i="7"/>
  <c r="AP21" i="7"/>
  <c r="AP42" i="7"/>
  <c r="AP36" i="7"/>
  <c r="I18" i="3"/>
  <c r="U52" i="7"/>
  <c r="U72" i="7"/>
  <c r="U67" i="7"/>
  <c r="U42" i="7"/>
  <c r="U4" i="9"/>
  <c r="U5" i="7"/>
  <c r="U66" i="7"/>
  <c r="U37" i="7"/>
  <c r="U27" i="7"/>
  <c r="U22" i="7"/>
  <c r="U36" i="7"/>
  <c r="U57" i="7"/>
  <c r="U11" i="7"/>
  <c r="U6" i="7"/>
  <c r="U51" i="7"/>
  <c r="U21" i="7"/>
  <c r="L51" i="7"/>
  <c r="L42" i="7"/>
  <c r="L72" i="7"/>
  <c r="L27" i="7"/>
  <c r="L37" i="7"/>
  <c r="L4" i="9"/>
  <c r="L5" i="7"/>
  <c r="L22" i="7"/>
  <c r="L6" i="7"/>
  <c r="L66" i="7"/>
  <c r="L52" i="7"/>
  <c r="L67" i="7"/>
  <c r="L57" i="7"/>
  <c r="L11" i="7"/>
  <c r="L36" i="7"/>
  <c r="L21" i="7"/>
  <c r="Z84" i="5"/>
  <c r="S6" i="14" s="1"/>
  <c r="BK85" i="5"/>
  <c r="AP92" i="5"/>
  <c r="AG92" i="5"/>
  <c r="K57" i="5"/>
  <c r="L57" i="5" s="1"/>
  <c r="M57" i="5" s="1"/>
  <c r="N57" i="5" s="1"/>
  <c r="O57" i="5" s="1"/>
  <c r="P57" i="5" s="1"/>
  <c r="Q57" i="5" s="1"/>
  <c r="R57" i="5" s="1"/>
  <c r="S57" i="5" s="1"/>
  <c r="T57" i="5" s="1"/>
  <c r="U57" i="5" s="1"/>
  <c r="V57" i="5" s="1"/>
  <c r="W57" i="5" s="1"/>
  <c r="X57" i="5" s="1"/>
  <c r="Y57" i="5" s="1"/>
  <c r="Z57" i="5" s="1"/>
  <c r="AA57" i="5" s="1"/>
  <c r="AB57" i="5" s="1"/>
  <c r="AC57" i="5" s="1"/>
  <c r="AD57" i="5" s="1"/>
  <c r="AE57" i="5" s="1"/>
  <c r="AF57" i="5" s="1"/>
  <c r="AG57" i="5" s="1"/>
  <c r="AH57" i="5" s="1"/>
  <c r="AI57" i="5" s="1"/>
  <c r="AJ57" i="5" s="1"/>
  <c r="AK57" i="5" s="1"/>
  <c r="AL57" i="5" s="1"/>
  <c r="AM57" i="5" s="1"/>
  <c r="AN57" i="5" s="1"/>
  <c r="AO57" i="5" s="1"/>
  <c r="AP57" i="5" s="1"/>
  <c r="AQ57" i="5" s="1"/>
  <c r="AR57" i="5" s="1"/>
  <c r="AS57" i="5" s="1"/>
  <c r="AT57" i="5" s="1"/>
  <c r="AU57" i="5" s="1"/>
  <c r="AV57" i="5" s="1"/>
  <c r="AW57" i="5" s="1"/>
  <c r="AX57" i="5" s="1"/>
  <c r="AY57" i="5" s="1"/>
  <c r="AZ57" i="5" s="1"/>
  <c r="BA57" i="5" s="1"/>
  <c r="BB57" i="5" s="1"/>
  <c r="BC57" i="5" s="1"/>
  <c r="BD57" i="5" s="1"/>
  <c r="BE57" i="5" s="1"/>
  <c r="BF57" i="5" s="1"/>
  <c r="BG57" i="5" s="1"/>
  <c r="BH57" i="5" s="1"/>
  <c r="BI57" i="5" s="1"/>
  <c r="BJ57" i="5" s="1"/>
  <c r="BK57" i="5" s="1"/>
  <c r="BL57" i="5" s="1"/>
  <c r="BM57" i="5" s="1"/>
  <c r="BN57" i="5" s="1"/>
  <c r="BO57" i="5" s="1"/>
  <c r="BP57" i="5" s="1"/>
  <c r="BQ57" i="5" s="1"/>
  <c r="BR57" i="5" s="1"/>
  <c r="BS57" i="5" s="1"/>
  <c r="BT57" i="5" s="1"/>
  <c r="BU57" i="5" s="1"/>
  <c r="BV57" i="5" s="1"/>
  <c r="BW57" i="5" s="1"/>
  <c r="BX57" i="5" s="1"/>
  <c r="BY57" i="5" s="1"/>
  <c r="BZ57" i="5" s="1"/>
  <c r="CA57" i="5" s="1"/>
  <c r="CB57" i="5" s="1"/>
  <c r="CC57" i="5" s="1"/>
  <c r="K64" i="5"/>
  <c r="L64" i="5" s="1"/>
  <c r="M64" i="5" s="1"/>
  <c r="N64" i="5" s="1"/>
  <c r="O64" i="5" s="1"/>
  <c r="P64" i="5" s="1"/>
  <c r="Q64" i="5" s="1"/>
  <c r="R64" i="5" s="1"/>
  <c r="S64" i="5" s="1"/>
  <c r="T64" i="5" s="1"/>
  <c r="U64" i="5" s="1"/>
  <c r="V64" i="5" s="1"/>
  <c r="W64" i="5" s="1"/>
  <c r="X64" i="5" s="1"/>
  <c r="Y64" i="5" s="1"/>
  <c r="Z64" i="5" s="1"/>
  <c r="AA64" i="5" s="1"/>
  <c r="AB64" i="5" s="1"/>
  <c r="AC64" i="5" s="1"/>
  <c r="AD64" i="5" s="1"/>
  <c r="AE64" i="5" s="1"/>
  <c r="AF64" i="5" s="1"/>
  <c r="AG64" i="5" s="1"/>
  <c r="AH64" i="5" s="1"/>
  <c r="AI64" i="5" s="1"/>
  <c r="AJ64" i="5" s="1"/>
  <c r="AK64" i="5" s="1"/>
  <c r="AL64" i="5" s="1"/>
  <c r="AM64" i="5" s="1"/>
  <c r="AN64" i="5" s="1"/>
  <c r="AO64" i="5" s="1"/>
  <c r="AP64" i="5" s="1"/>
  <c r="AQ64" i="5" s="1"/>
  <c r="AR64" i="5" s="1"/>
  <c r="AS64" i="5" s="1"/>
  <c r="AT64" i="5" s="1"/>
  <c r="AU64" i="5" s="1"/>
  <c r="AV64" i="5" s="1"/>
  <c r="AW64" i="5" s="1"/>
  <c r="AX64" i="5" s="1"/>
  <c r="AY64" i="5" s="1"/>
  <c r="AZ64" i="5" s="1"/>
  <c r="BA64" i="5" s="1"/>
  <c r="BB64" i="5" s="1"/>
  <c r="BC64" i="5" s="1"/>
  <c r="BD64" i="5" s="1"/>
  <c r="BE64" i="5" s="1"/>
  <c r="BF64" i="5" s="1"/>
  <c r="BG64" i="5" s="1"/>
  <c r="BH64" i="5" s="1"/>
  <c r="BI64" i="5" s="1"/>
  <c r="BJ64" i="5" s="1"/>
  <c r="BK64" i="5" s="1"/>
  <c r="BL64" i="5" s="1"/>
  <c r="BM64" i="5" s="1"/>
  <c r="BN64" i="5" s="1"/>
  <c r="BO64" i="5" s="1"/>
  <c r="BP64" i="5" s="1"/>
  <c r="BQ64" i="5" s="1"/>
  <c r="BR64" i="5" s="1"/>
  <c r="BS64" i="5" s="1"/>
  <c r="BT64" i="5" s="1"/>
  <c r="BU64" i="5" s="1"/>
  <c r="BV64" i="5" s="1"/>
  <c r="BW64" i="5" s="1"/>
  <c r="BX64" i="5" s="1"/>
  <c r="BY64" i="5" s="1"/>
  <c r="BZ64" i="5" s="1"/>
  <c r="CA64" i="5" s="1"/>
  <c r="CB64" i="5" s="1"/>
  <c r="CC64" i="5" s="1"/>
  <c r="BX85" i="5"/>
  <c r="AC11" i="7"/>
  <c r="AC42" i="7"/>
  <c r="AC51" i="7"/>
  <c r="AC22" i="7"/>
  <c r="AC67" i="7"/>
  <c r="AC37" i="7"/>
  <c r="AC52" i="7"/>
  <c r="AC5" i="7"/>
  <c r="AC6" i="7"/>
  <c r="AC4" i="9"/>
  <c r="AC21" i="7"/>
  <c r="AC57" i="7"/>
  <c r="AC72" i="7"/>
  <c r="AC66" i="7"/>
  <c r="AC27" i="7"/>
  <c r="AC36" i="7"/>
  <c r="S5" i="7"/>
  <c r="S27" i="7"/>
  <c r="S4" i="9"/>
  <c r="S37" i="7"/>
  <c r="S42" i="7"/>
  <c r="S22" i="7"/>
  <c r="S21" i="7"/>
  <c r="S57" i="7"/>
  <c r="S36" i="7"/>
  <c r="S66" i="7"/>
  <c r="S51" i="7"/>
  <c r="S11" i="7"/>
  <c r="S6" i="7"/>
  <c r="S72" i="7"/>
  <c r="S67" i="7"/>
  <c r="S52" i="7"/>
  <c r="AO27" i="7"/>
  <c r="AO22" i="7"/>
  <c r="AO42" i="7"/>
  <c r="AO52" i="7"/>
  <c r="AO72" i="7"/>
  <c r="AO5" i="7"/>
  <c r="AO6" i="7"/>
  <c r="AO51" i="7"/>
  <c r="AO4" i="9"/>
  <c r="AO11" i="7"/>
  <c r="AO37" i="7"/>
  <c r="AO21" i="7"/>
  <c r="AO66" i="7"/>
  <c r="AO67" i="7"/>
  <c r="AO36" i="7"/>
  <c r="AO57" i="7"/>
  <c r="B53" i="18"/>
  <c r="AI22" i="7"/>
  <c r="AI21" i="7"/>
  <c r="AI51" i="7"/>
  <c r="AI36" i="7"/>
  <c r="AI6" i="7"/>
  <c r="AI66" i="7"/>
  <c r="AI42" i="7"/>
  <c r="AI57" i="7"/>
  <c r="AI52" i="7"/>
  <c r="AI11" i="7"/>
  <c r="AI67" i="7"/>
  <c r="AI4" i="9"/>
  <c r="AI5" i="7"/>
  <c r="AI72" i="7"/>
  <c r="AI37" i="7"/>
  <c r="AI27" i="7"/>
  <c r="AZ67" i="7"/>
  <c r="AZ36" i="7"/>
  <c r="AZ72" i="7"/>
  <c r="AZ37" i="7"/>
  <c r="AZ22" i="7"/>
  <c r="AZ4" i="9"/>
  <c r="AZ11" i="7"/>
  <c r="AZ52" i="7"/>
  <c r="AZ27" i="7"/>
  <c r="AZ5" i="7"/>
  <c r="AZ66" i="7"/>
  <c r="AZ57" i="7"/>
  <c r="AZ42" i="7"/>
  <c r="AZ6" i="7"/>
  <c r="AZ51" i="7"/>
  <c r="AZ21" i="7"/>
  <c r="BB92" i="5"/>
  <c r="AB85" i="5"/>
  <c r="BP18" i="7"/>
  <c r="BP2" i="7" s="1"/>
  <c r="E84" i="5"/>
  <c r="K62" i="5"/>
  <c r="L62" i="5" s="1"/>
  <c r="M62" i="5" s="1"/>
  <c r="N62" i="5" s="1"/>
  <c r="O62" i="5" s="1"/>
  <c r="P62" i="5" s="1"/>
  <c r="Q62" i="5" s="1"/>
  <c r="R62" i="5" s="1"/>
  <c r="S62" i="5" s="1"/>
  <c r="T62" i="5" s="1"/>
  <c r="U62" i="5" s="1"/>
  <c r="V62" i="5" s="1"/>
  <c r="W62" i="5" s="1"/>
  <c r="X62" i="5" s="1"/>
  <c r="Y62" i="5" s="1"/>
  <c r="Z62" i="5" s="1"/>
  <c r="AA62" i="5" s="1"/>
  <c r="AB62" i="5" s="1"/>
  <c r="AC62" i="5" s="1"/>
  <c r="AD62" i="5" s="1"/>
  <c r="AE62" i="5" s="1"/>
  <c r="AF62" i="5" s="1"/>
  <c r="AG62" i="5" s="1"/>
  <c r="AH62" i="5" s="1"/>
  <c r="AI62" i="5" s="1"/>
  <c r="AJ62" i="5" s="1"/>
  <c r="AK62" i="5" s="1"/>
  <c r="AL62" i="5" s="1"/>
  <c r="AM62" i="5" s="1"/>
  <c r="AN62" i="5" s="1"/>
  <c r="AO62" i="5" s="1"/>
  <c r="AP62" i="5" s="1"/>
  <c r="AQ62" i="5" s="1"/>
  <c r="AR62" i="5" s="1"/>
  <c r="AS62" i="5" s="1"/>
  <c r="AT62" i="5" s="1"/>
  <c r="AU62" i="5" s="1"/>
  <c r="AV62" i="5" s="1"/>
  <c r="AW62" i="5" s="1"/>
  <c r="AX62" i="5" s="1"/>
  <c r="AY62" i="5" s="1"/>
  <c r="AZ62" i="5" s="1"/>
  <c r="BA62" i="5" s="1"/>
  <c r="BB62" i="5" s="1"/>
  <c r="BC62" i="5" s="1"/>
  <c r="BD62" i="5" s="1"/>
  <c r="BE62" i="5" s="1"/>
  <c r="BF62" i="5" s="1"/>
  <c r="BG62" i="5" s="1"/>
  <c r="BH62" i="5" s="1"/>
  <c r="BI62" i="5" s="1"/>
  <c r="BJ62" i="5" s="1"/>
  <c r="BK62" i="5" s="1"/>
  <c r="BL62" i="5" s="1"/>
  <c r="BM62" i="5" s="1"/>
  <c r="BN62" i="5" s="1"/>
  <c r="BO62" i="5" s="1"/>
  <c r="BP62" i="5" s="1"/>
  <c r="BQ62" i="5" s="1"/>
  <c r="BR62" i="5" s="1"/>
  <c r="BS62" i="5" s="1"/>
  <c r="BT62" i="5" s="1"/>
  <c r="BU62" i="5" s="1"/>
  <c r="BV62" i="5" s="1"/>
  <c r="BW62" i="5" s="1"/>
  <c r="BX62" i="5" s="1"/>
  <c r="BY62" i="5" s="1"/>
  <c r="BZ62" i="5" s="1"/>
  <c r="CA62" i="5" s="1"/>
  <c r="CB62" i="5" s="1"/>
  <c r="CC62" i="5" s="1"/>
  <c r="K55" i="5"/>
  <c r="L55" i="5" s="1"/>
  <c r="M55" i="5" s="1"/>
  <c r="N55" i="5" s="1"/>
  <c r="O55" i="5" s="1"/>
  <c r="P55" i="5" s="1"/>
  <c r="Q55" i="5" s="1"/>
  <c r="R55" i="5" s="1"/>
  <c r="S55" i="5" s="1"/>
  <c r="T55" i="5" s="1"/>
  <c r="U55" i="5" s="1"/>
  <c r="V55" i="5" s="1"/>
  <c r="W55" i="5" s="1"/>
  <c r="X55" i="5" s="1"/>
  <c r="Y55" i="5" s="1"/>
  <c r="Z55" i="5" s="1"/>
  <c r="AA55" i="5" s="1"/>
  <c r="AB55" i="5" s="1"/>
  <c r="AC55" i="5" s="1"/>
  <c r="AD55" i="5" s="1"/>
  <c r="AE55" i="5" s="1"/>
  <c r="AF55" i="5" s="1"/>
  <c r="AG55" i="5" s="1"/>
  <c r="AH55" i="5" s="1"/>
  <c r="AI55" i="5" s="1"/>
  <c r="AJ55" i="5" s="1"/>
  <c r="AK55" i="5" s="1"/>
  <c r="AL55" i="5" s="1"/>
  <c r="AM55" i="5" s="1"/>
  <c r="AN55" i="5" s="1"/>
  <c r="AO55" i="5" s="1"/>
  <c r="AP55" i="5" s="1"/>
  <c r="AQ55" i="5" s="1"/>
  <c r="AR55" i="5" s="1"/>
  <c r="AS55" i="5" s="1"/>
  <c r="AT55" i="5" s="1"/>
  <c r="AU55" i="5" s="1"/>
  <c r="AV55" i="5" s="1"/>
  <c r="AW55" i="5" s="1"/>
  <c r="AX55" i="5" s="1"/>
  <c r="AY55" i="5" s="1"/>
  <c r="AZ55" i="5" s="1"/>
  <c r="BA55" i="5" s="1"/>
  <c r="BB55" i="5" s="1"/>
  <c r="BC55" i="5" s="1"/>
  <c r="BD55" i="5" s="1"/>
  <c r="BE55" i="5" s="1"/>
  <c r="BF55" i="5" s="1"/>
  <c r="BG55" i="5" s="1"/>
  <c r="BH55" i="5" s="1"/>
  <c r="BI55" i="5" s="1"/>
  <c r="BJ55" i="5" s="1"/>
  <c r="BK55" i="5" s="1"/>
  <c r="BL55" i="5" s="1"/>
  <c r="BM55" i="5" s="1"/>
  <c r="BN55" i="5" s="1"/>
  <c r="BO55" i="5" s="1"/>
  <c r="BP55" i="5" s="1"/>
  <c r="BQ55" i="5" s="1"/>
  <c r="BR55" i="5" s="1"/>
  <c r="BS55" i="5" s="1"/>
  <c r="BT55" i="5" s="1"/>
  <c r="BU55" i="5" s="1"/>
  <c r="BV55" i="5" s="1"/>
  <c r="BW55" i="5" s="1"/>
  <c r="BX55" i="5" s="1"/>
  <c r="BY55" i="5" s="1"/>
  <c r="BZ55" i="5" s="1"/>
  <c r="CA55" i="5" s="1"/>
  <c r="CB55" i="5" s="1"/>
  <c r="CC55" i="5" s="1"/>
  <c r="AY85" i="5"/>
  <c r="BK92" i="5"/>
  <c r="H65" i="18"/>
  <c r="H61" i="18"/>
  <c r="AJ37" i="7"/>
  <c r="AJ5" i="7"/>
  <c r="AJ4" i="9"/>
  <c r="AJ6" i="7"/>
  <c r="AJ51" i="7"/>
  <c r="AJ36" i="7"/>
  <c r="AJ57" i="7"/>
  <c r="AJ72" i="7"/>
  <c r="AJ21" i="7"/>
  <c r="AJ42" i="7"/>
  <c r="AJ52" i="7"/>
  <c r="AJ67" i="7"/>
  <c r="AJ11" i="7"/>
  <c r="AJ66" i="7"/>
  <c r="AJ22" i="7"/>
  <c r="AJ27" i="7"/>
  <c r="BD92" i="5"/>
  <c r="K92" i="5"/>
  <c r="P85" i="5"/>
  <c r="AP85" i="5"/>
  <c r="AA92" i="5"/>
  <c r="AH92" i="5"/>
  <c r="AH84" i="5" s="1"/>
  <c r="AA6" i="14" s="1"/>
  <c r="O39" i="5"/>
  <c r="P39" i="5" s="1"/>
  <c r="Q39" i="5" s="1"/>
  <c r="R39" i="5" s="1"/>
  <c r="S39" i="5" s="1"/>
  <c r="T39" i="5" s="1"/>
  <c r="U39" i="5" s="1"/>
  <c r="V39" i="5" s="1"/>
  <c r="W39" i="5" s="1"/>
  <c r="X39" i="5" s="1"/>
  <c r="Y39" i="5" s="1"/>
  <c r="Z39" i="5" s="1"/>
  <c r="AA39" i="5" s="1"/>
  <c r="AB39" i="5" s="1"/>
  <c r="AC39" i="5" s="1"/>
  <c r="AD39" i="5" s="1"/>
  <c r="AE39" i="5" s="1"/>
  <c r="AF39" i="5" s="1"/>
  <c r="AG39" i="5" s="1"/>
  <c r="AH39" i="5" s="1"/>
  <c r="AI39" i="5" s="1"/>
  <c r="AJ39" i="5" s="1"/>
  <c r="AK39" i="5" s="1"/>
  <c r="AL39" i="5" s="1"/>
  <c r="AM39" i="5" s="1"/>
  <c r="AN39" i="5" s="1"/>
  <c r="AO39" i="5" s="1"/>
  <c r="AP39" i="5" s="1"/>
  <c r="AQ39" i="5" s="1"/>
  <c r="AR39" i="5" s="1"/>
  <c r="AS39" i="5" s="1"/>
  <c r="AT39" i="5" s="1"/>
  <c r="AU39" i="5" s="1"/>
  <c r="AV39" i="5" s="1"/>
  <c r="AW39" i="5" s="1"/>
  <c r="AX39" i="5" s="1"/>
  <c r="AY39" i="5" s="1"/>
  <c r="AZ39" i="5" s="1"/>
  <c r="BA39" i="5" s="1"/>
  <c r="BB39" i="5" s="1"/>
  <c r="BC39" i="5" s="1"/>
  <c r="BD39" i="5" s="1"/>
  <c r="BE39" i="5" s="1"/>
  <c r="BF39" i="5" s="1"/>
  <c r="BG39" i="5" s="1"/>
  <c r="BH39" i="5" s="1"/>
  <c r="BI39" i="5" s="1"/>
  <c r="BJ39" i="5" s="1"/>
  <c r="BK39" i="5" s="1"/>
  <c r="BL39" i="5" s="1"/>
  <c r="BM39" i="5" s="1"/>
  <c r="BN39" i="5" s="1"/>
  <c r="BO39" i="5" s="1"/>
  <c r="BP39" i="5" s="1"/>
  <c r="BQ39" i="5" s="1"/>
  <c r="BR39" i="5" s="1"/>
  <c r="BS39" i="5" s="1"/>
  <c r="BT39" i="5" s="1"/>
  <c r="BU39" i="5" s="1"/>
  <c r="BV39" i="5" s="1"/>
  <c r="BW39" i="5" s="1"/>
  <c r="BX39" i="5" s="1"/>
  <c r="BY39" i="5" s="1"/>
  <c r="BZ39" i="5" s="1"/>
  <c r="CA39" i="5" s="1"/>
  <c r="CB39" i="5" s="1"/>
  <c r="CC39" i="5" s="1"/>
  <c r="AW85" i="5"/>
  <c r="AW84" i="5" s="1"/>
  <c r="AP6" i="14" s="1"/>
  <c r="BX92" i="5"/>
  <c r="BB21" i="7"/>
  <c r="BB6" i="7"/>
  <c r="BB66" i="7"/>
  <c r="BB51" i="7"/>
  <c r="BB11" i="7"/>
  <c r="BB67" i="7"/>
  <c r="BB36" i="7"/>
  <c r="BB27" i="7"/>
  <c r="BB37" i="7"/>
  <c r="BB5" i="7"/>
  <c r="BB4" i="9"/>
  <c r="BB57" i="7"/>
  <c r="BB72" i="7"/>
  <c r="BB22" i="7"/>
  <c r="BB52" i="7"/>
  <c r="BB42" i="7"/>
  <c r="BP92" i="5"/>
  <c r="AL85" i="5"/>
  <c r="AZ92" i="5"/>
  <c r="B61" i="18"/>
  <c r="B65" i="18"/>
  <c r="BY92" i="5"/>
  <c r="BY84" i="5" s="1"/>
  <c r="BR6" i="14" s="1"/>
  <c r="J14" i="18"/>
  <c r="K26" i="5"/>
  <c r="AS2" i="7"/>
  <c r="J12" i="18"/>
  <c r="J45" i="5"/>
  <c r="J10" i="6" s="1"/>
  <c r="K24" i="5"/>
  <c r="J13" i="18"/>
  <c r="K25" i="5"/>
  <c r="AC84" i="5" l="1"/>
  <c r="V6" i="14" s="1"/>
  <c r="AL84" i="5"/>
  <c r="AE6" i="14" s="1"/>
  <c r="J84" i="5"/>
  <c r="C6" i="14" s="1"/>
  <c r="L84" i="5"/>
  <c r="E6" i="14" s="1"/>
  <c r="BR18" i="7"/>
  <c r="BR2" i="7" s="1"/>
  <c r="BS18" i="7"/>
  <c r="BC18" i="7"/>
  <c r="BN3" i="7"/>
  <c r="K3" i="7"/>
  <c r="K2" i="7" s="1"/>
  <c r="AO84" i="5"/>
  <c r="AH6" i="14" s="1"/>
  <c r="BB18" i="7"/>
  <c r="AI3" i="7"/>
  <c r="AI18" i="7"/>
  <c r="BD3" i="7"/>
  <c r="D35" i="5"/>
  <c r="BO3" i="7"/>
  <c r="BO2" i="7" s="1"/>
  <c r="BI18" i="7"/>
  <c r="W18" i="7"/>
  <c r="BY18" i="7"/>
  <c r="BY2" i="7" s="1"/>
  <c r="BM18" i="7"/>
  <c r="BM2" i="7" s="1"/>
  <c r="AV3" i="7"/>
  <c r="AN3" i="7"/>
  <c r="W84" i="5"/>
  <c r="P6" i="14" s="1"/>
  <c r="BB3" i="7"/>
  <c r="BD18" i="7"/>
  <c r="AZ18" i="7"/>
  <c r="L18" i="7"/>
  <c r="AG18" i="7"/>
  <c r="R18" i="7"/>
  <c r="R84" i="5"/>
  <c r="K6" i="14" s="1"/>
  <c r="AR3" i="7"/>
  <c r="AR2" i="7" s="1"/>
  <c r="AB3" i="7"/>
  <c r="AB2" i="7" s="1"/>
  <c r="K18" i="7"/>
  <c r="BO18" i="7"/>
  <c r="AR18" i="7"/>
  <c r="BU18" i="7"/>
  <c r="BU2" i="7" s="1"/>
  <c r="AW3" i="7"/>
  <c r="BT84" i="5"/>
  <c r="BM6" i="14" s="1"/>
  <c r="AL18" i="7"/>
  <c r="AL2" i="7" s="1"/>
  <c r="AG84" i="5"/>
  <c r="Z6" i="14" s="1"/>
  <c r="AF84" i="5"/>
  <c r="Y6" i="14" s="1"/>
  <c r="AB84" i="5"/>
  <c r="U6" i="14" s="1"/>
  <c r="X84" i="5"/>
  <c r="Q6" i="14" s="1"/>
  <c r="P84" i="5"/>
  <c r="I6" i="14" s="1"/>
  <c r="AY84" i="5"/>
  <c r="AR6" i="14" s="1"/>
  <c r="BG84" i="5"/>
  <c r="AZ6" i="14" s="1"/>
  <c r="AT84" i="5"/>
  <c r="AM6" i="14" s="1"/>
  <c r="BM84" i="5"/>
  <c r="BF6" i="14" s="1"/>
  <c r="CC84" i="5"/>
  <c r="BV6" i="14" s="1"/>
  <c r="BW6" i="14" s="1"/>
  <c r="BX6" i="14" s="1"/>
  <c r="BY6" i="14" s="1"/>
  <c r="BB84" i="5"/>
  <c r="AU6" i="14" s="1"/>
  <c r="BZ84" i="5"/>
  <c r="BS6" i="14" s="1"/>
  <c r="BR84" i="5"/>
  <c r="BK6" i="14" s="1"/>
  <c r="AX84" i="5"/>
  <c r="AQ6" i="14" s="1"/>
  <c r="F36" i="5"/>
  <c r="E35" i="5"/>
  <c r="F29" i="5"/>
  <c r="E28" i="5"/>
  <c r="BZ3" i="7"/>
  <c r="BL84" i="5"/>
  <c r="BE6" i="14" s="1"/>
  <c r="M18" i="7"/>
  <c r="BL3" i="7"/>
  <c r="BD2" i="7"/>
  <c r="BV84" i="5"/>
  <c r="BO6" i="14" s="1"/>
  <c r="J2" i="7"/>
  <c r="BB2" i="7"/>
  <c r="F67" i="5"/>
  <c r="E66" i="5"/>
  <c r="BS3" i="7"/>
  <c r="AT3" i="7"/>
  <c r="BN18" i="7"/>
  <c r="BN2" i="7" s="1"/>
  <c r="N84" i="5"/>
  <c r="G6" i="14" s="1"/>
  <c r="H15" i="3"/>
  <c r="CA84" i="5"/>
  <c r="BT6" i="14" s="1"/>
  <c r="AM18" i="7"/>
  <c r="B15" i="14"/>
  <c r="B114" i="11"/>
  <c r="AZ84" i="5"/>
  <c r="AS6" i="14" s="1"/>
  <c r="E15" i="3"/>
  <c r="D11" i="18"/>
  <c r="E23" i="5"/>
  <c r="D44" i="5"/>
  <c r="D9" i="6" s="1"/>
  <c r="AP84" i="5"/>
  <c r="AI6" i="14" s="1"/>
  <c r="AJ18" i="7"/>
  <c r="AE3" i="7"/>
  <c r="AO18" i="7"/>
  <c r="S18" i="7"/>
  <c r="BQ84" i="5"/>
  <c r="BJ6" i="14" s="1"/>
  <c r="BW84" i="5"/>
  <c r="BP6" i="14" s="1"/>
  <c r="F15" i="3"/>
  <c r="BA3" i="7"/>
  <c r="BV18" i="7"/>
  <c r="E33" i="5"/>
  <c r="D47" i="5"/>
  <c r="D12" i="6" s="1"/>
  <c r="AM3" i="7"/>
  <c r="BE2" i="7"/>
  <c r="T3" i="7"/>
  <c r="T2" i="7" s="1"/>
  <c r="D46" i="5"/>
  <c r="D11" i="6" s="1"/>
  <c r="E32" i="5"/>
  <c r="O3" i="7"/>
  <c r="O2" i="7" s="1"/>
  <c r="CB3" i="7"/>
  <c r="AV18" i="7"/>
  <c r="AV2" i="7" s="1"/>
  <c r="BW3" i="7"/>
  <c r="D21" i="5"/>
  <c r="D20" i="5" s="1"/>
  <c r="BP84" i="5"/>
  <c r="BI6" i="14" s="1"/>
  <c r="AC18" i="7"/>
  <c r="BX84" i="5"/>
  <c r="BQ6" i="14" s="1"/>
  <c r="AP18" i="7"/>
  <c r="AP3" i="7"/>
  <c r="AQ3" i="7"/>
  <c r="AQ84" i="5"/>
  <c r="AJ6" i="14" s="1"/>
  <c r="BG3" i="7"/>
  <c r="X18" i="7"/>
  <c r="X2" i="7" s="1"/>
  <c r="Y18" i="7"/>
  <c r="Y2" i="7" s="1"/>
  <c r="AU18" i="7"/>
  <c r="CB18" i="7"/>
  <c r="AN18" i="7"/>
  <c r="AN2" i="7" s="1"/>
  <c r="BW18" i="7"/>
  <c r="D9" i="18"/>
  <c r="K84" i="5"/>
  <c r="D6" i="14" s="1"/>
  <c r="BJ3" i="7"/>
  <c r="AZ3" i="7"/>
  <c r="AZ2" i="7" s="1"/>
  <c r="U3" i="7"/>
  <c r="AQ18" i="7"/>
  <c r="AK18" i="7"/>
  <c r="AK2" i="7" s="1"/>
  <c r="BA18" i="7"/>
  <c r="AC3" i="7"/>
  <c r="U18" i="7"/>
  <c r="AG3" i="7"/>
  <c r="AG2" i="7" s="1"/>
  <c r="E59" i="5"/>
  <c r="F60" i="5"/>
  <c r="BJ18" i="7"/>
  <c r="R3" i="7"/>
  <c r="R2" i="7" s="1"/>
  <c r="T18" i="7"/>
  <c r="Q2" i="7"/>
  <c r="BV3" i="7"/>
  <c r="P18" i="7"/>
  <c r="P2" i="7" s="1"/>
  <c r="BZ18" i="7"/>
  <c r="AW18" i="7"/>
  <c r="F22" i="5"/>
  <c r="E10" i="18"/>
  <c r="E43" i="5"/>
  <c r="BD84" i="5"/>
  <c r="AW6" i="14" s="1"/>
  <c r="M3" i="7"/>
  <c r="BG18" i="7"/>
  <c r="V84" i="5"/>
  <c r="O6" i="14" s="1"/>
  <c r="AU3" i="7"/>
  <c r="BI3" i="7"/>
  <c r="BI2" i="7" s="1"/>
  <c r="BN84" i="5"/>
  <c r="BG6" i="14" s="1"/>
  <c r="BQ18" i="7"/>
  <c r="BQ2" i="7" s="1"/>
  <c r="AW2" i="7"/>
  <c r="D42" i="5"/>
  <c r="D8" i="6"/>
  <c r="BL18" i="7"/>
  <c r="G15" i="3"/>
  <c r="AN84" i="5"/>
  <c r="AG6" i="14" s="1"/>
  <c r="M84" i="5"/>
  <c r="F6" i="14" s="1"/>
  <c r="BI84" i="5"/>
  <c r="BB6" i="14" s="1"/>
  <c r="AT18" i="7"/>
  <c r="AE18" i="7"/>
  <c r="F53" i="5"/>
  <c r="E52" i="5"/>
  <c r="BC3" i="7"/>
  <c r="BC2" i="7" s="1"/>
  <c r="BU84" i="5"/>
  <c r="BN6" i="14" s="1"/>
  <c r="W3" i="7"/>
  <c r="W2" i="7" s="1"/>
  <c r="BA84" i="5"/>
  <c r="AT6" i="14" s="1"/>
  <c r="AJ3" i="7"/>
  <c r="AJ2" i="7" s="1"/>
  <c r="AO3" i="7"/>
  <c r="AO2" i="7" s="1"/>
  <c r="S3" i="7"/>
  <c r="S2" i="7" s="1"/>
  <c r="BK84" i="5"/>
  <c r="BD6" i="14" s="1"/>
  <c r="L3" i="7"/>
  <c r="L2" i="7" s="1"/>
  <c r="K15" i="3"/>
  <c r="D51" i="5"/>
  <c r="V2" i="7"/>
  <c r="N2" i="7"/>
  <c r="BK2" i="7"/>
  <c r="AA84" i="5"/>
  <c r="T6" i="14" s="1"/>
  <c r="BF2" i="7"/>
  <c r="K12" i="18"/>
  <c r="K45" i="5"/>
  <c r="K10" i="6" s="1"/>
  <c r="L24" i="5"/>
  <c r="K14" i="18"/>
  <c r="L26" i="5"/>
  <c r="K13" i="18"/>
  <c r="L25" i="5"/>
  <c r="E51" i="5" l="1"/>
  <c r="AU2" i="7"/>
  <c r="BV2" i="7"/>
  <c r="BL2" i="7"/>
  <c r="AC2" i="7"/>
  <c r="AM2" i="7"/>
  <c r="U2" i="7"/>
  <c r="BA2" i="7"/>
  <c r="M2" i="7"/>
  <c r="E13" i="3" s="1"/>
  <c r="AQ2" i="7"/>
  <c r="G13" i="3" s="1"/>
  <c r="BS2" i="7"/>
  <c r="AP2" i="7"/>
  <c r="AI2" i="7"/>
  <c r="BW2" i="7"/>
  <c r="F33" i="5"/>
  <c r="E47" i="5"/>
  <c r="E12" i="6" s="1"/>
  <c r="BG2" i="7"/>
  <c r="CB2" i="7"/>
  <c r="D9" i="5"/>
  <c r="D8" i="5" s="1"/>
  <c r="D5" i="6" s="1"/>
  <c r="F59" i="5"/>
  <c r="G60" i="5"/>
  <c r="F32" i="5"/>
  <c r="E46" i="5"/>
  <c r="E11" i="6" s="1"/>
  <c r="E11" i="18"/>
  <c r="E44" i="5"/>
  <c r="E9" i="6" s="1"/>
  <c r="F23" i="5"/>
  <c r="G53" i="5"/>
  <c r="F52" i="5"/>
  <c r="E21" i="5"/>
  <c r="E20" i="5" s="1"/>
  <c r="E19" i="5" s="1"/>
  <c r="E12" i="14" s="1"/>
  <c r="E8" i="14" s="1"/>
  <c r="E110" i="11" s="1"/>
  <c r="J13" i="3"/>
  <c r="BZ2" i="7"/>
  <c r="BJ2" i="7"/>
  <c r="D14" i="5"/>
  <c r="C7" i="14"/>
  <c r="C5" i="14" s="1"/>
  <c r="C108" i="11" s="1"/>
  <c r="E9" i="18"/>
  <c r="F43" i="5"/>
  <c r="F10" i="18"/>
  <c r="G22" i="5"/>
  <c r="F21" i="5"/>
  <c r="AT2" i="7"/>
  <c r="H13" i="3" s="1"/>
  <c r="F66" i="5"/>
  <c r="G67" i="5"/>
  <c r="G29" i="5"/>
  <c r="F28" i="5"/>
  <c r="E8" i="6"/>
  <c r="AE2" i="7"/>
  <c r="F13" i="3" s="1"/>
  <c r="D19" i="5"/>
  <c r="F35" i="5"/>
  <c r="G36" i="5"/>
  <c r="E13" i="5"/>
  <c r="L13" i="18"/>
  <c r="M25" i="5"/>
  <c r="L12" i="18"/>
  <c r="L45" i="5"/>
  <c r="L10" i="6" s="1"/>
  <c r="M24" i="5"/>
  <c r="BZ6" i="14"/>
  <c r="L14" i="18"/>
  <c r="M26" i="5"/>
  <c r="K13" i="3" l="1"/>
  <c r="I13" i="3"/>
  <c r="E42" i="5"/>
  <c r="C14" i="14"/>
  <c r="D13" i="6"/>
  <c r="D12" i="14"/>
  <c r="D8" i="14" s="1"/>
  <c r="D110" i="11" s="1"/>
  <c r="D13" i="5"/>
  <c r="D12" i="5" s="1"/>
  <c r="D14" i="14"/>
  <c r="E13" i="6"/>
  <c r="G28" i="5"/>
  <c r="H29" i="5"/>
  <c r="F46" i="5"/>
  <c r="F11" i="6" s="1"/>
  <c r="G32" i="5"/>
  <c r="H60" i="5"/>
  <c r="G59" i="5"/>
  <c r="H36" i="5"/>
  <c r="G35" i="5"/>
  <c r="H67" i="5"/>
  <c r="G66" i="5"/>
  <c r="F20" i="5"/>
  <c r="F51" i="5"/>
  <c r="G21" i="5"/>
  <c r="G20" i="5" s="1"/>
  <c r="G10" i="18"/>
  <c r="G43" i="5"/>
  <c r="H22" i="5"/>
  <c r="G52" i="5"/>
  <c r="H53" i="5"/>
  <c r="D7" i="14"/>
  <c r="D5" i="14" s="1"/>
  <c r="D108" i="11" s="1"/>
  <c r="E14" i="5"/>
  <c r="E12" i="5" s="1"/>
  <c r="G23" i="5"/>
  <c r="F11" i="18"/>
  <c r="F9" i="18" s="1"/>
  <c r="F44" i="5"/>
  <c r="F9" i="6" s="1"/>
  <c r="E9" i="5"/>
  <c r="E8" i="5" s="1"/>
  <c r="E5" i="6" s="1"/>
  <c r="F8" i="6"/>
  <c r="G33" i="5"/>
  <c r="F47" i="5"/>
  <c r="F12" i="6" s="1"/>
  <c r="CA6" i="14"/>
  <c r="M13" i="18"/>
  <c r="N25" i="5"/>
  <c r="M14" i="18"/>
  <c r="N26" i="5"/>
  <c r="M12" i="18"/>
  <c r="N24" i="5"/>
  <c r="M45" i="5"/>
  <c r="M10" i="6" s="1"/>
  <c r="G51" i="5" l="1"/>
  <c r="G19" i="5"/>
  <c r="G13" i="5" s="1"/>
  <c r="G8" i="6"/>
  <c r="H59" i="5"/>
  <c r="I60" i="5"/>
  <c r="G46" i="5"/>
  <c r="G11" i="6" s="1"/>
  <c r="H32" i="5"/>
  <c r="F9" i="5"/>
  <c r="F8" i="5" s="1"/>
  <c r="F5" i="6" s="1"/>
  <c r="G11" i="18"/>
  <c r="G9" i="18" s="1"/>
  <c r="H23" i="5"/>
  <c r="H21" i="5" s="1"/>
  <c r="H20" i="5" s="1"/>
  <c r="G44" i="5"/>
  <c r="G9" i="6" s="1"/>
  <c r="F19" i="5"/>
  <c r="H66" i="5"/>
  <c r="I67" i="5"/>
  <c r="D13" i="14"/>
  <c r="D112" i="11"/>
  <c r="I29" i="5"/>
  <c r="H28" i="5"/>
  <c r="H33" i="5"/>
  <c r="G47" i="5"/>
  <c r="G12" i="6" s="1"/>
  <c r="H52" i="5"/>
  <c r="I53" i="5"/>
  <c r="I36" i="5"/>
  <c r="H35" i="5"/>
  <c r="F42" i="5"/>
  <c r="H10" i="18"/>
  <c r="H43" i="5"/>
  <c r="I22" i="5"/>
  <c r="C13" i="14"/>
  <c r="C112" i="11"/>
  <c r="G12" i="14"/>
  <c r="G8" i="14" s="1"/>
  <c r="G110" i="11" s="1"/>
  <c r="G13" i="6"/>
  <c r="N13" i="18"/>
  <c r="O25" i="5"/>
  <c r="CB6" i="14"/>
  <c r="N12" i="18"/>
  <c r="N45" i="5"/>
  <c r="N10" i="6" s="1"/>
  <c r="O24" i="5"/>
  <c r="N14" i="18"/>
  <c r="O26" i="5"/>
  <c r="C15" i="14" l="1"/>
  <c r="C114" i="11"/>
  <c r="I33" i="5"/>
  <c r="H47" i="5"/>
  <c r="H12" i="6" s="1"/>
  <c r="I10" i="18"/>
  <c r="J22" i="5"/>
  <c r="I43" i="5"/>
  <c r="I21" i="5"/>
  <c r="H42" i="5"/>
  <c r="H8" i="6"/>
  <c r="I59" i="5"/>
  <c r="J60" i="5"/>
  <c r="E7" i="14"/>
  <c r="E5" i="14" s="1"/>
  <c r="F14" i="5"/>
  <c r="J36" i="5"/>
  <c r="I35" i="5"/>
  <c r="C35" i="17" s="1"/>
  <c r="F13" i="5"/>
  <c r="F12" i="5" s="1"/>
  <c r="F13" i="6"/>
  <c r="F12" i="14"/>
  <c r="F8" i="14" s="1"/>
  <c r="F110" i="11" s="1"/>
  <c r="E14" i="14"/>
  <c r="G42" i="5"/>
  <c r="I52" i="5"/>
  <c r="J53" i="5"/>
  <c r="I32" i="5"/>
  <c r="H46" i="5"/>
  <c r="H11" i="6" s="1"/>
  <c r="J29" i="5"/>
  <c r="I28" i="5"/>
  <c r="D114" i="11"/>
  <c r="D15" i="14"/>
  <c r="I66" i="5"/>
  <c r="J67" i="5"/>
  <c r="G9" i="5"/>
  <c r="G8" i="5" s="1"/>
  <c r="G5" i="6" s="1"/>
  <c r="H51" i="5"/>
  <c r="H19" i="5" s="1"/>
  <c r="H11" i="18"/>
  <c r="H9" i="18" s="1"/>
  <c r="I23" i="5"/>
  <c r="H44" i="5"/>
  <c r="H9" i="6" s="1"/>
  <c r="F14" i="14"/>
  <c r="O12" i="18"/>
  <c r="O45" i="5"/>
  <c r="O10" i="6" s="1"/>
  <c r="P24" i="5"/>
  <c r="O13" i="18"/>
  <c r="P25" i="5"/>
  <c r="O14" i="18"/>
  <c r="P26" i="5"/>
  <c r="I51" i="5" l="1"/>
  <c r="C34" i="17"/>
  <c r="H13" i="5"/>
  <c r="H13" i="6"/>
  <c r="H12" i="14"/>
  <c r="H8" i="14" s="1"/>
  <c r="H110" i="11" s="1"/>
  <c r="G14" i="14"/>
  <c r="G7" i="14"/>
  <c r="G5" i="14" s="1"/>
  <c r="G108" i="11" s="1"/>
  <c r="H7" i="6"/>
  <c r="H14" i="5"/>
  <c r="H9" i="5"/>
  <c r="H8" i="5" s="1"/>
  <c r="H5" i="6" s="1"/>
  <c r="I20" i="5"/>
  <c r="I19" i="5" s="1"/>
  <c r="I12" i="14" s="1"/>
  <c r="I8" i="14" s="1"/>
  <c r="C33" i="17"/>
  <c r="E108" i="11"/>
  <c r="J52" i="5"/>
  <c r="K53" i="5"/>
  <c r="I8" i="6"/>
  <c r="I11" i="18"/>
  <c r="J23" i="5"/>
  <c r="I44" i="5"/>
  <c r="I9" i="6" s="1"/>
  <c r="I9" i="18"/>
  <c r="J33" i="5"/>
  <c r="I47" i="5"/>
  <c r="I12" i="6" s="1"/>
  <c r="J66" i="5"/>
  <c r="K67" i="5"/>
  <c r="F7" i="14"/>
  <c r="F5" i="14" s="1"/>
  <c r="G14" i="5"/>
  <c r="G12" i="5" s="1"/>
  <c r="F112" i="11"/>
  <c r="F13" i="14"/>
  <c r="F114" i="11" s="1"/>
  <c r="J28" i="5"/>
  <c r="K29" i="5"/>
  <c r="J35" i="5"/>
  <c r="K36" i="5"/>
  <c r="J10" i="18"/>
  <c r="K22" i="5"/>
  <c r="J43" i="5"/>
  <c r="I46" i="5"/>
  <c r="I11" i="6" s="1"/>
  <c r="J32" i="5"/>
  <c r="J59" i="5"/>
  <c r="K60" i="5"/>
  <c r="E13" i="14"/>
  <c r="E114" i="11" s="1"/>
  <c r="E112" i="11"/>
  <c r="P13" i="18"/>
  <c r="Q25" i="5"/>
  <c r="P14" i="18"/>
  <c r="Q26" i="5"/>
  <c r="P12" i="18"/>
  <c r="P45" i="5"/>
  <c r="P10" i="6" s="1"/>
  <c r="Q24" i="5"/>
  <c r="B23" i="14" l="1"/>
  <c r="H14" i="14"/>
  <c r="B25" i="14" s="1"/>
  <c r="I13" i="6"/>
  <c r="C32" i="17"/>
  <c r="L36" i="5"/>
  <c r="K35" i="5"/>
  <c r="K33" i="5"/>
  <c r="J47" i="5"/>
  <c r="J12" i="6" s="1"/>
  <c r="K28" i="5"/>
  <c r="L29" i="5"/>
  <c r="K59" i="5"/>
  <c r="L60" i="5"/>
  <c r="J11" i="18"/>
  <c r="J9" i="18" s="1"/>
  <c r="J44" i="5"/>
  <c r="J42" i="5" s="1"/>
  <c r="K23" i="5"/>
  <c r="K32" i="5"/>
  <c r="J46" i="5"/>
  <c r="J11" i="6" s="1"/>
  <c r="I9" i="5"/>
  <c r="I8" i="5" s="1"/>
  <c r="I5" i="6" s="1"/>
  <c r="I13" i="5"/>
  <c r="I42" i="5"/>
  <c r="C13" i="2"/>
  <c r="C12" i="2" s="1"/>
  <c r="J8" i="6"/>
  <c r="J16" i="7"/>
  <c r="F108" i="11"/>
  <c r="F15" i="14"/>
  <c r="G13" i="14"/>
  <c r="G112" i="11"/>
  <c r="K10" i="18"/>
  <c r="L22" i="5"/>
  <c r="K43" i="5"/>
  <c r="K21" i="5"/>
  <c r="L67" i="5"/>
  <c r="K66" i="5"/>
  <c r="K52" i="5"/>
  <c r="L53" i="5"/>
  <c r="J21" i="5"/>
  <c r="J20" i="5" s="1"/>
  <c r="J51" i="5"/>
  <c r="E15" i="14"/>
  <c r="H12" i="5"/>
  <c r="Q14" i="18"/>
  <c r="R26" i="5"/>
  <c r="C37" i="17"/>
  <c r="C38" i="17"/>
  <c r="C36" i="17"/>
  <c r="H112" i="11"/>
  <c r="I110" i="11"/>
  <c r="Q13" i="18"/>
  <c r="R25" i="5"/>
  <c r="Q12" i="18"/>
  <c r="R24" i="5"/>
  <c r="Q45" i="5"/>
  <c r="Q10" i="6" s="1"/>
  <c r="K20" i="5" l="1"/>
  <c r="J9" i="5"/>
  <c r="J8" i="5" s="1"/>
  <c r="J5" i="6" s="1"/>
  <c r="K51" i="5"/>
  <c r="K19" i="5" s="1"/>
  <c r="J31" i="7"/>
  <c r="J9" i="6"/>
  <c r="L66" i="5"/>
  <c r="M67" i="5"/>
  <c r="I7" i="14"/>
  <c r="I5" i="14" s="1"/>
  <c r="I108" i="11" s="1"/>
  <c r="J7" i="6"/>
  <c r="I6" i="6"/>
  <c r="J14" i="5"/>
  <c r="M60" i="5"/>
  <c r="L59" i="5"/>
  <c r="K16" i="7"/>
  <c r="K8" i="6"/>
  <c r="M29" i="5"/>
  <c r="L28" i="5"/>
  <c r="L43" i="5"/>
  <c r="L10" i="18"/>
  <c r="M22" i="5"/>
  <c r="I14" i="5"/>
  <c r="I12" i="5" s="1"/>
  <c r="H6" i="6"/>
  <c r="H7" i="14"/>
  <c r="H5" i="14" s="1"/>
  <c r="I7" i="6"/>
  <c r="L33" i="5"/>
  <c r="K47" i="5"/>
  <c r="K12" i="6" s="1"/>
  <c r="G15" i="14"/>
  <c r="G114" i="11"/>
  <c r="K9" i="18"/>
  <c r="J19" i="5"/>
  <c r="L32" i="5"/>
  <c r="K46" i="5"/>
  <c r="K11" i="6" s="1"/>
  <c r="M36" i="5"/>
  <c r="L35" i="5"/>
  <c r="L52" i="5"/>
  <c r="M53" i="5"/>
  <c r="K44" i="5"/>
  <c r="K11" i="18"/>
  <c r="L23" i="5"/>
  <c r="L21" i="5" s="1"/>
  <c r="C23" i="17"/>
  <c r="C9" i="17"/>
  <c r="R12" i="18"/>
  <c r="S24" i="5"/>
  <c r="R45" i="5"/>
  <c r="R10" i="6" s="1"/>
  <c r="C25" i="17"/>
  <c r="C81" i="17"/>
  <c r="B20" i="4" s="1"/>
  <c r="C11" i="17"/>
  <c r="R13" i="18"/>
  <c r="S25" i="5"/>
  <c r="C10" i="17"/>
  <c r="C24" i="17"/>
  <c r="R14" i="18"/>
  <c r="S26" i="5"/>
  <c r="L51" i="5" l="1"/>
  <c r="K12" i="14"/>
  <c r="K8" i="14" s="1"/>
  <c r="K110" i="11" s="1"/>
  <c r="K13" i="6"/>
  <c r="K13" i="5"/>
  <c r="J14" i="14"/>
  <c r="M32" i="5"/>
  <c r="L46" i="5"/>
  <c r="L11" i="6" s="1"/>
  <c r="N22" i="5"/>
  <c r="M21" i="5"/>
  <c r="M10" i="18"/>
  <c r="M43" i="5"/>
  <c r="M59" i="5"/>
  <c r="N60" i="5"/>
  <c r="B22" i="14"/>
  <c r="H108" i="11"/>
  <c r="H13" i="14"/>
  <c r="H15" i="14" s="1"/>
  <c r="L20" i="5"/>
  <c r="L19" i="5" s="1"/>
  <c r="L12" i="14" s="1"/>
  <c r="L8" i="14" s="1"/>
  <c r="L110" i="11" s="1"/>
  <c r="I14" i="14"/>
  <c r="J12" i="14"/>
  <c r="J8" i="14" s="1"/>
  <c r="J110" i="11" s="1"/>
  <c r="J13" i="6"/>
  <c r="J13" i="5"/>
  <c r="J12" i="5" s="1"/>
  <c r="L11" i="18"/>
  <c r="L9" i="18" s="1"/>
  <c r="M23" i="5"/>
  <c r="L44" i="5"/>
  <c r="N53" i="5"/>
  <c r="M52" i="5"/>
  <c r="N29" i="5"/>
  <c r="M28" i="5"/>
  <c r="N67" i="5"/>
  <c r="M66" i="5"/>
  <c r="L8" i="6"/>
  <c r="L16" i="7"/>
  <c r="K31" i="7"/>
  <c r="K9" i="6"/>
  <c r="M33" i="5"/>
  <c r="L47" i="5"/>
  <c r="L12" i="6" s="1"/>
  <c r="K9" i="5"/>
  <c r="K8" i="5" s="1"/>
  <c r="K5" i="6" s="1"/>
  <c r="K42" i="5"/>
  <c r="M35" i="5"/>
  <c r="N36" i="5"/>
  <c r="L13" i="5"/>
  <c r="S14" i="18"/>
  <c r="T26" i="5"/>
  <c r="S12" i="18"/>
  <c r="T24" i="5"/>
  <c r="S45" i="5"/>
  <c r="S10" i="6" s="1"/>
  <c r="S13" i="18"/>
  <c r="T25" i="5"/>
  <c r="C12" i="17"/>
  <c r="C6" i="18"/>
  <c r="C5" i="18"/>
  <c r="B21" i="4"/>
  <c r="B22" i="4" s="1"/>
  <c r="B23" i="4" s="1"/>
  <c r="B24" i="4" s="1"/>
  <c r="B25" i="4" s="1"/>
  <c r="C7" i="18"/>
  <c r="C8" i="18"/>
  <c r="C4" i="5"/>
  <c r="C4" i="18"/>
  <c r="D6" i="18"/>
  <c r="D7" i="18"/>
  <c r="D8" i="18"/>
  <c r="E7" i="18"/>
  <c r="E6" i="18"/>
  <c r="E8" i="18"/>
  <c r="F7" i="18"/>
  <c r="F8" i="18"/>
  <c r="F6" i="18"/>
  <c r="G7" i="18"/>
  <c r="G8" i="18"/>
  <c r="G6" i="18"/>
  <c r="H6" i="18"/>
  <c r="D5" i="18"/>
  <c r="D4" i="18"/>
  <c r="H7" i="18"/>
  <c r="H8" i="18"/>
  <c r="E4" i="18"/>
  <c r="I6" i="18"/>
  <c r="E5" i="18"/>
  <c r="D4" i="5"/>
  <c r="I7" i="18"/>
  <c r="I8" i="18"/>
  <c r="F5" i="18"/>
  <c r="E4" i="5"/>
  <c r="F4" i="18"/>
  <c r="G4" i="18"/>
  <c r="G5" i="18"/>
  <c r="F4" i="5"/>
  <c r="G4" i="5"/>
  <c r="H5" i="18"/>
  <c r="H4" i="18"/>
  <c r="I4" i="18"/>
  <c r="I5" i="18"/>
  <c r="H4" i="5"/>
  <c r="I4" i="5"/>
  <c r="C26" i="17"/>
  <c r="K14" i="14" l="1"/>
  <c r="K112" i="11" s="1"/>
  <c r="L13" i="6"/>
  <c r="L42" i="5"/>
  <c r="M16" i="7"/>
  <c r="M8" i="6"/>
  <c r="M9" i="18"/>
  <c r="O36" i="5"/>
  <c r="N35" i="5"/>
  <c r="K14" i="5"/>
  <c r="K12" i="5" s="1"/>
  <c r="J7" i="14"/>
  <c r="J5" i="14" s="1"/>
  <c r="J13" i="14" s="1"/>
  <c r="J114" i="11" s="1"/>
  <c r="J6" i="6"/>
  <c r="K7" i="6"/>
  <c r="O67" i="5"/>
  <c r="N66" i="5"/>
  <c r="M20" i="5"/>
  <c r="N10" i="18"/>
  <c r="O22" i="5"/>
  <c r="N43" i="5"/>
  <c r="O29" i="5"/>
  <c r="N28" i="5"/>
  <c r="I112" i="11"/>
  <c r="I13" i="14"/>
  <c r="N32" i="5"/>
  <c r="M46" i="5"/>
  <c r="M11" i="6" s="1"/>
  <c r="O53" i="5"/>
  <c r="N52" i="5"/>
  <c r="B24" i="14"/>
  <c r="B26" i="14" s="1"/>
  <c r="H114" i="11"/>
  <c r="J112" i="11"/>
  <c r="M47" i="5"/>
  <c r="M12" i="6" s="1"/>
  <c r="N33" i="5"/>
  <c r="M51" i="5"/>
  <c r="L9" i="5"/>
  <c r="L8" i="5" s="1"/>
  <c r="L5" i="6" s="1"/>
  <c r="L31" i="7"/>
  <c r="L9" i="6"/>
  <c r="M11" i="18"/>
  <c r="M44" i="5"/>
  <c r="N23" i="5"/>
  <c r="N21" i="5" s="1"/>
  <c r="N59" i="5"/>
  <c r="O60" i="5"/>
  <c r="H5" i="10"/>
  <c r="G4" i="6"/>
  <c r="G3" i="5"/>
  <c r="T13" i="18"/>
  <c r="U25" i="5"/>
  <c r="H5" i="16"/>
  <c r="G3" i="18"/>
  <c r="F3" i="18"/>
  <c r="G5" i="16"/>
  <c r="D3" i="18"/>
  <c r="E5" i="16"/>
  <c r="F5" i="10"/>
  <c r="E4" i="6"/>
  <c r="E3" i="5"/>
  <c r="E3" i="18"/>
  <c r="F5" i="16"/>
  <c r="I5" i="10"/>
  <c r="H4" i="6"/>
  <c r="H3" i="5"/>
  <c r="T12" i="18"/>
  <c r="U24" i="5"/>
  <c r="T45" i="5"/>
  <c r="T10" i="6" s="1"/>
  <c r="G5" i="10"/>
  <c r="F4" i="6"/>
  <c r="F3" i="5"/>
  <c r="I3" i="18"/>
  <c r="J5" i="16"/>
  <c r="D5" i="16"/>
  <c r="C3" i="18"/>
  <c r="I4" i="6"/>
  <c r="I3" i="5"/>
  <c r="J5" i="10"/>
  <c r="I5" i="16"/>
  <c r="H3" i="18"/>
  <c r="E5" i="10"/>
  <c r="D4" i="6"/>
  <c r="D3" i="5"/>
  <c r="C4" i="6"/>
  <c r="C3" i="5"/>
  <c r="D5" i="10"/>
  <c r="T14" i="18"/>
  <c r="U26" i="5"/>
  <c r="N20" i="5" l="1"/>
  <c r="M19" i="5"/>
  <c r="J108" i="11"/>
  <c r="J15" i="14"/>
  <c r="O28" i="5"/>
  <c r="P29" i="5"/>
  <c r="N16" i="7"/>
  <c r="N8" i="6"/>
  <c r="M9" i="6"/>
  <c r="M31" i="7"/>
  <c r="O35" i="5"/>
  <c r="P36" i="5"/>
  <c r="O10" i="18"/>
  <c r="O43" i="5"/>
  <c r="P22" i="5"/>
  <c r="N11" i="18"/>
  <c r="N44" i="5"/>
  <c r="O23" i="5"/>
  <c r="N51" i="5"/>
  <c r="N19" i="5" s="1"/>
  <c r="N9" i="18"/>
  <c r="O52" i="5"/>
  <c r="P53" i="5"/>
  <c r="M9" i="5"/>
  <c r="M8" i="5" s="1"/>
  <c r="M5" i="6" s="1"/>
  <c r="L14" i="14"/>
  <c r="O32" i="5"/>
  <c r="N46" i="5"/>
  <c r="N11" i="6" s="1"/>
  <c r="P67" i="5"/>
  <c r="O66" i="5"/>
  <c r="M42" i="5"/>
  <c r="I15" i="14"/>
  <c r="I114" i="11"/>
  <c r="K7" i="14"/>
  <c r="K5" i="14" s="1"/>
  <c r="K6" i="6"/>
  <c r="L14" i="5"/>
  <c r="L12" i="5" s="1"/>
  <c r="L7" i="6"/>
  <c r="O59" i="5"/>
  <c r="P60" i="5"/>
  <c r="O33" i="5"/>
  <c r="N47" i="5"/>
  <c r="N12" i="6" s="1"/>
  <c r="H3" i="6"/>
  <c r="I6" i="16" s="1"/>
  <c r="I7" i="16" s="1"/>
  <c r="I6" i="10"/>
  <c r="I4" i="10" s="1"/>
  <c r="I3" i="6"/>
  <c r="J6" i="16" s="1"/>
  <c r="J7" i="16" s="1"/>
  <c r="J6" i="10"/>
  <c r="J4" i="10" s="1"/>
  <c r="F3" i="6"/>
  <c r="G6" i="16" s="1"/>
  <c r="G7" i="16" s="1"/>
  <c r="G6" i="10"/>
  <c r="G4" i="10" s="1"/>
  <c r="C3" i="6"/>
  <c r="D6" i="16" s="1"/>
  <c r="D7" i="16" s="1"/>
  <c r="D6" i="10"/>
  <c r="D4" i="10" s="1"/>
  <c r="D15" i="10" s="1"/>
  <c r="U13" i="18"/>
  <c r="V25" i="5"/>
  <c r="D3" i="6"/>
  <c r="E6" i="16" s="1"/>
  <c r="E7" i="16" s="1"/>
  <c r="E6" i="10"/>
  <c r="E4" i="10" s="1"/>
  <c r="U12" i="18"/>
  <c r="V24" i="5"/>
  <c r="U45" i="5"/>
  <c r="U10" i="6" s="1"/>
  <c r="E3" i="6"/>
  <c r="F6" i="16" s="1"/>
  <c r="F7" i="16" s="1"/>
  <c r="F6" i="10"/>
  <c r="F4" i="10" s="1"/>
  <c r="G3" i="6"/>
  <c r="H6" i="16" s="1"/>
  <c r="H7" i="16" s="1"/>
  <c r="H6" i="10"/>
  <c r="H4" i="10" s="1"/>
  <c r="U14" i="18"/>
  <c r="V26" i="5"/>
  <c r="N9" i="5" l="1"/>
  <c r="N8" i="5" s="1"/>
  <c r="N5" i="6" s="1"/>
  <c r="M12" i="14"/>
  <c r="M8" i="14" s="1"/>
  <c r="M110" i="11" s="1"/>
  <c r="M13" i="6"/>
  <c r="M13" i="5"/>
  <c r="M14" i="14"/>
  <c r="M112" i="11" s="1"/>
  <c r="N13" i="6"/>
  <c r="N13" i="5"/>
  <c r="N12" i="14"/>
  <c r="N8" i="14" s="1"/>
  <c r="N110" i="11" s="1"/>
  <c r="L7" i="14"/>
  <c r="L5" i="14" s="1"/>
  <c r="L13" i="14" s="1"/>
  <c r="L114" i="11" s="1"/>
  <c r="L6" i="6"/>
  <c r="M7" i="6"/>
  <c r="M14" i="5"/>
  <c r="O11" i="18"/>
  <c r="O9" i="18" s="1"/>
  <c r="P23" i="5"/>
  <c r="P21" i="5" s="1"/>
  <c r="O44" i="5"/>
  <c r="P32" i="5"/>
  <c r="O46" i="5"/>
  <c r="O11" i="6" s="1"/>
  <c r="O21" i="5"/>
  <c r="O20" i="5" s="1"/>
  <c r="P59" i="5"/>
  <c r="Q60" i="5"/>
  <c r="L112" i="11"/>
  <c r="P10" i="18"/>
  <c r="Q22" i="5"/>
  <c r="P43" i="5"/>
  <c r="Q29" i="5"/>
  <c r="P28" i="5"/>
  <c r="P66" i="5"/>
  <c r="Q67" i="5"/>
  <c r="O16" i="7"/>
  <c r="O8" i="6"/>
  <c r="P33" i="5"/>
  <c r="O47" i="5"/>
  <c r="O12" i="6" s="1"/>
  <c r="N31" i="7"/>
  <c r="N9" i="6"/>
  <c r="N42" i="5"/>
  <c r="K108" i="11"/>
  <c r="K13" i="14"/>
  <c r="K114" i="11" s="1"/>
  <c r="K15" i="14"/>
  <c r="P52" i="5"/>
  <c r="Q53" i="5"/>
  <c r="P35" i="5"/>
  <c r="Q36" i="5"/>
  <c r="O51" i="5"/>
  <c r="D16" i="10"/>
  <c r="E14" i="10"/>
  <c r="E15" i="10" s="1"/>
  <c r="E16" i="10" s="1"/>
  <c r="V12" i="18"/>
  <c r="V45" i="5"/>
  <c r="V10" i="6" s="1"/>
  <c r="W24" i="5"/>
  <c r="V14" i="18"/>
  <c r="W26" i="5"/>
  <c r="V13" i="18"/>
  <c r="W25" i="5"/>
  <c r="O42" i="5" l="1"/>
  <c r="M12" i="5"/>
  <c r="P51" i="5"/>
  <c r="P20" i="5"/>
  <c r="O31" i="7"/>
  <c r="O9" i="6"/>
  <c r="R36" i="5"/>
  <c r="Q35" i="5"/>
  <c r="P16" i="7"/>
  <c r="P8" i="6"/>
  <c r="P11" i="18"/>
  <c r="P9" i="18" s="1"/>
  <c r="P44" i="5"/>
  <c r="Q23" i="5"/>
  <c r="O14" i="5"/>
  <c r="N7" i="14"/>
  <c r="N5" i="14" s="1"/>
  <c r="N108" i="11" s="1"/>
  <c r="O7" i="6"/>
  <c r="N6" i="6"/>
  <c r="Q43" i="5"/>
  <c r="Q21" i="5"/>
  <c r="Q10" i="18"/>
  <c r="R22" i="5"/>
  <c r="R53" i="5"/>
  <c r="Q52" i="5"/>
  <c r="R60" i="5"/>
  <c r="Q59" i="5"/>
  <c r="L108" i="11"/>
  <c r="L15" i="14"/>
  <c r="O9" i="5"/>
  <c r="O8" i="5" s="1"/>
  <c r="O5" i="6" s="1"/>
  <c r="R67" i="5"/>
  <c r="Q66" i="5"/>
  <c r="Q33" i="5"/>
  <c r="P47" i="5"/>
  <c r="P12" i="6" s="1"/>
  <c r="O19" i="5"/>
  <c r="M6" i="6"/>
  <c r="N14" i="5"/>
  <c r="N12" i="5" s="1"/>
  <c r="M7" i="14"/>
  <c r="M5" i="14" s="1"/>
  <c r="N7" i="6"/>
  <c r="R29" i="5"/>
  <c r="Q28" i="5"/>
  <c r="Q32" i="5"/>
  <c r="P46" i="5"/>
  <c r="P11" i="6" s="1"/>
  <c r="F14" i="10"/>
  <c r="F15" i="10" s="1"/>
  <c r="W13" i="18"/>
  <c r="X25" i="5"/>
  <c r="W14" i="18"/>
  <c r="X26" i="5"/>
  <c r="W12" i="18"/>
  <c r="W45" i="5"/>
  <c r="W10" i="6" s="1"/>
  <c r="X24" i="5"/>
  <c r="P19" i="5" l="1"/>
  <c r="N14" i="14"/>
  <c r="O13" i="6"/>
  <c r="O13" i="5"/>
  <c r="O12" i="5" s="1"/>
  <c r="O12" i="14"/>
  <c r="O8" i="14" s="1"/>
  <c r="O110" i="11" s="1"/>
  <c r="Q51" i="5"/>
  <c r="P31" i="7"/>
  <c r="P9" i="6"/>
  <c r="R52" i="5"/>
  <c r="S53" i="5"/>
  <c r="P9" i="5"/>
  <c r="P8" i="5" s="1"/>
  <c r="P5" i="6" s="1"/>
  <c r="Q47" i="5"/>
  <c r="Q12" i="6" s="1"/>
  <c r="R33" i="5"/>
  <c r="Q46" i="5"/>
  <c r="Q11" i="6" s="1"/>
  <c r="R32" i="5"/>
  <c r="R66" i="5"/>
  <c r="S67" i="5"/>
  <c r="S29" i="5"/>
  <c r="R28" i="5"/>
  <c r="Q16" i="7"/>
  <c r="Q8" i="6"/>
  <c r="Q9" i="5"/>
  <c r="Q8" i="5" s="1"/>
  <c r="Q5" i="6" s="1"/>
  <c r="M108" i="11"/>
  <c r="M13" i="14"/>
  <c r="R35" i="5"/>
  <c r="S36" i="5"/>
  <c r="R43" i="5"/>
  <c r="R21" i="5"/>
  <c r="S22" i="5"/>
  <c r="R10" i="18"/>
  <c r="Q9" i="18"/>
  <c r="Q20" i="5"/>
  <c r="Q19" i="5" s="1"/>
  <c r="Q13" i="6" s="1"/>
  <c r="P42" i="5"/>
  <c r="S60" i="5"/>
  <c r="R59" i="5"/>
  <c r="R23" i="5"/>
  <c r="Q11" i="18"/>
  <c r="Q44" i="5"/>
  <c r="O14" i="14"/>
  <c r="F16" i="10"/>
  <c r="G14" i="10"/>
  <c r="G15" i="10" s="1"/>
  <c r="G16" i="10" s="1"/>
  <c r="X14" i="18"/>
  <c r="Y26" i="5"/>
  <c r="X13" i="18"/>
  <c r="Y25" i="5"/>
  <c r="X12" i="18"/>
  <c r="X45" i="5"/>
  <c r="X10" i="6" s="1"/>
  <c r="Y24" i="5"/>
  <c r="P14" i="14" l="1"/>
  <c r="Q12" i="14"/>
  <c r="Q8" i="14" s="1"/>
  <c r="P13" i="6"/>
  <c r="P13" i="5"/>
  <c r="P12" i="14"/>
  <c r="P8" i="14" s="1"/>
  <c r="P110" i="11" s="1"/>
  <c r="R51" i="5"/>
  <c r="S59" i="5"/>
  <c r="T60" i="5"/>
  <c r="M114" i="11"/>
  <c r="M15" i="14"/>
  <c r="O7" i="14"/>
  <c r="O5" i="14" s="1"/>
  <c r="O13" i="14" s="1"/>
  <c r="O114" i="11" s="1"/>
  <c r="P7" i="6"/>
  <c r="P14" i="5"/>
  <c r="O6" i="6"/>
  <c r="S10" i="18"/>
  <c r="S43" i="5"/>
  <c r="T22" i="5"/>
  <c r="R20" i="5"/>
  <c r="R19" i="5" s="1"/>
  <c r="R12" i="14" s="1"/>
  <c r="R8" i="14" s="1"/>
  <c r="R110" i="11" s="1"/>
  <c r="S28" i="5"/>
  <c r="T29" i="5"/>
  <c r="R16" i="7"/>
  <c r="R8" i="6"/>
  <c r="S66" i="5"/>
  <c r="T67" i="5"/>
  <c r="Q13" i="5"/>
  <c r="S23" i="5"/>
  <c r="S21" i="5" s="1"/>
  <c r="S20" i="5" s="1"/>
  <c r="R44" i="5"/>
  <c r="R11" i="18"/>
  <c r="R9" i="18" s="1"/>
  <c r="Q42" i="5"/>
  <c r="T53" i="5"/>
  <c r="S52" i="5"/>
  <c r="O112" i="11"/>
  <c r="Q31" i="7"/>
  <c r="Q9" i="6"/>
  <c r="T36" i="5"/>
  <c r="S35" i="5"/>
  <c r="S32" i="5"/>
  <c r="R46" i="5"/>
  <c r="R11" i="6" s="1"/>
  <c r="S33" i="5"/>
  <c r="R47" i="5"/>
  <c r="R12" i="6" s="1"/>
  <c r="N13" i="14"/>
  <c r="N112" i="11"/>
  <c r="Q110" i="11"/>
  <c r="R13" i="6"/>
  <c r="H14" i="10"/>
  <c r="H15" i="10" s="1"/>
  <c r="I14" i="10" s="1"/>
  <c r="I15" i="10" s="1"/>
  <c r="Y14" i="18"/>
  <c r="Z26" i="5"/>
  <c r="Y13" i="18"/>
  <c r="Z25" i="5"/>
  <c r="P112" i="11"/>
  <c r="Y12" i="18"/>
  <c r="Y45" i="5"/>
  <c r="Y10" i="6" s="1"/>
  <c r="Z24" i="5"/>
  <c r="Q14" i="14" l="1"/>
  <c r="Q112" i="11" s="1"/>
  <c r="P12" i="5"/>
  <c r="R13" i="5"/>
  <c r="R9" i="5"/>
  <c r="R8" i="5" s="1"/>
  <c r="R5" i="6" s="1"/>
  <c r="R42" i="5"/>
  <c r="Q7" i="14" s="1"/>
  <c r="Q5" i="14" s="1"/>
  <c r="Q108" i="11" s="1"/>
  <c r="S16" i="7"/>
  <c r="S8" i="6"/>
  <c r="T66" i="5"/>
  <c r="U67" i="5"/>
  <c r="S51" i="5"/>
  <c r="S19" i="5" s="1"/>
  <c r="N114" i="11"/>
  <c r="N15" i="14"/>
  <c r="T52" i="5"/>
  <c r="U53" i="5"/>
  <c r="P7" i="14"/>
  <c r="P5" i="14" s="1"/>
  <c r="P6" i="6"/>
  <c r="Q7" i="6"/>
  <c r="Q14" i="5"/>
  <c r="Q12" i="5" s="1"/>
  <c r="O108" i="11"/>
  <c r="O15" i="14"/>
  <c r="T33" i="5"/>
  <c r="S47" i="5"/>
  <c r="S12" i="6" s="1"/>
  <c r="U29" i="5"/>
  <c r="T28" i="5"/>
  <c r="T32" i="5"/>
  <c r="S46" i="5"/>
  <c r="S11" i="6" s="1"/>
  <c r="R31" i="7"/>
  <c r="R9" i="6"/>
  <c r="S11" i="18"/>
  <c r="S9" i="18" s="1"/>
  <c r="T23" i="5"/>
  <c r="T21" i="5" s="1"/>
  <c r="T20" i="5" s="1"/>
  <c r="S44" i="5"/>
  <c r="U60" i="5"/>
  <c r="T59" i="5"/>
  <c r="U36" i="5"/>
  <c r="T35" i="5"/>
  <c r="T10" i="18"/>
  <c r="T43" i="5"/>
  <c r="U22" i="5"/>
  <c r="H16" i="10"/>
  <c r="Z13" i="18"/>
  <c r="AA25" i="5"/>
  <c r="I16" i="10"/>
  <c r="J14" i="10"/>
  <c r="J15" i="10" s="1"/>
  <c r="C17" i="2"/>
  <c r="Z12" i="18"/>
  <c r="Z45" i="5"/>
  <c r="Z10" i="6" s="1"/>
  <c r="AA24" i="5"/>
  <c r="Z14" i="18"/>
  <c r="AA26" i="5"/>
  <c r="R7" i="6" l="1"/>
  <c r="R14" i="5"/>
  <c r="R12" i="5" s="1"/>
  <c r="Q6" i="6"/>
  <c r="S42" i="5"/>
  <c r="R7" i="14"/>
  <c r="R5" i="14" s="1"/>
  <c r="R108" i="11" s="1"/>
  <c r="S7" i="6"/>
  <c r="S14" i="5"/>
  <c r="R6" i="6"/>
  <c r="S12" i="14"/>
  <c r="S8" i="14" s="1"/>
  <c r="S110" i="11" s="1"/>
  <c r="S13" i="6"/>
  <c r="R14" i="14"/>
  <c r="R112" i="11" s="1"/>
  <c r="S13" i="5"/>
  <c r="U10" i="18"/>
  <c r="U43" i="5"/>
  <c r="V22" i="5"/>
  <c r="P108" i="11"/>
  <c r="P13" i="14"/>
  <c r="U66" i="5"/>
  <c r="V67" i="5"/>
  <c r="T16" i="7"/>
  <c r="T8" i="6"/>
  <c r="U35" i="5"/>
  <c r="V36" i="5"/>
  <c r="T51" i="5"/>
  <c r="T19" i="5" s="1"/>
  <c r="T12" i="14" s="1"/>
  <c r="T8" i="14" s="1"/>
  <c r="T110" i="11" s="1"/>
  <c r="S9" i="5"/>
  <c r="S8" i="5" s="1"/>
  <c r="S5" i="6" s="1"/>
  <c r="U32" i="5"/>
  <c r="T46" i="5"/>
  <c r="T11" i="6" s="1"/>
  <c r="V53" i="5"/>
  <c r="U52" i="5"/>
  <c r="U28" i="5"/>
  <c r="V29" i="5"/>
  <c r="U59" i="5"/>
  <c r="V60" i="5"/>
  <c r="S31" i="7"/>
  <c r="S9" i="6"/>
  <c r="T47" i="5"/>
  <c r="T12" i="6" s="1"/>
  <c r="U33" i="5"/>
  <c r="Q13" i="14"/>
  <c r="T11" i="18"/>
  <c r="T9" i="18" s="1"/>
  <c r="U23" i="5"/>
  <c r="U21" i="5" s="1"/>
  <c r="T44" i="5"/>
  <c r="R13" i="14"/>
  <c r="R114" i="11" s="1"/>
  <c r="AA14" i="18"/>
  <c r="AB26" i="5"/>
  <c r="J16" i="10"/>
  <c r="K14" i="10"/>
  <c r="AA13" i="18"/>
  <c r="AB25" i="5"/>
  <c r="AA12" i="18"/>
  <c r="AA45" i="5"/>
  <c r="AA10" i="6" s="1"/>
  <c r="AB24" i="5"/>
  <c r="S12" i="5" l="1"/>
  <c r="S14" i="14"/>
  <c r="T13" i="5"/>
  <c r="T13" i="6"/>
  <c r="V32" i="5"/>
  <c r="U46" i="5"/>
  <c r="U11" i="6" s="1"/>
  <c r="V28" i="5"/>
  <c r="W29" i="5"/>
  <c r="V33" i="5"/>
  <c r="U47" i="5"/>
  <c r="U12" i="6" s="1"/>
  <c r="D33" i="17"/>
  <c r="U20" i="5"/>
  <c r="D34" i="17"/>
  <c r="C23" i="14"/>
  <c r="T9" i="5"/>
  <c r="T8" i="5" s="1"/>
  <c r="T31" i="7"/>
  <c r="T9" i="6"/>
  <c r="V23" i="5"/>
  <c r="U44" i="5"/>
  <c r="U11" i="18"/>
  <c r="U9" i="18" s="1"/>
  <c r="U51" i="5"/>
  <c r="T42" i="5"/>
  <c r="V52" i="5"/>
  <c r="W53" i="5"/>
  <c r="W67" i="5"/>
  <c r="V66" i="5"/>
  <c r="P114" i="11"/>
  <c r="P15" i="14"/>
  <c r="Q114" i="11"/>
  <c r="Q15" i="14"/>
  <c r="W36" i="5"/>
  <c r="V35" i="5"/>
  <c r="V10" i="18"/>
  <c r="V43" i="5"/>
  <c r="W22" i="5"/>
  <c r="W60" i="5"/>
  <c r="V59" i="5"/>
  <c r="D35" i="17"/>
  <c r="U16" i="7"/>
  <c r="U8" i="6"/>
  <c r="S112" i="11"/>
  <c r="R15" i="14"/>
  <c r="AB14" i="18"/>
  <c r="AC26" i="5"/>
  <c r="AB13" i="18"/>
  <c r="AC25" i="5"/>
  <c r="AB12" i="18"/>
  <c r="AC24" i="5"/>
  <c r="AB45" i="5"/>
  <c r="AB10" i="6" s="1"/>
  <c r="V51" i="5" l="1"/>
  <c r="U19" i="5"/>
  <c r="U12" i="14" s="1"/>
  <c r="U8" i="14" s="1"/>
  <c r="U9" i="5"/>
  <c r="U8" i="5" s="1"/>
  <c r="U5" i="6" s="1"/>
  <c r="U42" i="5"/>
  <c r="T6" i="6" s="1"/>
  <c r="D13" i="2"/>
  <c r="D12" i="2" s="1"/>
  <c r="D32" i="17"/>
  <c r="D36" i="17" s="1"/>
  <c r="D11" i="2"/>
  <c r="T14" i="14"/>
  <c r="C25" i="14" s="1"/>
  <c r="X53" i="5"/>
  <c r="W52" i="5"/>
  <c r="U7" i="6"/>
  <c r="T7" i="14"/>
  <c r="T5" i="14" s="1"/>
  <c r="X36" i="5"/>
  <c r="W35" i="5"/>
  <c r="S7" i="14"/>
  <c r="S5" i="14" s="1"/>
  <c r="T7" i="6"/>
  <c r="S6" i="6"/>
  <c r="T14" i="5"/>
  <c r="T12" i="5" s="1"/>
  <c r="U9" i="6"/>
  <c r="U31" i="7"/>
  <c r="W33" i="5"/>
  <c r="V47" i="5"/>
  <c r="V12" i="6" s="1"/>
  <c r="X29" i="5"/>
  <c r="W28" i="5"/>
  <c r="U13" i="5"/>
  <c r="U13" i="6"/>
  <c r="W10" i="18"/>
  <c r="X22" i="5"/>
  <c r="W43" i="5"/>
  <c r="V11" i="18"/>
  <c r="V9" i="18" s="1"/>
  <c r="V44" i="5"/>
  <c r="W23" i="5"/>
  <c r="X60" i="5"/>
  <c r="W59" i="5"/>
  <c r="V21" i="5"/>
  <c r="V20" i="5" s="1"/>
  <c r="V19" i="5" s="1"/>
  <c r="V12" i="14" s="1"/>
  <c r="V8" i="14" s="1"/>
  <c r="V110" i="11" s="1"/>
  <c r="T5" i="6"/>
  <c r="E7" i="3"/>
  <c r="V8" i="6"/>
  <c r="V16" i="7"/>
  <c r="X67" i="5"/>
  <c r="W66" i="5"/>
  <c r="W32" i="5"/>
  <c r="V46" i="5"/>
  <c r="V11" i="6" s="1"/>
  <c r="U14" i="14"/>
  <c r="U112" i="11" s="1"/>
  <c r="U110" i="11"/>
  <c r="AC14" i="18"/>
  <c r="AD26" i="5"/>
  <c r="AC12" i="18"/>
  <c r="AD24" i="5"/>
  <c r="AC45" i="5"/>
  <c r="AC10" i="6" s="1"/>
  <c r="AC13" i="18"/>
  <c r="AD25" i="5"/>
  <c r="D38" i="17" l="1"/>
  <c r="U14" i="5"/>
  <c r="D37" i="17"/>
  <c r="T112" i="11"/>
  <c r="U12" i="5"/>
  <c r="E8" i="3" s="1"/>
  <c r="V13" i="5"/>
  <c r="S108" i="11"/>
  <c r="S13" i="14"/>
  <c r="S114" i="11" s="1"/>
  <c r="X35" i="5"/>
  <c r="Y36" i="5"/>
  <c r="C22" i="14"/>
  <c r="T108" i="11"/>
  <c r="X32" i="5"/>
  <c r="W46" i="5"/>
  <c r="W11" i="6" s="1"/>
  <c r="W11" i="18"/>
  <c r="W9" i="18" s="1"/>
  <c r="X23" i="5"/>
  <c r="W44" i="5"/>
  <c r="T13" i="14"/>
  <c r="T15" i="14" s="1"/>
  <c r="Y67" i="5"/>
  <c r="X66" i="5"/>
  <c r="V9" i="6"/>
  <c r="V31" i="7"/>
  <c r="X33" i="5"/>
  <c r="W47" i="5"/>
  <c r="W12" i="6" s="1"/>
  <c r="Y60" i="5"/>
  <c r="X59" i="5"/>
  <c r="W51" i="5"/>
  <c r="V42" i="5"/>
  <c r="X10" i="18"/>
  <c r="X43" i="5"/>
  <c r="Y22" i="5"/>
  <c r="X21" i="5"/>
  <c r="X52" i="5"/>
  <c r="Y53" i="5"/>
  <c r="Y29" i="5"/>
  <c r="X28" i="5"/>
  <c r="V9" i="5"/>
  <c r="V8" i="5" s="1"/>
  <c r="V5" i="6" s="1"/>
  <c r="W16" i="7"/>
  <c r="W8" i="6"/>
  <c r="V13" i="6"/>
  <c r="W21" i="5"/>
  <c r="W20" i="5" s="1"/>
  <c r="W19" i="5" s="1"/>
  <c r="AD12" i="18"/>
  <c r="AE24" i="5"/>
  <c r="AD45" i="5"/>
  <c r="AD10" i="6" s="1"/>
  <c r="AD13" i="18"/>
  <c r="AE25" i="5"/>
  <c r="D25" i="17"/>
  <c r="D11" i="17"/>
  <c r="D81" i="17"/>
  <c r="C20" i="4" s="1"/>
  <c r="D10" i="17"/>
  <c r="D24" i="17"/>
  <c r="D23" i="17"/>
  <c r="D9" i="17"/>
  <c r="AD14" i="18"/>
  <c r="AE26" i="5"/>
  <c r="T114" i="11" l="1"/>
  <c r="Y28" i="5"/>
  <c r="Z29" i="5"/>
  <c r="Y32" i="5"/>
  <c r="X46" i="5"/>
  <c r="X11" i="6" s="1"/>
  <c r="Z53" i="5"/>
  <c r="Y52" i="5"/>
  <c r="Y33" i="5"/>
  <c r="X47" i="5"/>
  <c r="X12" i="6" s="1"/>
  <c r="W12" i="14"/>
  <c r="W8" i="14" s="1"/>
  <c r="W110" i="11" s="1"/>
  <c r="V14" i="14"/>
  <c r="W13" i="6"/>
  <c r="W13" i="5"/>
  <c r="X51" i="5"/>
  <c r="X20" i="5"/>
  <c r="Z36" i="5"/>
  <c r="Y35" i="5"/>
  <c r="C24" i="14"/>
  <c r="C26" i="14" s="1"/>
  <c r="S15" i="14"/>
  <c r="V14" i="5"/>
  <c r="V12" i="5" s="1"/>
  <c r="V7" i="6"/>
  <c r="U7" i="14"/>
  <c r="U5" i="14" s="1"/>
  <c r="U6" i="6"/>
  <c r="W31" i="7"/>
  <c r="W9" i="6"/>
  <c r="Z60" i="5"/>
  <c r="Y59" i="5"/>
  <c r="Y43" i="5"/>
  <c r="Z22" i="5"/>
  <c r="Y10" i="18"/>
  <c r="W9" i="5"/>
  <c r="W8" i="5" s="1"/>
  <c r="W5" i="6" s="1"/>
  <c r="Z67" i="5"/>
  <c r="Y66" i="5"/>
  <c r="X44" i="5"/>
  <c r="Y23" i="5"/>
  <c r="Y21" i="5" s="1"/>
  <c r="X11" i="18"/>
  <c r="X9" i="18" s="1"/>
  <c r="W42" i="5"/>
  <c r="X16" i="7"/>
  <c r="X8" i="6"/>
  <c r="AE14" i="18"/>
  <c r="AF26" i="5"/>
  <c r="D12" i="17"/>
  <c r="D26" i="17"/>
  <c r="AE13" i="18"/>
  <c r="AF25" i="5"/>
  <c r="AE12" i="18"/>
  <c r="AE45" i="5"/>
  <c r="AE10" i="6" s="1"/>
  <c r="AF24" i="5"/>
  <c r="C21" i="4"/>
  <c r="C22" i="4" s="1"/>
  <c r="C23" i="4" s="1"/>
  <c r="C24" i="4" s="1"/>
  <c r="C25" i="4" s="1"/>
  <c r="J7" i="18"/>
  <c r="J6" i="18"/>
  <c r="J8" i="18"/>
  <c r="K8" i="18"/>
  <c r="K6" i="18"/>
  <c r="K7" i="18"/>
  <c r="L6" i="18"/>
  <c r="L8" i="18"/>
  <c r="L7" i="18"/>
  <c r="M8" i="18"/>
  <c r="M7" i="18"/>
  <c r="M6" i="18"/>
  <c r="J5" i="18"/>
  <c r="N8" i="18"/>
  <c r="N7" i="18"/>
  <c r="J4" i="18"/>
  <c r="N6" i="18"/>
  <c r="O8" i="18"/>
  <c r="O7" i="18"/>
  <c r="K4" i="18"/>
  <c r="O6" i="18"/>
  <c r="K5" i="18"/>
  <c r="L4" i="18"/>
  <c r="P7" i="18"/>
  <c r="J4" i="5"/>
  <c r="K4" i="5"/>
  <c r="L4" i="5"/>
  <c r="L5" i="18"/>
  <c r="P8" i="18"/>
  <c r="P6" i="18"/>
  <c r="Q7" i="18"/>
  <c r="Q8" i="18"/>
  <c r="Q6" i="18"/>
  <c r="M4" i="18"/>
  <c r="M5" i="18"/>
  <c r="N4" i="18"/>
  <c r="N4" i="5"/>
  <c r="N5" i="18"/>
  <c r="M4" i="5"/>
  <c r="R8" i="18"/>
  <c r="R7" i="18"/>
  <c r="R6" i="18"/>
  <c r="S8" i="18"/>
  <c r="O5" i="18"/>
  <c r="O4" i="18"/>
  <c r="S7" i="18"/>
  <c r="S6" i="18"/>
  <c r="P5" i="18"/>
  <c r="T6" i="18"/>
  <c r="T8" i="18"/>
  <c r="T7" i="18"/>
  <c r="O4" i="5"/>
  <c r="P4" i="18"/>
  <c r="Q5" i="18"/>
  <c r="Q4" i="18"/>
  <c r="U7" i="18"/>
  <c r="P4" i="5"/>
  <c r="U6" i="18"/>
  <c r="U8" i="18"/>
  <c r="R5" i="18"/>
  <c r="R4" i="18"/>
  <c r="S4" i="18"/>
  <c r="S5" i="18"/>
  <c r="Q4" i="5"/>
  <c r="R4" i="5"/>
  <c r="T4" i="18"/>
  <c r="T5" i="18"/>
  <c r="S4" i="5"/>
  <c r="U4" i="18"/>
  <c r="U5" i="18"/>
  <c r="T4" i="5"/>
  <c r="U4" i="5"/>
  <c r="X9" i="5" l="1"/>
  <c r="X8" i="5" s="1"/>
  <c r="X5" i="6" s="1"/>
  <c r="X19" i="5"/>
  <c r="Y51" i="5"/>
  <c r="Y20" i="5"/>
  <c r="Y19" i="5" s="1"/>
  <c r="Y13" i="5" s="1"/>
  <c r="AA67" i="5"/>
  <c r="Z66" i="5"/>
  <c r="U108" i="11"/>
  <c r="U13" i="14"/>
  <c r="U114" i="11" s="1"/>
  <c r="U15" i="14"/>
  <c r="V112" i="11"/>
  <c r="Z10" i="18"/>
  <c r="AA22" i="5"/>
  <c r="Z43" i="5"/>
  <c r="Z33" i="5"/>
  <c r="Y47" i="5"/>
  <c r="Y12" i="6" s="1"/>
  <c r="X42" i="5"/>
  <c r="W7" i="6"/>
  <c r="W14" i="5"/>
  <c r="W12" i="5" s="1"/>
  <c r="V7" i="14"/>
  <c r="V5" i="14" s="1"/>
  <c r="V6" i="6"/>
  <c r="AA53" i="5"/>
  <c r="Z52" i="5"/>
  <c r="Y16" i="7"/>
  <c r="Y8" i="6"/>
  <c r="AA60" i="5"/>
  <c r="Z59" i="5"/>
  <c r="Z35" i="5"/>
  <c r="AA36" i="5"/>
  <c r="Y44" i="5"/>
  <c r="Y11" i="18"/>
  <c r="Y9" i="18" s="1"/>
  <c r="Z23" i="5"/>
  <c r="Z32" i="5"/>
  <c r="Y46" i="5"/>
  <c r="Y11" i="6" s="1"/>
  <c r="X31" i="7"/>
  <c r="X9" i="6"/>
  <c r="AA29" i="5"/>
  <c r="Z28" i="5"/>
  <c r="Y12" i="14"/>
  <c r="Y8" i="14" s="1"/>
  <c r="Y110" i="11" s="1"/>
  <c r="Y13" i="6"/>
  <c r="X14" i="14"/>
  <c r="X112" i="11" s="1"/>
  <c r="R5" i="10"/>
  <c r="Q4" i="6"/>
  <c r="Q3" i="5"/>
  <c r="P3" i="18"/>
  <c r="Q5" i="16"/>
  <c r="K3" i="18"/>
  <c r="L5" i="16"/>
  <c r="L4" i="6"/>
  <c r="L3" i="5"/>
  <c r="M5" i="10"/>
  <c r="O4" i="6"/>
  <c r="O3" i="5"/>
  <c r="P5" i="10"/>
  <c r="S3" i="18"/>
  <c r="T5" i="16"/>
  <c r="N5" i="10"/>
  <c r="M4" i="6"/>
  <c r="M3" i="5"/>
  <c r="K5" i="16"/>
  <c r="J3" i="18"/>
  <c r="N3" i="18"/>
  <c r="O5" i="16"/>
  <c r="J4" i="6"/>
  <c r="J3" i="5"/>
  <c r="E6" i="3"/>
  <c r="D10" i="2"/>
  <c r="D9" i="2" s="1"/>
  <c r="K5" i="10"/>
  <c r="U4" i="6"/>
  <c r="U3" i="5"/>
  <c r="V5" i="10"/>
  <c r="R3" i="18"/>
  <c r="S5" i="16"/>
  <c r="N4" i="6"/>
  <c r="N3" i="5"/>
  <c r="O5" i="10"/>
  <c r="T5" i="10"/>
  <c r="S4" i="6"/>
  <c r="S3" i="5"/>
  <c r="Q5" i="10"/>
  <c r="P4" i="6"/>
  <c r="P3" i="5"/>
  <c r="AF13" i="18"/>
  <c r="AG25" i="5"/>
  <c r="U3" i="18"/>
  <c r="V5" i="16"/>
  <c r="O3" i="18"/>
  <c r="P5" i="16"/>
  <c r="N5" i="16"/>
  <c r="M3" i="18"/>
  <c r="L3" i="18"/>
  <c r="M5" i="16"/>
  <c r="AF14" i="18"/>
  <c r="AG26" i="5"/>
  <c r="K4" i="6"/>
  <c r="K3" i="5"/>
  <c r="L5" i="10"/>
  <c r="T3" i="18"/>
  <c r="U5" i="16"/>
  <c r="R5" i="16"/>
  <c r="Q3" i="18"/>
  <c r="U5" i="10"/>
  <c r="T4" i="6"/>
  <c r="T3" i="5"/>
  <c r="S5" i="10"/>
  <c r="R4" i="6"/>
  <c r="R3" i="5"/>
  <c r="AF12" i="18"/>
  <c r="AF45" i="5"/>
  <c r="AF10" i="6" s="1"/>
  <c r="AG24" i="5"/>
  <c r="X13" i="6" l="1"/>
  <c r="X12" i="14"/>
  <c r="X8" i="14" s="1"/>
  <c r="X110" i="11" s="1"/>
  <c r="W14" i="14"/>
  <c r="W112" i="11" s="1"/>
  <c r="X13" i="5"/>
  <c r="Z51" i="5"/>
  <c r="Z46" i="5"/>
  <c r="Z11" i="6" s="1"/>
  <c r="AA32" i="5"/>
  <c r="AA10" i="18"/>
  <c r="AB22" i="5"/>
  <c r="AA43" i="5"/>
  <c r="Z11" i="18"/>
  <c r="Z9" i="18" s="1"/>
  <c r="AA23" i="5"/>
  <c r="AA21" i="5" s="1"/>
  <c r="Z44" i="5"/>
  <c r="Z21" i="5"/>
  <c r="Z20" i="5" s="1"/>
  <c r="AA52" i="5"/>
  <c r="AB53" i="5"/>
  <c r="Y31" i="7"/>
  <c r="Y9" i="6"/>
  <c r="AB36" i="5"/>
  <c r="AA35" i="5"/>
  <c r="V108" i="11"/>
  <c r="V13" i="14"/>
  <c r="V114" i="11" s="1"/>
  <c r="AA28" i="5"/>
  <c r="AB29" i="5"/>
  <c r="AA59" i="5"/>
  <c r="AB60" i="5"/>
  <c r="X7" i="6"/>
  <c r="X14" i="5"/>
  <c r="X12" i="5" s="1"/>
  <c r="W6" i="6"/>
  <c r="W7" i="14"/>
  <c r="W5" i="14" s="1"/>
  <c r="Y42" i="5"/>
  <c r="Y9" i="5"/>
  <c r="Y8" i="5" s="1"/>
  <c r="Y5" i="6" s="1"/>
  <c r="AA33" i="5"/>
  <c r="Z47" i="5"/>
  <c r="Z12" i="6" s="1"/>
  <c r="Z8" i="6"/>
  <c r="Z16" i="7"/>
  <c r="AB67" i="5"/>
  <c r="AA66" i="5"/>
  <c r="E5" i="3"/>
  <c r="J3" i="6"/>
  <c r="K6" i="10"/>
  <c r="K4" i="10" s="1"/>
  <c r="K15" i="10" s="1"/>
  <c r="K3" i="6"/>
  <c r="L6" i="16" s="1"/>
  <c r="L7" i="16" s="1"/>
  <c r="L6" i="10"/>
  <c r="L4" i="10" s="1"/>
  <c r="T3" i="6"/>
  <c r="U6" i="16" s="1"/>
  <c r="U7" i="16" s="1"/>
  <c r="U6" i="10"/>
  <c r="U4" i="10" s="1"/>
  <c r="AG14" i="18"/>
  <c r="AH26" i="5"/>
  <c r="N3" i="6"/>
  <c r="O6" i="16" s="1"/>
  <c r="O7" i="16" s="1"/>
  <c r="O6" i="10"/>
  <c r="O4" i="10" s="1"/>
  <c r="AG12" i="18"/>
  <c r="AG45" i="5"/>
  <c r="AG10" i="6" s="1"/>
  <c r="AH24" i="5"/>
  <c r="L3" i="6"/>
  <c r="M6" i="16" s="1"/>
  <c r="M7" i="16" s="1"/>
  <c r="M6" i="10"/>
  <c r="M4" i="10" s="1"/>
  <c r="P3" i="6"/>
  <c r="Q6" i="16" s="1"/>
  <c r="Q7" i="16" s="1"/>
  <c r="Q6" i="10"/>
  <c r="Q4" i="10" s="1"/>
  <c r="U3" i="6"/>
  <c r="V6" i="16" s="1"/>
  <c r="V7" i="16" s="1"/>
  <c r="V6" i="10"/>
  <c r="V4" i="10" s="1"/>
  <c r="M3" i="6"/>
  <c r="N6" i="16" s="1"/>
  <c r="N7" i="16" s="1"/>
  <c r="N6" i="10"/>
  <c r="N4" i="10" s="1"/>
  <c r="R3" i="6"/>
  <c r="S6" i="16" s="1"/>
  <c r="S7" i="16" s="1"/>
  <c r="S6" i="10"/>
  <c r="S4" i="10" s="1"/>
  <c r="AG13" i="18"/>
  <c r="AH25" i="5"/>
  <c r="S3" i="6"/>
  <c r="T6" i="16" s="1"/>
  <c r="T7" i="16" s="1"/>
  <c r="T6" i="10"/>
  <c r="T4" i="10" s="1"/>
  <c r="Q3" i="6"/>
  <c r="R6" i="16" s="1"/>
  <c r="R7" i="16" s="1"/>
  <c r="R6" i="10"/>
  <c r="R4" i="10" s="1"/>
  <c r="O3" i="6"/>
  <c r="P6" i="16" s="1"/>
  <c r="P7" i="16" s="1"/>
  <c r="P6" i="10"/>
  <c r="P4" i="10" s="1"/>
  <c r="Z19" i="5" l="1"/>
  <c r="Z13" i="6"/>
  <c r="AB28" i="5"/>
  <c r="AC29" i="5"/>
  <c r="AA51" i="5"/>
  <c r="AA47" i="5"/>
  <c r="AA12" i="6" s="1"/>
  <c r="AB33" i="5"/>
  <c r="Z31" i="7"/>
  <c r="Z9" i="6"/>
  <c r="V15" i="14"/>
  <c r="AB23" i="5"/>
  <c r="AB21" i="5" s="1"/>
  <c r="AA11" i="18"/>
  <c r="AA9" i="18" s="1"/>
  <c r="AA44" i="5"/>
  <c r="Z13" i="5"/>
  <c r="X7" i="14"/>
  <c r="X5" i="14" s="1"/>
  <c r="X6" i="6"/>
  <c r="Y14" i="5"/>
  <c r="Y12" i="5" s="1"/>
  <c r="Y7" i="6"/>
  <c r="W108" i="11"/>
  <c r="W13" i="14"/>
  <c r="AA20" i="5"/>
  <c r="AA19" i="5" s="1"/>
  <c r="Z14" i="14" s="1"/>
  <c r="Z112" i="11" s="1"/>
  <c r="AB35" i="5"/>
  <c r="AC36" i="5"/>
  <c r="AA8" i="6"/>
  <c r="AA16" i="7"/>
  <c r="AB66" i="5"/>
  <c r="AC67" i="5"/>
  <c r="AB10" i="18"/>
  <c r="AB43" i="5"/>
  <c r="AC22" i="5"/>
  <c r="Z9" i="5"/>
  <c r="Z8" i="5" s="1"/>
  <c r="Z5" i="6" s="1"/>
  <c r="AB59" i="5"/>
  <c r="AC60" i="5"/>
  <c r="AB32" i="5"/>
  <c r="AA46" i="5"/>
  <c r="AA11" i="6" s="1"/>
  <c r="Z42" i="5"/>
  <c r="AB52" i="5"/>
  <c r="AC53" i="5"/>
  <c r="K16" i="10"/>
  <c r="L14" i="10"/>
  <c r="L15" i="10" s="1"/>
  <c r="M14" i="10" s="1"/>
  <c r="M15" i="10" s="1"/>
  <c r="AH13" i="18"/>
  <c r="AI25" i="5"/>
  <c r="AH14" i="18"/>
  <c r="AI26" i="5"/>
  <c r="K6" i="16"/>
  <c r="K7" i="16" s="1"/>
  <c r="E11" i="3"/>
  <c r="E10" i="3" s="1"/>
  <c r="E12" i="3" s="1"/>
  <c r="E14" i="3" s="1"/>
  <c r="AH12" i="18"/>
  <c r="AH45" i="5"/>
  <c r="AI24" i="5"/>
  <c r="AB20" i="5" l="1"/>
  <c r="Z12" i="14"/>
  <c r="Z8" i="14" s="1"/>
  <c r="Z110" i="11" s="1"/>
  <c r="Y14" i="14"/>
  <c r="Y112" i="11" s="1"/>
  <c r="AB51" i="5"/>
  <c r="AB19" i="5" s="1"/>
  <c r="AA31" i="7"/>
  <c r="AA9" i="6"/>
  <c r="AB11" i="18"/>
  <c r="AB9" i="18" s="1"/>
  <c r="AB44" i="5"/>
  <c r="AC23" i="5"/>
  <c r="AC21" i="5"/>
  <c r="AD22" i="5"/>
  <c r="AC10" i="18"/>
  <c r="AC43" i="5"/>
  <c r="AD53" i="5"/>
  <c r="AC52" i="5"/>
  <c r="W114" i="11"/>
  <c r="W15" i="14"/>
  <c r="AC35" i="5"/>
  <c r="AD36" i="5"/>
  <c r="AC66" i="5"/>
  <c r="AD67" i="5"/>
  <c r="AA13" i="5"/>
  <c r="AB46" i="5"/>
  <c r="AB11" i="6" s="1"/>
  <c r="AC32" i="5"/>
  <c r="AD60" i="5"/>
  <c r="AC59" i="5"/>
  <c r="AA42" i="5"/>
  <c r="X108" i="11"/>
  <c r="X13" i="14"/>
  <c r="AD29" i="5"/>
  <c r="AC28" i="5"/>
  <c r="AB16" i="7"/>
  <c r="AB8" i="6"/>
  <c r="Y7" i="14"/>
  <c r="Y5" i="14" s="1"/>
  <c r="Z7" i="6"/>
  <c r="Z14" i="5"/>
  <c r="Z12" i="5" s="1"/>
  <c r="Y6" i="6"/>
  <c r="AC33" i="5"/>
  <c r="AB47" i="5"/>
  <c r="AB12" i="6" s="1"/>
  <c r="AA13" i="6"/>
  <c r="AA12" i="14"/>
  <c r="AA8" i="14" s="1"/>
  <c r="AA110" i="11" s="1"/>
  <c r="AA9" i="5"/>
  <c r="AA8" i="5" s="1"/>
  <c r="AA5" i="6" s="1"/>
  <c r="L16" i="10"/>
  <c r="D16" i="2"/>
  <c r="E17" i="3"/>
  <c r="E20" i="3" s="1"/>
  <c r="AI13" i="18"/>
  <c r="AJ25" i="5"/>
  <c r="N14" i="10"/>
  <c r="N15" i="10" s="1"/>
  <c r="M16" i="10"/>
  <c r="AI12" i="18"/>
  <c r="AI45" i="5"/>
  <c r="AJ24" i="5"/>
  <c r="AH46" i="7"/>
  <c r="AH10" i="6"/>
  <c r="AI14" i="18"/>
  <c r="AJ26" i="5"/>
  <c r="AB13" i="6" l="1"/>
  <c r="AA14" i="14"/>
  <c r="AB13" i="5"/>
  <c r="AB12" i="14"/>
  <c r="AB8" i="14" s="1"/>
  <c r="AB110" i="11" s="1"/>
  <c r="AB9" i="5"/>
  <c r="AB8" i="5" s="1"/>
  <c r="AB5" i="6" s="1"/>
  <c r="AC51" i="5"/>
  <c r="AD32" i="5"/>
  <c r="AC46" i="5"/>
  <c r="AC11" i="6" s="1"/>
  <c r="AD52" i="5"/>
  <c r="AE53" i="5"/>
  <c r="AC8" i="6"/>
  <c r="AC16" i="7"/>
  <c r="Y108" i="11"/>
  <c r="Y13" i="14"/>
  <c r="Y114" i="11" s="1"/>
  <c r="AE60" i="5"/>
  <c r="AD59" i="5"/>
  <c r="AD66" i="5"/>
  <c r="AE67" i="5"/>
  <c r="AC20" i="5"/>
  <c r="AC19" i="5" s="1"/>
  <c r="AC13" i="5" s="1"/>
  <c r="AB42" i="5"/>
  <c r="AD28" i="5"/>
  <c r="AE29" i="5"/>
  <c r="AE22" i="5"/>
  <c r="AD10" i="18"/>
  <c r="AD43" i="5"/>
  <c r="AC47" i="5"/>
  <c r="AC12" i="6" s="1"/>
  <c r="AD33" i="5"/>
  <c r="X114" i="11"/>
  <c r="X15" i="14"/>
  <c r="AE36" i="5"/>
  <c r="AD35" i="5"/>
  <c r="AB31" i="7"/>
  <c r="AB9" i="6"/>
  <c r="AC11" i="18"/>
  <c r="AC9" i="18" s="1"/>
  <c r="AD23" i="5"/>
  <c r="AD21" i="5" s="1"/>
  <c r="AC44" i="5"/>
  <c r="AC9" i="5" s="1"/>
  <c r="AC8" i="5" s="1"/>
  <c r="AC5" i="6" s="1"/>
  <c r="Z6" i="6"/>
  <c r="AA7" i="6"/>
  <c r="Z7" i="14"/>
  <c r="Z5" i="14" s="1"/>
  <c r="AA14" i="5"/>
  <c r="AA12" i="5" s="1"/>
  <c r="AA112" i="11"/>
  <c r="AC12" i="14"/>
  <c r="AC8" i="14" s="1"/>
  <c r="E22" i="3"/>
  <c r="E25" i="3" s="1"/>
  <c r="F23" i="3"/>
  <c r="AI10" i="6"/>
  <c r="AI46" i="7"/>
  <c r="AJ12" i="18"/>
  <c r="AJ45" i="5"/>
  <c r="AK24" i="5"/>
  <c r="N16" i="10"/>
  <c r="O14" i="10"/>
  <c r="O15" i="10" s="1"/>
  <c r="AJ14" i="18"/>
  <c r="AK26" i="5"/>
  <c r="AJ13" i="18"/>
  <c r="AK25" i="5"/>
  <c r="AD51" i="5" l="1"/>
  <c r="AD20" i="5"/>
  <c r="AD19" i="5" s="1"/>
  <c r="AC14" i="14" s="1"/>
  <c r="AE59" i="5"/>
  <c r="AF60" i="5"/>
  <c r="AF29" i="5"/>
  <c r="AE28" i="5"/>
  <c r="AE35" i="5"/>
  <c r="AF36" i="5"/>
  <c r="AB7" i="6"/>
  <c r="AA7" i="14"/>
  <c r="AA5" i="14" s="1"/>
  <c r="AA6" i="6"/>
  <c r="AB14" i="5"/>
  <c r="AB12" i="5" s="1"/>
  <c r="Z108" i="11"/>
  <c r="Z13" i="14"/>
  <c r="Z114" i="11" s="1"/>
  <c r="AE66" i="5"/>
  <c r="AF67" i="5"/>
  <c r="AC42" i="5"/>
  <c r="AC31" i="7"/>
  <c r="AC9" i="6"/>
  <c r="Y15" i="14"/>
  <c r="AE52" i="5"/>
  <c r="AF53" i="5"/>
  <c r="AD11" i="18"/>
  <c r="AD9" i="18" s="1"/>
  <c r="AD44" i="5"/>
  <c r="AE23" i="5"/>
  <c r="AE21" i="5" s="1"/>
  <c r="AD16" i="7"/>
  <c r="AD8" i="6"/>
  <c r="AB14" i="14"/>
  <c r="AB112" i="11" s="1"/>
  <c r="AE33" i="5"/>
  <c r="AD47" i="5"/>
  <c r="AD12" i="6" s="1"/>
  <c r="AC13" i="6"/>
  <c r="AF22" i="5"/>
  <c r="AE43" i="5"/>
  <c r="AE10" i="18"/>
  <c r="AE32" i="5"/>
  <c r="AD46" i="5"/>
  <c r="AD11" i="6" s="1"/>
  <c r="AD13" i="6"/>
  <c r="AC110" i="11"/>
  <c r="AD13" i="5"/>
  <c r="AD12" i="14"/>
  <c r="AD8" i="14" s="1"/>
  <c r="AD110" i="11" s="1"/>
  <c r="P14" i="10"/>
  <c r="P15" i="10" s="1"/>
  <c r="O16" i="10"/>
  <c r="AK13" i="18"/>
  <c r="AL25" i="5"/>
  <c r="AJ46" i="7"/>
  <c r="AJ10" i="6"/>
  <c r="AK12" i="18"/>
  <c r="AK45" i="5"/>
  <c r="AL24" i="5"/>
  <c r="AK14" i="18"/>
  <c r="AL26" i="5"/>
  <c r="AC112" i="11"/>
  <c r="AE51" i="5" l="1"/>
  <c r="Z15" i="14"/>
  <c r="AD9" i="5"/>
  <c r="AD8" i="5" s="1"/>
  <c r="AD5" i="6" s="1"/>
  <c r="AF33" i="5"/>
  <c r="AE47" i="5"/>
  <c r="AE12" i="6" s="1"/>
  <c r="AG53" i="5"/>
  <c r="AF52" i="5"/>
  <c r="AA108" i="11"/>
  <c r="AA13" i="14"/>
  <c r="AA114" i="11" s="1"/>
  <c r="AG36" i="5"/>
  <c r="AF35" i="5"/>
  <c r="AB6" i="6"/>
  <c r="AB7" i="14"/>
  <c r="AB5" i="14" s="1"/>
  <c r="AB108" i="11" s="1"/>
  <c r="AC14" i="5"/>
  <c r="AC12" i="5" s="1"/>
  <c r="AC7" i="6"/>
  <c r="AG29" i="5"/>
  <c r="AF28" i="5"/>
  <c r="AE16" i="7"/>
  <c r="AE8" i="6"/>
  <c r="AE44" i="5"/>
  <c r="AE42" i="5" s="1"/>
  <c r="AE11" i="18"/>
  <c r="AE9" i="18" s="1"/>
  <c r="AF23" i="5"/>
  <c r="AF59" i="5"/>
  <c r="AG60" i="5"/>
  <c r="AE20" i="5"/>
  <c r="AE19" i="5" s="1"/>
  <c r="AD14" i="14" s="1"/>
  <c r="AF66" i="5"/>
  <c r="AG67" i="5"/>
  <c r="AD42" i="5"/>
  <c r="AF10" i="18"/>
  <c r="AF21" i="5"/>
  <c r="AG22" i="5"/>
  <c r="AF43" i="5"/>
  <c r="AD31" i="7"/>
  <c r="AD9" i="6"/>
  <c r="AE46" i="5"/>
  <c r="AE11" i="6" s="1"/>
  <c r="AF32" i="5"/>
  <c r="AB13" i="14"/>
  <c r="AB114" i="11" s="1"/>
  <c r="AL14" i="18"/>
  <c r="AM26" i="5"/>
  <c r="AL12" i="18"/>
  <c r="AL45" i="5"/>
  <c r="AM24" i="5"/>
  <c r="P16" i="10"/>
  <c r="Q14" i="10"/>
  <c r="Q15" i="10" s="1"/>
  <c r="AK46" i="7"/>
  <c r="AK10" i="6"/>
  <c r="AL13" i="18"/>
  <c r="AM25" i="5"/>
  <c r="AE12" i="14"/>
  <c r="AE8" i="14" s="1"/>
  <c r="AE110" i="11" s="1"/>
  <c r="AE13" i="6"/>
  <c r="AE13" i="5"/>
  <c r="AE9" i="5" l="1"/>
  <c r="AE8" i="5" s="1"/>
  <c r="AE5" i="6" s="1"/>
  <c r="AA15" i="14"/>
  <c r="AF16" i="7"/>
  <c r="AF8" i="6"/>
  <c r="AG10" i="18"/>
  <c r="AH22" i="5"/>
  <c r="AG43" i="5"/>
  <c r="AE31" i="7"/>
  <c r="AE9" i="6"/>
  <c r="AF20" i="5"/>
  <c r="AH36" i="5"/>
  <c r="AG35" i="5"/>
  <c r="AC6" i="6"/>
  <c r="AD14" i="5"/>
  <c r="AD12" i="5" s="1"/>
  <c r="AC7" i="14"/>
  <c r="AC5" i="14" s="1"/>
  <c r="AD7" i="6"/>
  <c r="AD7" i="14"/>
  <c r="AD5" i="14" s="1"/>
  <c r="AD108" i="11" s="1"/>
  <c r="AE14" i="5"/>
  <c r="AE12" i="5" s="1"/>
  <c r="AE7" i="6"/>
  <c r="AD6" i="6"/>
  <c r="AH67" i="5"/>
  <c r="AG66" i="5"/>
  <c r="AB15" i="14"/>
  <c r="AF46" i="5"/>
  <c r="AF11" i="6" s="1"/>
  <c r="AG32" i="5"/>
  <c r="AH29" i="5"/>
  <c r="AG28" i="5"/>
  <c r="AH60" i="5"/>
  <c r="AG59" i="5"/>
  <c r="AF51" i="5"/>
  <c r="AH53" i="5"/>
  <c r="AG52" i="5"/>
  <c r="AG23" i="5"/>
  <c r="AG21" i="5" s="1"/>
  <c r="AF11" i="18"/>
  <c r="AF9" i="18" s="1"/>
  <c r="AF44" i="5"/>
  <c r="AG33" i="5"/>
  <c r="AF47" i="5"/>
  <c r="AF12" i="6" s="1"/>
  <c r="AD112" i="11"/>
  <c r="Q16" i="10"/>
  <c r="R14" i="10"/>
  <c r="R15" i="10" s="1"/>
  <c r="AM14" i="18"/>
  <c r="AN26" i="5"/>
  <c r="AM13" i="18"/>
  <c r="AN25" i="5"/>
  <c r="AM12" i="18"/>
  <c r="AN24" i="5"/>
  <c r="AM45" i="5"/>
  <c r="AL46" i="7"/>
  <c r="AL10" i="6"/>
  <c r="E34" i="17" l="1"/>
  <c r="E35" i="17"/>
  <c r="E33" i="17"/>
  <c r="AG20" i="5"/>
  <c r="AH52" i="5"/>
  <c r="AI53" i="5"/>
  <c r="AF19" i="5"/>
  <c r="AH59" i="5"/>
  <c r="AI60" i="5"/>
  <c r="AG16" i="7"/>
  <c r="AG8" i="6"/>
  <c r="AI29" i="5"/>
  <c r="AH28" i="5"/>
  <c r="AC13" i="14"/>
  <c r="AC114" i="11" s="1"/>
  <c r="AC108" i="11"/>
  <c r="AH10" i="18"/>
  <c r="AH43" i="5"/>
  <c r="AI22" i="5"/>
  <c r="AD13" i="14"/>
  <c r="AD15" i="14" s="1"/>
  <c r="AF31" i="7"/>
  <c r="AF9" i="6"/>
  <c r="AG46" i="5"/>
  <c r="AG11" i="6" s="1"/>
  <c r="AH32" i="5"/>
  <c r="AF9" i="5"/>
  <c r="AF8" i="5" s="1"/>
  <c r="AH23" i="5"/>
  <c r="AH21" i="5" s="1"/>
  <c r="AG11" i="18"/>
  <c r="AG9" i="18" s="1"/>
  <c r="AG44" i="5"/>
  <c r="AF42" i="5"/>
  <c r="AG47" i="5"/>
  <c r="AG12" i="6" s="1"/>
  <c r="AH33" i="5"/>
  <c r="AG51" i="5"/>
  <c r="AH66" i="5"/>
  <c r="AI67" i="5"/>
  <c r="AI36" i="5"/>
  <c r="AH35" i="5"/>
  <c r="AN14" i="18"/>
  <c r="AO26" i="5"/>
  <c r="S14" i="10"/>
  <c r="S15" i="10" s="1"/>
  <c r="R16" i="10"/>
  <c r="AN12" i="18"/>
  <c r="AO24" i="5"/>
  <c r="AN45" i="5"/>
  <c r="AN13" i="18"/>
  <c r="AO25" i="5"/>
  <c r="AM46" i="7"/>
  <c r="AM10" i="6"/>
  <c r="AD114" i="11" l="1"/>
  <c r="AG42" i="5"/>
  <c r="AH51" i="5"/>
  <c r="AH20" i="5"/>
  <c r="AH19" i="5" s="1"/>
  <c r="AH13" i="6" s="1"/>
  <c r="AF7" i="14"/>
  <c r="AF5" i="14" s="1"/>
  <c r="AF6" i="6"/>
  <c r="AG7" i="6"/>
  <c r="AG14" i="5"/>
  <c r="AH47" i="5"/>
  <c r="AH12" i="6" s="1"/>
  <c r="AI33" i="5"/>
  <c r="AG9" i="5"/>
  <c r="AG8" i="5" s="1"/>
  <c r="AG5" i="6" s="1"/>
  <c r="AI10" i="18"/>
  <c r="AI43" i="5"/>
  <c r="AJ22" i="5"/>
  <c r="AE7" i="14"/>
  <c r="AE5" i="14" s="1"/>
  <c r="AF7" i="6"/>
  <c r="AE6" i="6"/>
  <c r="AF14" i="5"/>
  <c r="AG31" i="7"/>
  <c r="AG9" i="6"/>
  <c r="AH9" i="18"/>
  <c r="AJ60" i="5"/>
  <c r="AI59" i="5"/>
  <c r="AH11" i="18"/>
  <c r="AH44" i="5"/>
  <c r="AI23" i="5"/>
  <c r="AI21" i="5" s="1"/>
  <c r="AH8" i="6"/>
  <c r="AH16" i="7"/>
  <c r="AF5" i="6"/>
  <c r="AC15" i="14"/>
  <c r="AE14" i="14"/>
  <c r="AF13" i="6"/>
  <c r="AF12" i="14"/>
  <c r="AF8" i="14" s="1"/>
  <c r="AF13" i="5"/>
  <c r="AI52" i="5"/>
  <c r="AJ53" i="5"/>
  <c r="AJ36" i="5"/>
  <c r="AI35" i="5"/>
  <c r="AI32" i="5"/>
  <c r="AH46" i="5"/>
  <c r="AH11" i="6" s="1"/>
  <c r="AJ67" i="5"/>
  <c r="AI66" i="5"/>
  <c r="AG19" i="5"/>
  <c r="AG14" i="14" s="1"/>
  <c r="AJ29" i="5"/>
  <c r="AI28" i="5"/>
  <c r="AH12" i="14"/>
  <c r="AH8" i="14" s="1"/>
  <c r="AH110" i="11" s="1"/>
  <c r="AO14" i="18"/>
  <c r="AP26" i="5"/>
  <c r="AO13" i="18"/>
  <c r="AP25" i="5"/>
  <c r="S16" i="10"/>
  <c r="T14" i="10"/>
  <c r="T15" i="10" s="1"/>
  <c r="AN46" i="7"/>
  <c r="AN10" i="6"/>
  <c r="AO12" i="18"/>
  <c r="AP24" i="5"/>
  <c r="AO45" i="5"/>
  <c r="AH13" i="5" l="1"/>
  <c r="E11" i="2"/>
  <c r="F7" i="3"/>
  <c r="AG112" i="11"/>
  <c r="AE112" i="11"/>
  <c r="AE13" i="14"/>
  <c r="AE15" i="14" s="1"/>
  <c r="AI16" i="7"/>
  <c r="AI8" i="6"/>
  <c r="AK67" i="5"/>
  <c r="AJ66" i="5"/>
  <c r="AK60" i="5"/>
  <c r="AJ59" i="5"/>
  <c r="AI20" i="5"/>
  <c r="AJ33" i="5"/>
  <c r="AI47" i="5"/>
  <c r="AI12" i="6" s="1"/>
  <c r="AI46" i="5"/>
  <c r="AI11" i="6" s="1"/>
  <c r="AJ32" i="5"/>
  <c r="AK36" i="5"/>
  <c r="AJ35" i="5"/>
  <c r="AH9" i="5"/>
  <c r="AH8" i="5" s="1"/>
  <c r="AH5" i="6" s="1"/>
  <c r="AJ52" i="5"/>
  <c r="AK53" i="5"/>
  <c r="AI51" i="5"/>
  <c r="AF12" i="5"/>
  <c r="AH42" i="5"/>
  <c r="AJ28" i="5"/>
  <c r="AK29" i="5"/>
  <c r="AF110" i="11"/>
  <c r="D23" i="14"/>
  <c r="AI11" i="18"/>
  <c r="AI9" i="18" s="1"/>
  <c r="AJ23" i="5"/>
  <c r="AI44" i="5"/>
  <c r="AI9" i="5" s="1"/>
  <c r="AI8" i="5" s="1"/>
  <c r="AI5" i="6" s="1"/>
  <c r="AE108" i="11"/>
  <c r="E32" i="17"/>
  <c r="AG12" i="14"/>
  <c r="AG8" i="14" s="1"/>
  <c r="AG110" i="11" s="1"/>
  <c r="E13" i="2"/>
  <c r="E12" i="2" s="1"/>
  <c r="AG13" i="6"/>
  <c r="AG13" i="5"/>
  <c r="AG12" i="5" s="1"/>
  <c r="AF14" i="14"/>
  <c r="AH31" i="7"/>
  <c r="AH9" i="6"/>
  <c r="AJ43" i="5"/>
  <c r="AK22" i="5"/>
  <c r="AJ10" i="18"/>
  <c r="D22" i="14"/>
  <c r="AF108" i="11"/>
  <c r="AP12" i="18"/>
  <c r="AQ24" i="5"/>
  <c r="AP45" i="5"/>
  <c r="T16" i="10"/>
  <c r="U14" i="10"/>
  <c r="U15" i="10" s="1"/>
  <c r="AP14" i="18"/>
  <c r="AQ26" i="5"/>
  <c r="AP13" i="18"/>
  <c r="AQ25" i="5"/>
  <c r="AO10" i="6"/>
  <c r="AO46" i="7"/>
  <c r="F8" i="3" l="1"/>
  <c r="AJ44" i="5"/>
  <c r="AK23" i="5"/>
  <c r="AK21" i="5" s="1"/>
  <c r="AJ11" i="18"/>
  <c r="D25" i="14"/>
  <c r="AF13" i="14"/>
  <c r="AF112" i="11"/>
  <c r="AK35" i="5"/>
  <c r="AL36" i="5"/>
  <c r="AL67" i="5"/>
  <c r="AK66" i="5"/>
  <c r="AK32" i="5"/>
  <c r="AJ46" i="5"/>
  <c r="AJ11" i="6" s="1"/>
  <c r="AI42" i="5"/>
  <c r="AK28" i="5"/>
  <c r="AL29" i="5"/>
  <c r="AG7" i="14"/>
  <c r="AG5" i="14" s="1"/>
  <c r="AH7" i="6"/>
  <c r="AG6" i="6"/>
  <c r="AH14" i="5"/>
  <c r="AH12" i="5" s="1"/>
  <c r="AJ47" i="5"/>
  <c r="AJ12" i="6" s="1"/>
  <c r="AK33" i="5"/>
  <c r="AJ21" i="5"/>
  <c r="AJ20" i="5" s="1"/>
  <c r="E38" i="17"/>
  <c r="E37" i="17"/>
  <c r="E36" i="17"/>
  <c r="AI19" i="5"/>
  <c r="AE114" i="11"/>
  <c r="D24" i="14"/>
  <c r="D26" i="14" s="1"/>
  <c r="AJ9" i="18"/>
  <c r="AK10" i="18"/>
  <c r="AK43" i="5"/>
  <c r="AL22" i="5"/>
  <c r="AL53" i="5"/>
  <c r="AK52" i="5"/>
  <c r="AL60" i="5"/>
  <c r="AK59" i="5"/>
  <c r="AJ16" i="7"/>
  <c r="AJ8" i="6"/>
  <c r="AI31" i="7"/>
  <c r="AI9" i="6"/>
  <c r="AJ51" i="5"/>
  <c r="AQ13" i="18"/>
  <c r="AR25" i="5"/>
  <c r="AQ14" i="18"/>
  <c r="AR26" i="5"/>
  <c r="U16" i="10"/>
  <c r="V14" i="10"/>
  <c r="V15" i="10" s="1"/>
  <c r="D17" i="2"/>
  <c r="AP46" i="7"/>
  <c r="AP10" i="6"/>
  <c r="AQ12" i="18"/>
  <c r="AQ45" i="5"/>
  <c r="AR24" i="5"/>
  <c r="AJ9" i="5" l="1"/>
  <c r="AJ8" i="5" s="1"/>
  <c r="AJ5" i="6" s="1"/>
  <c r="AK20" i="5"/>
  <c r="AJ19" i="5"/>
  <c r="AL32" i="5"/>
  <c r="AK46" i="5"/>
  <c r="AL10" i="18"/>
  <c r="AL43" i="5"/>
  <c r="AM22" i="5"/>
  <c r="AK47" i="5"/>
  <c r="AK12" i="6" s="1"/>
  <c r="AL33" i="5"/>
  <c r="AK16" i="7"/>
  <c r="AK8" i="6"/>
  <c r="AL66" i="5"/>
  <c r="AM67" i="5"/>
  <c r="AM36" i="5"/>
  <c r="AL35" i="5"/>
  <c r="AJ42" i="5"/>
  <c r="AG108" i="11"/>
  <c r="AF15" i="14"/>
  <c r="AF114" i="11"/>
  <c r="AI12" i="14"/>
  <c r="AI8" i="14" s="1"/>
  <c r="AI110" i="11" s="1"/>
  <c r="AI13" i="6"/>
  <c r="AI13" i="5"/>
  <c r="AH14" i="14"/>
  <c r="AL28" i="5"/>
  <c r="AM29" i="5"/>
  <c r="AL59" i="5"/>
  <c r="AM60" i="5"/>
  <c r="E23" i="17"/>
  <c r="E9" i="17"/>
  <c r="AK51" i="5"/>
  <c r="AK19" i="5" s="1"/>
  <c r="E10" i="17"/>
  <c r="E24" i="17"/>
  <c r="AH6" i="6"/>
  <c r="AH7" i="14"/>
  <c r="AH5" i="14" s="1"/>
  <c r="AI14" i="5"/>
  <c r="AI7" i="6"/>
  <c r="AK11" i="18"/>
  <c r="AK9" i="18" s="1"/>
  <c r="AL23" i="5"/>
  <c r="AK44" i="5"/>
  <c r="AG13" i="14"/>
  <c r="AG114" i="11" s="1"/>
  <c r="AM53" i="5"/>
  <c r="AL52" i="5"/>
  <c r="E25" i="17"/>
  <c r="E11" i="17"/>
  <c r="E81" i="17"/>
  <c r="D20" i="4" s="1"/>
  <c r="AJ31" i="7"/>
  <c r="AJ9" i="6"/>
  <c r="V16" i="10"/>
  <c r="W14" i="10"/>
  <c r="AR14" i="18"/>
  <c r="AS26" i="5"/>
  <c r="AR12" i="18"/>
  <c r="AR45" i="5"/>
  <c r="AS24" i="5"/>
  <c r="AR13" i="18"/>
  <c r="AS25" i="5"/>
  <c r="AQ46" i="7"/>
  <c r="AQ10" i="6"/>
  <c r="AG15" i="14" l="1"/>
  <c r="AJ14" i="14"/>
  <c r="AK12" i="14"/>
  <c r="AK8" i="14" s="1"/>
  <c r="AK110" i="11" s="1"/>
  <c r="AK13" i="6"/>
  <c r="AK13" i="5"/>
  <c r="AM35" i="5"/>
  <c r="AN36" i="5"/>
  <c r="AK9" i="6"/>
  <c r="AK31" i="7"/>
  <c r="AL11" i="18"/>
  <c r="AL44" i="5"/>
  <c r="AM23" i="5"/>
  <c r="AM59" i="5"/>
  <c r="AN60" i="5"/>
  <c r="AM33" i="5"/>
  <c r="AL47" i="5"/>
  <c r="AL12" i="6" s="1"/>
  <c r="AI7" i="14"/>
  <c r="AI5" i="14" s="1"/>
  <c r="AI108" i="11" s="1"/>
  <c r="AJ7" i="6"/>
  <c r="AI6" i="6"/>
  <c r="AJ14" i="5"/>
  <c r="AN29" i="5"/>
  <c r="AM28" i="5"/>
  <c r="AL21" i="5"/>
  <c r="AL20" i="5" s="1"/>
  <c r="AM10" i="18"/>
  <c r="AN22" i="5"/>
  <c r="AM43" i="5"/>
  <c r="X6" i="18"/>
  <c r="AC6" i="18"/>
  <c r="AA4" i="5"/>
  <c r="AB7" i="18"/>
  <c r="Z6" i="18"/>
  <c r="Y4" i="18"/>
  <c r="AF4" i="18"/>
  <c r="Y4" i="5"/>
  <c r="AA5" i="18"/>
  <c r="V7" i="18"/>
  <c r="Y8" i="18"/>
  <c r="AE4" i="18"/>
  <c r="X8" i="18"/>
  <c r="Y5" i="18"/>
  <c r="W7" i="18"/>
  <c r="V4" i="18"/>
  <c r="V4" i="5"/>
  <c r="AA7" i="18"/>
  <c r="W4" i="18"/>
  <c r="V8" i="18"/>
  <c r="AG8" i="18"/>
  <c r="W4" i="5"/>
  <c r="W6" i="18"/>
  <c r="Z4" i="5"/>
  <c r="X4" i="18"/>
  <c r="AF4" i="5"/>
  <c r="V6" i="18"/>
  <c r="AG7" i="18"/>
  <c r="AD8" i="18"/>
  <c r="AB4" i="18"/>
  <c r="AG4" i="5"/>
  <c r="AG4" i="18"/>
  <c r="AF6" i="18"/>
  <c r="AF5" i="18"/>
  <c r="AE7" i="18"/>
  <c r="AB6" i="18"/>
  <c r="AD7" i="18"/>
  <c r="AD6" i="18"/>
  <c r="AE8" i="18"/>
  <c r="Z4" i="18"/>
  <c r="AC5" i="18"/>
  <c r="AC7" i="18"/>
  <c r="W5" i="18"/>
  <c r="AG5" i="18"/>
  <c r="AD5" i="18"/>
  <c r="Z7" i="18"/>
  <c r="AE6" i="18"/>
  <c r="AA6" i="18"/>
  <c r="AC4" i="5"/>
  <c r="AE4" i="5"/>
  <c r="Z8" i="18"/>
  <c r="AA4" i="18"/>
  <c r="AD4" i="5"/>
  <c r="AC8" i="18"/>
  <c r="Y7" i="18"/>
  <c r="AB4" i="5"/>
  <c r="AG6" i="18"/>
  <c r="V5" i="18"/>
  <c r="AF8" i="18"/>
  <c r="AA8" i="18"/>
  <c r="AE5" i="18"/>
  <c r="W8" i="18"/>
  <c r="AB8" i="18"/>
  <c r="AD4" i="18"/>
  <c r="X5" i="18"/>
  <c r="Y6" i="18"/>
  <c r="AF7" i="18"/>
  <c r="Z5" i="18"/>
  <c r="X4" i="5"/>
  <c r="AB5" i="18"/>
  <c r="AC4" i="18"/>
  <c r="X7" i="18"/>
  <c r="D21" i="4"/>
  <c r="D22" i="4" s="1"/>
  <c r="D23" i="4" s="1"/>
  <c r="D24" i="4" s="1"/>
  <c r="D25" i="4" s="1"/>
  <c r="AH108" i="11"/>
  <c r="AH112" i="11"/>
  <c r="AH13" i="14"/>
  <c r="AH114" i="11" s="1"/>
  <c r="AL16" i="7"/>
  <c r="AL8" i="6"/>
  <c r="AI12" i="5"/>
  <c r="AN67" i="5"/>
  <c r="AM66" i="5"/>
  <c r="AL9" i="18"/>
  <c r="E26" i="17"/>
  <c r="AK61" i="7"/>
  <c r="AK11" i="6"/>
  <c r="AL51" i="5"/>
  <c r="AK9" i="5"/>
  <c r="AK8" i="5" s="1"/>
  <c r="AK5" i="6" s="1"/>
  <c r="AM32" i="5"/>
  <c r="AL46" i="5"/>
  <c r="AM52" i="5"/>
  <c r="AN53" i="5"/>
  <c r="AK42" i="5"/>
  <c r="AI14" i="14"/>
  <c r="AJ12" i="14"/>
  <c r="AJ8" i="14" s="1"/>
  <c r="AJ110" i="11" s="1"/>
  <c r="AJ13" i="6"/>
  <c r="AJ13" i="5"/>
  <c r="E12" i="17"/>
  <c r="AS13" i="18"/>
  <c r="AT25" i="5"/>
  <c r="AS12" i="18"/>
  <c r="AS45" i="5"/>
  <c r="AT24" i="5"/>
  <c r="AR46" i="7"/>
  <c r="AR10" i="6"/>
  <c r="AS14" i="18"/>
  <c r="AT26" i="5"/>
  <c r="AJ112" i="11"/>
  <c r="AM51" i="5" l="1"/>
  <c r="AJ12" i="5"/>
  <c r="AJ7" i="14"/>
  <c r="AJ5" i="14" s="1"/>
  <c r="AJ6" i="6"/>
  <c r="AK7" i="6"/>
  <c r="AK14" i="5"/>
  <c r="Z3" i="18"/>
  <c r="AA5" i="16"/>
  <c r="AG5" i="16"/>
  <c r="AF3" i="18"/>
  <c r="AL19" i="5"/>
  <c r="AM11" i="18"/>
  <c r="AM44" i="5"/>
  <c r="AN23" i="5"/>
  <c r="AN21" i="5" s="1"/>
  <c r="AN52" i="5"/>
  <c r="AO53" i="5"/>
  <c r="AN66" i="5"/>
  <c r="AO67" i="5"/>
  <c r="AE3" i="5"/>
  <c r="AF5" i="10"/>
  <c r="AE4" i="6"/>
  <c r="V4" i="6"/>
  <c r="V3" i="5"/>
  <c r="E10" i="2"/>
  <c r="E9" i="2" s="1"/>
  <c r="W5" i="10"/>
  <c r="F6" i="3"/>
  <c r="Z5" i="16"/>
  <c r="Y3" i="18"/>
  <c r="AL31" i="7"/>
  <c r="AL9" i="6"/>
  <c r="AD5" i="16"/>
  <c r="AC3" i="18"/>
  <c r="AC4" i="6"/>
  <c r="AD5" i="10"/>
  <c r="AC3" i="5"/>
  <c r="W5" i="16"/>
  <c r="V3" i="18"/>
  <c r="AO29" i="5"/>
  <c r="AN28" i="5"/>
  <c r="AL61" i="7"/>
  <c r="AL11" i="6"/>
  <c r="AL42" i="5"/>
  <c r="AF3" i="5"/>
  <c r="AG5" i="10"/>
  <c r="AF4" i="6"/>
  <c r="AN32" i="5"/>
  <c r="AM46" i="5"/>
  <c r="AL9" i="5"/>
  <c r="AL8" i="5" s="1"/>
  <c r="AL5" i="6" s="1"/>
  <c r="Y5" i="10"/>
  <c r="X3" i="5"/>
  <c r="X4" i="6"/>
  <c r="X3" i="18"/>
  <c r="Y5" i="16"/>
  <c r="AA4" i="6"/>
  <c r="AB5" i="10"/>
  <c r="AA3" i="5"/>
  <c r="Z4" i="6"/>
  <c r="AA5" i="10"/>
  <c r="Z3" i="5"/>
  <c r="AN35" i="5"/>
  <c r="AO36" i="5"/>
  <c r="AB4" i="6"/>
  <c r="AC5" i="10"/>
  <c r="AB3" i="5"/>
  <c r="AE3" i="18"/>
  <c r="AF5" i="16"/>
  <c r="X5" i="10"/>
  <c r="W3" i="5"/>
  <c r="W4" i="6"/>
  <c r="AM16" i="7"/>
  <c r="AM8" i="6"/>
  <c r="AK12" i="5"/>
  <c r="AH5" i="16"/>
  <c r="AG3" i="18"/>
  <c r="AM21" i="5"/>
  <c r="AM20" i="5" s="1"/>
  <c r="AM19" i="5" s="1"/>
  <c r="AM13" i="5" s="1"/>
  <c r="AN33" i="5"/>
  <c r="AM47" i="5"/>
  <c r="AM12" i="6" s="1"/>
  <c r="AH15" i="14"/>
  <c r="AD3" i="18"/>
  <c r="AE5" i="16"/>
  <c r="AD4" i="6"/>
  <c r="AE5" i="10"/>
  <c r="AD3" i="5"/>
  <c r="AG4" i="6"/>
  <c r="AH5" i="10"/>
  <c r="AG3" i="5"/>
  <c r="AO22" i="5"/>
  <c r="AN10" i="18"/>
  <c r="AN43" i="5"/>
  <c r="AO60" i="5"/>
  <c r="AN59" i="5"/>
  <c r="AI13" i="14"/>
  <c r="AI112" i="11"/>
  <c r="AB5" i="16"/>
  <c r="AA3" i="18"/>
  <c r="AC5" i="16"/>
  <c r="AB3" i="18"/>
  <c r="W3" i="18"/>
  <c r="X5" i="16"/>
  <c r="Y4" i="6"/>
  <c r="Z5" i="10"/>
  <c r="Y3" i="5"/>
  <c r="AM9" i="18"/>
  <c r="AL14" i="14"/>
  <c r="AT14" i="18"/>
  <c r="AU26" i="5"/>
  <c r="AT12" i="18"/>
  <c r="AT45" i="5"/>
  <c r="AU24" i="5"/>
  <c r="AS46" i="7"/>
  <c r="AS10" i="6"/>
  <c r="AT13" i="18"/>
  <c r="AU25" i="5"/>
  <c r="AM12" i="14" l="1"/>
  <c r="AM8" i="14" s="1"/>
  <c r="AM110" i="11" s="1"/>
  <c r="AM13" i="6"/>
  <c r="AM9" i="5"/>
  <c r="AM8" i="5" s="1"/>
  <c r="AM5" i="6" s="1"/>
  <c r="AN16" i="7"/>
  <c r="AN8" i="6"/>
  <c r="W3" i="6"/>
  <c r="X6" i="16" s="1"/>
  <c r="X7" i="16" s="1"/>
  <c r="X6" i="10"/>
  <c r="X4" i="10" s="1"/>
  <c r="AA4" i="10"/>
  <c r="AM11" i="6"/>
  <c r="AM61" i="7"/>
  <c r="Z3" i="6"/>
  <c r="AA6" i="16" s="1"/>
  <c r="AA7" i="16" s="1"/>
  <c r="AA6" i="10"/>
  <c r="AN46" i="5"/>
  <c r="AO32" i="5"/>
  <c r="AM9" i="6"/>
  <c r="AM31" i="7"/>
  <c r="AO10" i="18"/>
  <c r="AO43" i="5"/>
  <c r="AP22" i="5"/>
  <c r="AO33" i="5"/>
  <c r="AN47" i="5"/>
  <c r="AN12" i="6" s="1"/>
  <c r="AG6" i="10"/>
  <c r="AG4" i="10" s="1"/>
  <c r="AF3" i="6"/>
  <c r="AG6" i="16" s="1"/>
  <c r="AG7" i="16" s="1"/>
  <c r="F5" i="3"/>
  <c r="AD6" i="10"/>
  <c r="AD4" i="10" s="1"/>
  <c r="AC3" i="6"/>
  <c r="AD6" i="16" s="1"/>
  <c r="AD7" i="16" s="1"/>
  <c r="V3" i="6"/>
  <c r="W6" i="10"/>
  <c r="W4" i="10" s="1"/>
  <c r="W15" i="10" s="1"/>
  <c r="AL13" i="6"/>
  <c r="AL12" i="14"/>
  <c r="AL8" i="14" s="1"/>
  <c r="AL110" i="11" s="1"/>
  <c r="AL13" i="5"/>
  <c r="AK14" i="14"/>
  <c r="AA3" i="6"/>
  <c r="AB6" i="16" s="1"/>
  <c r="AB7" i="16" s="1"/>
  <c r="AB6" i="10"/>
  <c r="AB4" i="10" s="1"/>
  <c r="AF6" i="10"/>
  <c r="AF4" i="10" s="1"/>
  <c r="AE3" i="6"/>
  <c r="AF6" i="16" s="1"/>
  <c r="AF7" i="16" s="1"/>
  <c r="AG3" i="6"/>
  <c r="AH6" i="16" s="1"/>
  <c r="AH7" i="16" s="1"/>
  <c r="AH6" i="10"/>
  <c r="AH4" i="10" s="1"/>
  <c r="AK7" i="14"/>
  <c r="AK5" i="14" s="1"/>
  <c r="AK108" i="11" s="1"/>
  <c r="AL7" i="6"/>
  <c r="AL14" i="5"/>
  <c r="AK6" i="6"/>
  <c r="AB3" i="6"/>
  <c r="AC6" i="16" s="1"/>
  <c r="AC7" i="16" s="1"/>
  <c r="AC6" i="10"/>
  <c r="AC4" i="10" s="1"/>
  <c r="X3" i="6"/>
  <c r="Y6" i="16" s="1"/>
  <c r="Y7" i="16" s="1"/>
  <c r="Y6" i="10"/>
  <c r="Y4" i="10" s="1"/>
  <c r="AO66" i="5"/>
  <c r="AP67" i="5"/>
  <c r="AE6" i="10"/>
  <c r="AE4" i="10" s="1"/>
  <c r="AD3" i="6"/>
  <c r="AE6" i="16" s="1"/>
  <c r="AE7" i="16" s="1"/>
  <c r="AO35" i="5"/>
  <c r="AP36" i="5"/>
  <c r="AI114" i="11"/>
  <c r="AI15" i="14"/>
  <c r="AO28" i="5"/>
  <c r="AP29" i="5"/>
  <c r="AP53" i="5"/>
  <c r="AO52" i="5"/>
  <c r="AO59" i="5"/>
  <c r="AP60" i="5"/>
  <c r="Y3" i="6"/>
  <c r="Z6" i="16" s="1"/>
  <c r="Z7" i="16" s="1"/>
  <c r="Z6" i="10"/>
  <c r="Z4" i="10" s="1"/>
  <c r="AN20" i="5"/>
  <c r="AM42" i="5"/>
  <c r="AN51" i="5"/>
  <c r="AN44" i="5"/>
  <c r="AN11" i="18"/>
  <c r="AN9" i="18" s="1"/>
  <c r="AO23" i="5"/>
  <c r="AJ108" i="11"/>
  <c r="AJ13" i="14"/>
  <c r="AL112" i="11"/>
  <c r="AU14" i="18"/>
  <c r="AV26" i="5"/>
  <c r="AU13" i="18"/>
  <c r="AV25" i="5"/>
  <c r="AU12" i="18"/>
  <c r="AV24" i="5"/>
  <c r="AU45" i="5"/>
  <c r="AT46" i="7"/>
  <c r="AT10" i="6"/>
  <c r="AO51" i="5" l="1"/>
  <c r="AP52" i="5"/>
  <c r="AQ53" i="5"/>
  <c r="AO11" i="18"/>
  <c r="AO9" i="18" s="1"/>
  <c r="AP23" i="5"/>
  <c r="AO44" i="5"/>
  <c r="W6" i="16"/>
  <c r="W7" i="16" s="1"/>
  <c r="F11" i="3"/>
  <c r="F10" i="3" s="1"/>
  <c r="F12" i="3" s="1"/>
  <c r="F14" i="3" s="1"/>
  <c r="AO16" i="7"/>
  <c r="AO8" i="6"/>
  <c r="AN9" i="6"/>
  <c r="AN31" i="7"/>
  <c r="AO21" i="5"/>
  <c r="AO20" i="5" s="1"/>
  <c r="AO19" i="5" s="1"/>
  <c r="AO12" i="14" s="1"/>
  <c r="AO8" i="14" s="1"/>
  <c r="AO110" i="11" s="1"/>
  <c r="X14" i="10"/>
  <c r="X15" i="10" s="1"/>
  <c r="W16" i="10"/>
  <c r="AM7" i="6"/>
  <c r="AL7" i="14"/>
  <c r="AL5" i="14" s="1"/>
  <c r="AL6" i="6"/>
  <c r="AM14" i="5"/>
  <c r="AM12" i="5" s="1"/>
  <c r="AQ29" i="5"/>
  <c r="AP28" i="5"/>
  <c r="AN9" i="5"/>
  <c r="AN8" i="5" s="1"/>
  <c r="AN5" i="6" s="1"/>
  <c r="AN19" i="5"/>
  <c r="AK112" i="11"/>
  <c r="AK13" i="14"/>
  <c r="AP32" i="5"/>
  <c r="AO46" i="5"/>
  <c r="AN42" i="5"/>
  <c r="AP66" i="5"/>
  <c r="AQ67" i="5"/>
  <c r="AL12" i="5"/>
  <c r="AN61" i="7"/>
  <c r="AN11" i="6"/>
  <c r="AJ15" i="14"/>
  <c r="AJ114" i="11"/>
  <c r="AO47" i="5"/>
  <c r="AO12" i="6" s="1"/>
  <c r="AP33" i="5"/>
  <c r="AP59" i="5"/>
  <c r="AQ60" i="5"/>
  <c r="AP35" i="5"/>
  <c r="AQ36" i="5"/>
  <c r="AP21" i="5"/>
  <c r="AQ22" i="5"/>
  <c r="AP43" i="5"/>
  <c r="AP10" i="18"/>
  <c r="AO13" i="6"/>
  <c r="AN14" i="14"/>
  <c r="AV14" i="18"/>
  <c r="AW26" i="5"/>
  <c r="AU46" i="7"/>
  <c r="AU10" i="6"/>
  <c r="AV12" i="18"/>
  <c r="AV45" i="5"/>
  <c r="AW24" i="5"/>
  <c r="AV13" i="18"/>
  <c r="AW25" i="5"/>
  <c r="AO42" i="5" l="1"/>
  <c r="AO7" i="6" s="1"/>
  <c r="AN6" i="6"/>
  <c r="AO14" i="5"/>
  <c r="AN7" i="14"/>
  <c r="AN5" i="14" s="1"/>
  <c r="AN108" i="11" s="1"/>
  <c r="AQ33" i="5"/>
  <c r="AP47" i="5"/>
  <c r="AP12" i="6" s="1"/>
  <c r="AP20" i="5"/>
  <c r="AR29" i="5"/>
  <c r="AQ28" i="5"/>
  <c r="AR36" i="5"/>
  <c r="AQ35" i="5"/>
  <c r="AR67" i="5"/>
  <c r="AQ66" i="5"/>
  <c r="AO9" i="5"/>
  <c r="AO8" i="5" s="1"/>
  <c r="AO5" i="6" s="1"/>
  <c r="AQ59" i="5"/>
  <c r="AR60" i="5"/>
  <c r="AM7" i="14"/>
  <c r="AM5" i="14" s="1"/>
  <c r="AM108" i="11" s="1"/>
  <c r="AN7" i="6"/>
  <c r="AM6" i="6"/>
  <c r="AN14" i="5"/>
  <c r="AL108" i="11"/>
  <c r="AL13" i="14"/>
  <c r="AL114" i="11" s="1"/>
  <c r="F17" i="3"/>
  <c r="F20" i="3" s="1"/>
  <c r="E16" i="2"/>
  <c r="AQ32" i="5"/>
  <c r="AP46" i="5"/>
  <c r="AK114" i="11"/>
  <c r="AK15" i="14"/>
  <c r="X16" i="10"/>
  <c r="Y14" i="10"/>
  <c r="Y15" i="10" s="1"/>
  <c r="AO31" i="7"/>
  <c r="AO9" i="6"/>
  <c r="AP11" i="18"/>
  <c r="AP9" i="18" s="1"/>
  <c r="AQ23" i="5"/>
  <c r="AQ21" i="5" s="1"/>
  <c r="AP44" i="5"/>
  <c r="AO11" i="6"/>
  <c r="AO61" i="7"/>
  <c r="AN13" i="5"/>
  <c r="AN12" i="14"/>
  <c r="AN8" i="14" s="1"/>
  <c r="AN110" i="11" s="1"/>
  <c r="AM14" i="14"/>
  <c r="AN13" i="6"/>
  <c r="AO13" i="5"/>
  <c r="AO12" i="5" s="1"/>
  <c r="AP8" i="6"/>
  <c r="AP16" i="7"/>
  <c r="AR53" i="5"/>
  <c r="AQ52" i="5"/>
  <c r="AQ10" i="18"/>
  <c r="AR22" i="5"/>
  <c r="AQ43" i="5"/>
  <c r="AP51" i="5"/>
  <c r="AN112" i="11"/>
  <c r="AW13" i="18"/>
  <c r="AX25" i="5"/>
  <c r="AW12" i="18"/>
  <c r="AW45" i="5"/>
  <c r="AX24" i="5"/>
  <c r="AV46" i="7"/>
  <c r="AV10" i="6"/>
  <c r="AW14" i="18"/>
  <c r="AX26" i="5"/>
  <c r="AQ51" i="5" l="1"/>
  <c r="AP42" i="5"/>
  <c r="AP19" i="5"/>
  <c r="AQ20" i="5"/>
  <c r="AQ19" i="5" s="1"/>
  <c r="AQ12" i="14" s="1"/>
  <c r="AQ8" i="14" s="1"/>
  <c r="AQ110" i="11" s="1"/>
  <c r="AL15" i="14"/>
  <c r="AQ16" i="7"/>
  <c r="AQ8" i="6"/>
  <c r="AN13" i="14"/>
  <c r="AN114" i="11" s="1"/>
  <c r="AS36" i="5"/>
  <c r="AR35" i="5"/>
  <c r="Z14" i="10"/>
  <c r="Z15" i="10" s="1"/>
  <c r="Y16" i="10"/>
  <c r="AR10" i="18"/>
  <c r="AR43" i="5"/>
  <c r="AS22" i="5"/>
  <c r="AM13" i="14"/>
  <c r="AM112" i="11"/>
  <c r="AS29" i="5"/>
  <c r="AR28" i="5"/>
  <c r="AP12" i="14"/>
  <c r="AP8" i="14" s="1"/>
  <c r="AP110" i="11" s="1"/>
  <c r="AS53" i="5"/>
  <c r="AR52" i="5"/>
  <c r="AN12" i="5"/>
  <c r="AP7" i="6"/>
  <c r="AO6" i="6"/>
  <c r="AP14" i="5"/>
  <c r="AO7" i="14"/>
  <c r="AO5" i="14" s="1"/>
  <c r="AO108" i="11" s="1"/>
  <c r="AP61" i="7"/>
  <c r="AP11" i="6"/>
  <c r="AS60" i="5"/>
  <c r="AR59" i="5"/>
  <c r="AR33" i="5"/>
  <c r="AQ47" i="5"/>
  <c r="AQ12" i="6" s="1"/>
  <c r="AQ46" i="5"/>
  <c r="AR32" i="5"/>
  <c r="AP13" i="5"/>
  <c r="AP9" i="5"/>
  <c r="AP8" i="5" s="1"/>
  <c r="AP5" i="6" s="1"/>
  <c r="AP31" i="7"/>
  <c r="AP9" i="6"/>
  <c r="AR23" i="5"/>
  <c r="AQ11" i="18"/>
  <c r="AQ9" i="18" s="1"/>
  <c r="AQ44" i="5"/>
  <c r="G23" i="3"/>
  <c r="F22" i="3"/>
  <c r="F25" i="3" s="1"/>
  <c r="AS67" i="5"/>
  <c r="AR66" i="5"/>
  <c r="AX13" i="18"/>
  <c r="AY25" i="5"/>
  <c r="AX14" i="18"/>
  <c r="AY26" i="5"/>
  <c r="AW46" i="7"/>
  <c r="AW10" i="6"/>
  <c r="AX12" i="18"/>
  <c r="AY24" i="5"/>
  <c r="AX45" i="5"/>
  <c r="AP14" i="14" l="1"/>
  <c r="AQ13" i="5"/>
  <c r="AQ13" i="6"/>
  <c r="AR51" i="5"/>
  <c r="AO14" i="14"/>
  <c r="AO112" i="11" s="1"/>
  <c r="AP13" i="6"/>
  <c r="AS52" i="5"/>
  <c r="AT53" i="5"/>
  <c r="AS33" i="5"/>
  <c r="AR47" i="5"/>
  <c r="AR12" i="6" s="1"/>
  <c r="AQ31" i="7"/>
  <c r="AQ9" i="6"/>
  <c r="AA14" i="10"/>
  <c r="AA15" i="10" s="1"/>
  <c r="Z16" i="10"/>
  <c r="AT60" i="5"/>
  <c r="AS59" i="5"/>
  <c r="AS23" i="5"/>
  <c r="AR44" i="5"/>
  <c r="AR11" i="18"/>
  <c r="AR9" i="18" s="1"/>
  <c r="AT29" i="5"/>
  <c r="AS28" i="5"/>
  <c r="AT36" i="5"/>
  <c r="AS35" i="5"/>
  <c r="AM114" i="11"/>
  <c r="AM15" i="14"/>
  <c r="AQ9" i="5"/>
  <c r="AQ8" i="5" s="1"/>
  <c r="AQ5" i="6" s="1"/>
  <c r="AQ42" i="5"/>
  <c r="AP12" i="5"/>
  <c r="AS10" i="18"/>
  <c r="AS21" i="5"/>
  <c r="AS43" i="5"/>
  <c r="AT22" i="5"/>
  <c r="AS66" i="5"/>
  <c r="AT67" i="5"/>
  <c r="AS32" i="5"/>
  <c r="AR46" i="5"/>
  <c r="AR21" i="5"/>
  <c r="AR20" i="5" s="1"/>
  <c r="AR19" i="5" s="1"/>
  <c r="AR13" i="5" s="1"/>
  <c r="AN15" i="14"/>
  <c r="AQ61" i="7"/>
  <c r="AQ11" i="6"/>
  <c r="AR8" i="6"/>
  <c r="AR16" i="7"/>
  <c r="AO13" i="14"/>
  <c r="AR13" i="6"/>
  <c r="AX46" i="7"/>
  <c r="AX10" i="6"/>
  <c r="AY12" i="18"/>
  <c r="AZ24" i="5"/>
  <c r="AY45" i="5"/>
  <c r="AY14" i="18"/>
  <c r="AZ26" i="5"/>
  <c r="AY13" i="18"/>
  <c r="AZ25" i="5"/>
  <c r="AP112" i="11"/>
  <c r="AR9" i="5" l="1"/>
  <c r="AR8" i="5" s="1"/>
  <c r="AR5" i="6" s="1"/>
  <c r="F34" i="17"/>
  <c r="AP6" i="6"/>
  <c r="AQ14" i="5"/>
  <c r="AQ12" i="5" s="1"/>
  <c r="AP7" i="14"/>
  <c r="AP5" i="14" s="1"/>
  <c r="AQ7" i="6"/>
  <c r="AT59" i="5"/>
  <c r="AU60" i="5"/>
  <c r="AR11" i="6"/>
  <c r="AR61" i="7"/>
  <c r="AB14" i="10"/>
  <c r="AB15" i="10" s="1"/>
  <c r="AA16" i="10"/>
  <c r="AO114" i="11"/>
  <c r="AO15" i="14"/>
  <c r="AT32" i="5"/>
  <c r="AS46" i="5"/>
  <c r="AR42" i="5"/>
  <c r="AU67" i="5"/>
  <c r="AT66" i="5"/>
  <c r="F35" i="17"/>
  <c r="AU36" i="5"/>
  <c r="AT35" i="5"/>
  <c r="AT10" i="18"/>
  <c r="AT43" i="5"/>
  <c r="AU22" i="5"/>
  <c r="AS8" i="6"/>
  <c r="AS16" i="7"/>
  <c r="AT28" i="5"/>
  <c r="AU29" i="5"/>
  <c r="AT33" i="5"/>
  <c r="AS47" i="5"/>
  <c r="AR12" i="14"/>
  <c r="AR8" i="14" s="1"/>
  <c r="E23" i="14" s="1"/>
  <c r="AS20" i="5"/>
  <c r="F33" i="17"/>
  <c r="AT52" i="5"/>
  <c r="AU53" i="5"/>
  <c r="AR31" i="7"/>
  <c r="AR9" i="6"/>
  <c r="AS51" i="5"/>
  <c r="AQ14" i="14"/>
  <c r="AQ112" i="11" s="1"/>
  <c r="AS11" i="18"/>
  <c r="AS9" i="18" s="1"/>
  <c r="AS44" i="5"/>
  <c r="AT23" i="5"/>
  <c r="AZ13" i="18"/>
  <c r="BA25" i="5"/>
  <c r="AZ14" i="18"/>
  <c r="BA26" i="5"/>
  <c r="AY46" i="7"/>
  <c r="AY10" i="6"/>
  <c r="AZ12" i="18"/>
  <c r="BA24" i="5"/>
  <c r="AZ45" i="5"/>
  <c r="AR110" i="11" l="1"/>
  <c r="AS9" i="5"/>
  <c r="AS8" i="5" s="1"/>
  <c r="AS5" i="6" s="1"/>
  <c r="G7" i="3"/>
  <c r="AT8" i="6"/>
  <c r="AT16" i="7"/>
  <c r="AT9" i="18"/>
  <c r="AB16" i="10"/>
  <c r="AC14" i="10"/>
  <c r="AC15" i="10" s="1"/>
  <c r="AU28" i="5"/>
  <c r="AV29" i="5"/>
  <c r="AV36" i="5"/>
  <c r="AU35" i="5"/>
  <c r="AV60" i="5"/>
  <c r="AU59" i="5"/>
  <c r="AS12" i="6"/>
  <c r="AT76" i="7"/>
  <c r="AU33" i="5"/>
  <c r="AT47" i="5"/>
  <c r="AV67" i="5"/>
  <c r="AU66" i="5"/>
  <c r="AV53" i="5"/>
  <c r="AU52" i="5"/>
  <c r="AQ7" i="14"/>
  <c r="AQ5" i="14" s="1"/>
  <c r="AQ108" i="11" s="1"/>
  <c r="AR7" i="6"/>
  <c r="AQ6" i="6"/>
  <c r="AR14" i="5"/>
  <c r="AR12" i="5" s="1"/>
  <c r="AT51" i="5"/>
  <c r="AS42" i="5"/>
  <c r="AS11" i="6"/>
  <c r="AS61" i="7"/>
  <c r="AP108" i="11"/>
  <c r="AP13" i="14"/>
  <c r="AU23" i="5"/>
  <c r="AU21" i="5" s="1"/>
  <c r="AT44" i="5"/>
  <c r="AT11" i="18"/>
  <c r="AU10" i="18"/>
  <c r="AU43" i="5"/>
  <c r="AV22" i="5"/>
  <c r="AU32" i="5"/>
  <c r="AT46" i="5"/>
  <c r="AS31" i="7"/>
  <c r="AS9" i="6"/>
  <c r="AS19" i="5"/>
  <c r="AT21" i="5"/>
  <c r="AT20" i="5" s="1"/>
  <c r="BA14" i="18"/>
  <c r="BB26" i="5"/>
  <c r="AZ46" i="7"/>
  <c r="AZ10" i="6"/>
  <c r="BA12" i="18"/>
  <c r="BA45" i="5"/>
  <c r="BB24" i="5"/>
  <c r="BA13" i="18"/>
  <c r="BB25" i="5"/>
  <c r="F11" i="2" l="1"/>
  <c r="AQ13" i="14"/>
  <c r="AQ114" i="11" s="1"/>
  <c r="AV32" i="5"/>
  <c r="AU46" i="5"/>
  <c r="AW67" i="5"/>
  <c r="AV66" i="5"/>
  <c r="AC16" i="10"/>
  <c r="AD14" i="10"/>
  <c r="AD15" i="10" s="1"/>
  <c r="AS7" i="6"/>
  <c r="AS14" i="5"/>
  <c r="AR6" i="6"/>
  <c r="AR7" i="14"/>
  <c r="AR5" i="14" s="1"/>
  <c r="AQ15" i="14"/>
  <c r="AT11" i="6"/>
  <c r="AT61" i="7"/>
  <c r="AU20" i="5"/>
  <c r="AU76" i="7"/>
  <c r="AT12" i="6"/>
  <c r="AW22" i="5"/>
  <c r="AV10" i="18"/>
  <c r="AV43" i="5"/>
  <c r="AV33" i="5"/>
  <c r="AU47" i="5"/>
  <c r="AU16" i="7"/>
  <c r="AU8" i="6"/>
  <c r="AT19" i="5"/>
  <c r="AT9" i="6"/>
  <c r="AT31" i="7"/>
  <c r="AV59" i="5"/>
  <c r="AW60" i="5"/>
  <c r="AT42" i="5"/>
  <c r="AS13" i="5"/>
  <c r="AR14" i="14"/>
  <c r="AS12" i="14"/>
  <c r="AS8" i="14" s="1"/>
  <c r="AS110" i="11" s="1"/>
  <c r="F13" i="2"/>
  <c r="F12" i="2" s="1"/>
  <c r="F32" i="17"/>
  <c r="AS13" i="6"/>
  <c r="AU11" i="18"/>
  <c r="AU9" i="18" s="1"/>
  <c r="AV23" i="5"/>
  <c r="AU44" i="5"/>
  <c r="AT9" i="5"/>
  <c r="AT8" i="5" s="1"/>
  <c r="AT5" i="6" s="1"/>
  <c r="AP15" i="14"/>
  <c r="AP114" i="11"/>
  <c r="AU51" i="5"/>
  <c r="AW36" i="5"/>
  <c r="AV35" i="5"/>
  <c r="AV52" i="5"/>
  <c r="AW53" i="5"/>
  <c r="AV28" i="5"/>
  <c r="AW29" i="5"/>
  <c r="BB14" i="18"/>
  <c r="BC26" i="5"/>
  <c r="BB12" i="18"/>
  <c r="BB45" i="5"/>
  <c r="BC24" i="5"/>
  <c r="BB13" i="18"/>
  <c r="BC25" i="5"/>
  <c r="BA46" i="7"/>
  <c r="BA10" i="6"/>
  <c r="AU9" i="5" l="1"/>
  <c r="AU8" i="5" s="1"/>
  <c r="AU5" i="6" s="1"/>
  <c r="AS7" i="14"/>
  <c r="AS5" i="14" s="1"/>
  <c r="AT7" i="6"/>
  <c r="AS6" i="6"/>
  <c r="AT14" i="5"/>
  <c r="AU12" i="6"/>
  <c r="AV76" i="7"/>
  <c r="AV47" i="5"/>
  <c r="AW33" i="5"/>
  <c r="E22" i="14"/>
  <c r="AR108" i="11"/>
  <c r="AU9" i="6"/>
  <c r="AU31" i="7"/>
  <c r="AV8" i="6"/>
  <c r="AV16" i="7"/>
  <c r="AW59" i="5"/>
  <c r="AX60" i="5"/>
  <c r="AW28" i="5"/>
  <c r="AX29" i="5"/>
  <c r="AW23" i="5"/>
  <c r="AV44" i="5"/>
  <c r="AV11" i="18"/>
  <c r="AV9" i="18" s="1"/>
  <c r="AV21" i="5"/>
  <c r="AV20" i="5" s="1"/>
  <c r="AX53" i="5"/>
  <c r="AW52" i="5"/>
  <c r="AT13" i="6"/>
  <c r="AT13" i="5"/>
  <c r="AT12" i="5" s="1"/>
  <c r="AS14" i="14"/>
  <c r="AT12" i="14"/>
  <c r="AT8" i="14" s="1"/>
  <c r="AT110" i="11" s="1"/>
  <c r="AW10" i="18"/>
  <c r="AX22" i="5"/>
  <c r="AW43" i="5"/>
  <c r="AE14" i="10"/>
  <c r="AE15" i="10" s="1"/>
  <c r="AD16" i="10"/>
  <c r="AV51" i="5"/>
  <c r="F37" i="17"/>
  <c r="F36" i="17"/>
  <c r="F38" i="17"/>
  <c r="AU19" i="5"/>
  <c r="AW66" i="5"/>
  <c r="AX67" i="5"/>
  <c r="AU42" i="5"/>
  <c r="AU61" i="7"/>
  <c r="AU11" i="6"/>
  <c r="AW35" i="5"/>
  <c r="AX36" i="5"/>
  <c r="E25" i="14"/>
  <c r="AR112" i="11"/>
  <c r="AR13" i="14"/>
  <c r="AS12" i="5"/>
  <c r="G8" i="3" s="1"/>
  <c r="AW32" i="5"/>
  <c r="AV46" i="5"/>
  <c r="BC13" i="18"/>
  <c r="BD25" i="5"/>
  <c r="BC14" i="18"/>
  <c r="BD26" i="5"/>
  <c r="BC12" i="18"/>
  <c r="BD24" i="5"/>
  <c r="BC45" i="5"/>
  <c r="BB46" i="7"/>
  <c r="BB10" i="6"/>
  <c r="AV61" i="7" l="1"/>
  <c r="AV11" i="6"/>
  <c r="AY67" i="5"/>
  <c r="AX66" i="5"/>
  <c r="AX21" i="5"/>
  <c r="AX43" i="5"/>
  <c r="AY22" i="5"/>
  <c r="AX10" i="18"/>
  <c r="AV31" i="7"/>
  <c r="AV9" i="6"/>
  <c r="AW9" i="18"/>
  <c r="AW11" i="18"/>
  <c r="AW44" i="5"/>
  <c r="AX23" i="5"/>
  <c r="AY29" i="5"/>
  <c r="AX28" i="5"/>
  <c r="E24" i="14"/>
  <c r="E26" i="14" s="1"/>
  <c r="AR114" i="11"/>
  <c r="AR15" i="14"/>
  <c r="F11" i="17"/>
  <c r="F81" i="17"/>
  <c r="E20" i="4" s="1"/>
  <c r="F25" i="17"/>
  <c r="AS13" i="14"/>
  <c r="AS114" i="11" s="1"/>
  <c r="AS112" i="11"/>
  <c r="AX33" i="5"/>
  <c r="AW47" i="5"/>
  <c r="AV12" i="6"/>
  <c r="AW76" i="7"/>
  <c r="F24" i="17"/>
  <c r="F10" i="17"/>
  <c r="AW51" i="5"/>
  <c r="AX35" i="5"/>
  <c r="AY36" i="5"/>
  <c r="AY53" i="5"/>
  <c r="AX52" i="5"/>
  <c r="AV42" i="5"/>
  <c r="AE16" i="10"/>
  <c r="AF14" i="10"/>
  <c r="AF15" i="10" s="1"/>
  <c r="AU13" i="6"/>
  <c r="AU13" i="5"/>
  <c r="AT14" i="14"/>
  <c r="AU12" i="14"/>
  <c r="AU8" i="14" s="1"/>
  <c r="AU110" i="11" s="1"/>
  <c r="F9" i="17"/>
  <c r="F23" i="17"/>
  <c r="AY60" i="5"/>
  <c r="AX59" i="5"/>
  <c r="AW21" i="5"/>
  <c r="AW20" i="5" s="1"/>
  <c r="AV19" i="5"/>
  <c r="AV9" i="5"/>
  <c r="AV8" i="5" s="1"/>
  <c r="AV5" i="6" s="1"/>
  <c r="AX32" i="5"/>
  <c r="AW46" i="5"/>
  <c r="AU7" i="6"/>
  <c r="AT6" i="6"/>
  <c r="AU14" i="5"/>
  <c r="AT7" i="14"/>
  <c r="AT5" i="14" s="1"/>
  <c r="AT108" i="11" s="1"/>
  <c r="AW16" i="7"/>
  <c r="AW8" i="6"/>
  <c r="AS108" i="11"/>
  <c r="AS15" i="14"/>
  <c r="BD14" i="18"/>
  <c r="BE26" i="5"/>
  <c r="BD13" i="18"/>
  <c r="BE25" i="5"/>
  <c r="BD12" i="18"/>
  <c r="BD45" i="5"/>
  <c r="BE24" i="5"/>
  <c r="BC46" i="7"/>
  <c r="BC10" i="6"/>
  <c r="F26" i="17" l="1"/>
  <c r="F12" i="17"/>
  <c r="AZ36" i="5"/>
  <c r="AY35" i="5"/>
  <c r="AJ6" i="18"/>
  <c r="AI5" i="18"/>
  <c r="AO8" i="18"/>
  <c r="AQ8" i="18"/>
  <c r="AN4" i="18"/>
  <c r="AQ5" i="18"/>
  <c r="AJ8" i="18"/>
  <c r="AL4" i="18"/>
  <c r="AN5" i="18"/>
  <c r="AK8" i="18"/>
  <c r="AM7" i="18"/>
  <c r="AO7" i="18"/>
  <c r="AQ6" i="18"/>
  <c r="AS6" i="18"/>
  <c r="AQ4" i="18"/>
  <c r="AS7" i="18"/>
  <c r="AR4" i="18"/>
  <c r="AH6" i="18"/>
  <c r="AL6" i="18"/>
  <c r="AP6" i="18"/>
  <c r="AQ7" i="18"/>
  <c r="AS5" i="18"/>
  <c r="AH8" i="18"/>
  <c r="AL7" i="18"/>
  <c r="AJ5" i="18"/>
  <c r="AM4" i="18"/>
  <c r="AO4" i="18"/>
  <c r="AQ4" i="5"/>
  <c r="AI4" i="5"/>
  <c r="AL5" i="18"/>
  <c r="AL8" i="18"/>
  <c r="AP5" i="18"/>
  <c r="AS4" i="5"/>
  <c r="E21" i="4"/>
  <c r="E22" i="4" s="1"/>
  <c r="E23" i="4" s="1"/>
  <c r="E24" i="4" s="1"/>
  <c r="E25" i="4" s="1"/>
  <c r="AK6" i="18"/>
  <c r="AM8" i="18"/>
  <c r="AK5" i="18"/>
  <c r="AK4" i="5"/>
  <c r="AI4" i="18"/>
  <c r="AN4" i="5"/>
  <c r="AK4" i="18"/>
  <c r="AH7" i="18"/>
  <c r="AK7" i="18"/>
  <c r="AM6" i="18"/>
  <c r="AO6" i="18"/>
  <c r="AM5" i="18"/>
  <c r="AS8" i="18"/>
  <c r="AR5" i="18"/>
  <c r="AO5" i="18"/>
  <c r="AH4" i="18"/>
  <c r="AP4" i="18"/>
  <c r="AI6" i="18"/>
  <c r="AN6" i="18"/>
  <c r="AR6" i="18"/>
  <c r="AO4" i="5"/>
  <c r="AR4" i="5"/>
  <c r="AN8" i="18"/>
  <c r="AP8" i="18"/>
  <c r="AL4" i="5"/>
  <c r="AI7" i="18"/>
  <c r="AR8" i="18"/>
  <c r="AS4" i="18"/>
  <c r="AH5" i="18"/>
  <c r="AJ4" i="5"/>
  <c r="AI8" i="18"/>
  <c r="AN7" i="18"/>
  <c r="AP7" i="18"/>
  <c r="AM4" i="5"/>
  <c r="AJ4" i="18"/>
  <c r="AJ7" i="18"/>
  <c r="AH4" i="5"/>
  <c r="AR7" i="18"/>
  <c r="AP4" i="5"/>
  <c r="AT112" i="11"/>
  <c r="AT13" i="14"/>
  <c r="AW61" i="7"/>
  <c r="AW11" i="6"/>
  <c r="AU12" i="5"/>
  <c r="AY10" i="18"/>
  <c r="AY43" i="5"/>
  <c r="AZ22" i="5"/>
  <c r="AY32" i="5"/>
  <c r="AX46" i="5"/>
  <c r="AX9" i="5" s="1"/>
  <c r="AX8" i="5" s="1"/>
  <c r="AX5" i="6" s="1"/>
  <c r="AX8" i="6"/>
  <c r="AX16" i="7"/>
  <c r="AG14" i="10"/>
  <c r="AG15" i="10" s="1"/>
  <c r="AF16" i="10"/>
  <c r="AX20" i="5"/>
  <c r="AV13" i="6"/>
  <c r="AV12" i="14"/>
  <c r="AV8" i="14" s="1"/>
  <c r="AV110" i="11" s="1"/>
  <c r="AV13" i="5"/>
  <c r="AU14" i="14"/>
  <c r="AW12" i="6"/>
  <c r="AX76" i="7"/>
  <c r="AZ29" i="5"/>
  <c r="AY28" i="5"/>
  <c r="AW9" i="5"/>
  <c r="AW8" i="5" s="1"/>
  <c r="AW5" i="6" s="1"/>
  <c r="AW19" i="5"/>
  <c r="AU6" i="6"/>
  <c r="AV14" i="5"/>
  <c r="AV7" i="6"/>
  <c r="AU7" i="14"/>
  <c r="AU5" i="14" s="1"/>
  <c r="AU108" i="11" s="1"/>
  <c r="AY33" i="5"/>
  <c r="AX47" i="5"/>
  <c r="AX11" i="18"/>
  <c r="AX9" i="18" s="1"/>
  <c r="AX44" i="5"/>
  <c r="AY23" i="5"/>
  <c r="AY21" i="5" s="1"/>
  <c r="AY20" i="5" s="1"/>
  <c r="AY66" i="5"/>
  <c r="AZ67" i="5"/>
  <c r="AW42" i="5"/>
  <c r="AX51" i="5"/>
  <c r="AW9" i="6"/>
  <c r="AW31" i="7"/>
  <c r="AY59" i="5"/>
  <c r="AZ60" i="5"/>
  <c r="AY52" i="5"/>
  <c r="AZ53" i="5"/>
  <c r="BE12" i="18"/>
  <c r="BE45" i="5"/>
  <c r="BF24" i="5"/>
  <c r="BD46" i="7"/>
  <c r="BD10" i="6"/>
  <c r="BE13" i="18"/>
  <c r="BF25" i="5"/>
  <c r="BE14" i="18"/>
  <c r="BF26" i="5"/>
  <c r="AY51" i="5" l="1"/>
  <c r="AY19" i="5"/>
  <c r="AY12" i="14" s="1"/>
  <c r="AY8" i="14" s="1"/>
  <c r="AY110" i="11" s="1"/>
  <c r="AX42" i="5"/>
  <c r="AW7" i="14"/>
  <c r="AW5" i="14" s="1"/>
  <c r="AW108" i="11" s="1"/>
  <c r="AX7" i="6"/>
  <c r="AX14" i="5"/>
  <c r="AW6" i="6"/>
  <c r="BA60" i="5"/>
  <c r="AZ59" i="5"/>
  <c r="AY76" i="7"/>
  <c r="AX12" i="6"/>
  <c r="AJ4" i="6"/>
  <c r="AJ3" i="5"/>
  <c r="AK5" i="10"/>
  <c r="AL3" i="18"/>
  <c r="AM5" i="16"/>
  <c r="AI5" i="16"/>
  <c r="AH3" i="18"/>
  <c r="AZ33" i="5"/>
  <c r="AY47" i="5"/>
  <c r="AU112" i="11"/>
  <c r="AU13" i="14"/>
  <c r="AX11" i="6"/>
  <c r="AX61" i="7"/>
  <c r="AL5" i="16"/>
  <c r="AK3" i="18"/>
  <c r="AV12" i="5"/>
  <c r="AY46" i="5"/>
  <c r="AZ32" i="5"/>
  <c r="AQ5" i="10"/>
  <c r="AP4" i="6"/>
  <c r="AP3" i="5"/>
  <c r="AS3" i="18"/>
  <c r="AT5" i="16"/>
  <c r="AP3" i="18"/>
  <c r="AQ5" i="16"/>
  <c r="AO5" i="10"/>
  <c r="AN4" i="6"/>
  <c r="AN3" i="5"/>
  <c r="AJ5" i="10"/>
  <c r="AI4" i="6"/>
  <c r="AI3" i="5"/>
  <c r="AZ10" i="18"/>
  <c r="BA22" i="5"/>
  <c r="AZ43" i="5"/>
  <c r="AJ5" i="16"/>
  <c r="AI3" i="18"/>
  <c r="AQ4" i="6"/>
  <c r="AQ3" i="5"/>
  <c r="AR5" i="10"/>
  <c r="AS5" i="16"/>
  <c r="AR3" i="18"/>
  <c r="AL5" i="10"/>
  <c r="AK4" i="6"/>
  <c r="AK3" i="5"/>
  <c r="AP5" i="16"/>
  <c r="AO3" i="18"/>
  <c r="AN3" i="18"/>
  <c r="AO5" i="16"/>
  <c r="AH4" i="6"/>
  <c r="G6" i="3"/>
  <c r="AH3" i="5"/>
  <c r="F10" i="2"/>
  <c r="F9" i="2" s="1"/>
  <c r="AI5" i="10"/>
  <c r="AM5" i="10"/>
  <c r="AL4" i="6"/>
  <c r="AL3" i="5"/>
  <c r="AM3" i="18"/>
  <c r="AN5" i="16"/>
  <c r="AR5" i="16"/>
  <c r="AQ3" i="18"/>
  <c r="AV7" i="14"/>
  <c r="AV5" i="14" s="1"/>
  <c r="AW7" i="6"/>
  <c r="AW14" i="5"/>
  <c r="AV6" i="6"/>
  <c r="AX19" i="5"/>
  <c r="AY13" i="5" s="1"/>
  <c r="AY8" i="6"/>
  <c r="AY16" i="7"/>
  <c r="BA67" i="5"/>
  <c r="AZ66" i="5"/>
  <c r="AW12" i="14"/>
  <c r="AW8" i="14" s="1"/>
  <c r="AW110" i="11" s="1"/>
  <c r="AW13" i="5"/>
  <c r="AW13" i="6"/>
  <c r="AV14" i="14"/>
  <c r="AK5" i="16"/>
  <c r="AJ3" i="18"/>
  <c r="E17" i="2"/>
  <c r="AG16" i="10"/>
  <c r="AH14" i="10"/>
  <c r="AH15" i="10" s="1"/>
  <c r="AN5" i="10"/>
  <c r="AM4" i="6"/>
  <c r="AM3" i="5"/>
  <c r="AY44" i="5"/>
  <c r="AY11" i="18"/>
  <c r="AY9" i="18" s="1"/>
  <c r="AZ23" i="5"/>
  <c r="AZ21" i="5" s="1"/>
  <c r="AZ20" i="5" s="1"/>
  <c r="AR3" i="5"/>
  <c r="AS5" i="10"/>
  <c r="AR4" i="6"/>
  <c r="BA53" i="5"/>
  <c r="AZ52" i="5"/>
  <c r="AX31" i="7"/>
  <c r="AX9" i="6"/>
  <c r="BA29" i="5"/>
  <c r="AZ28" i="5"/>
  <c r="AP5" i="10"/>
  <c r="AO4" i="6"/>
  <c r="AO3" i="5"/>
  <c r="AS4" i="6"/>
  <c r="AS3" i="5"/>
  <c r="AT5" i="10"/>
  <c r="AT15" i="14"/>
  <c r="AT114" i="11"/>
  <c r="AZ35" i="5"/>
  <c r="BA36" i="5"/>
  <c r="AY13" i="6"/>
  <c r="AX14" i="14"/>
  <c r="AX112" i="11" s="1"/>
  <c r="BF13" i="18"/>
  <c r="BG25" i="5"/>
  <c r="BF12" i="18"/>
  <c r="BF45" i="5"/>
  <c r="BG24" i="5"/>
  <c r="BE46" i="7"/>
  <c r="BE10" i="6"/>
  <c r="BF14" i="18"/>
  <c r="BG26" i="5"/>
  <c r="AY42" i="5" l="1"/>
  <c r="AZ51" i="5"/>
  <c r="AZ19" i="5"/>
  <c r="AY14" i="14" s="1"/>
  <c r="AY112" i="11" s="1"/>
  <c r="AW12" i="5"/>
  <c r="AZ12" i="14"/>
  <c r="AZ8" i="14" s="1"/>
  <c r="AZ13" i="6"/>
  <c r="AZ13" i="5"/>
  <c r="AY14" i="5"/>
  <c r="AY12" i="5" s="1"/>
  <c r="AX7" i="14"/>
  <c r="AX5" i="14" s="1"/>
  <c r="AX108" i="11" s="1"/>
  <c r="AX6" i="6"/>
  <c r="AY7" i="6"/>
  <c r="AL3" i="6"/>
  <c r="AM6" i="16" s="1"/>
  <c r="AM7" i="16" s="1"/>
  <c r="AM6" i="10"/>
  <c r="AM4" i="10" s="1"/>
  <c r="AZ8" i="6"/>
  <c r="AZ16" i="7"/>
  <c r="AV13" i="14"/>
  <c r="AV114" i="11" s="1"/>
  <c r="AV112" i="11"/>
  <c r="AS6" i="10"/>
  <c r="AS4" i="10" s="1"/>
  <c r="AR3" i="6"/>
  <c r="AS6" i="16" s="1"/>
  <c r="AS7" i="16" s="1"/>
  <c r="AS3" i="6"/>
  <c r="AT6" i="16" s="1"/>
  <c r="AT7" i="16" s="1"/>
  <c r="AT6" i="10"/>
  <c r="AT4" i="10" s="1"/>
  <c r="AJ3" i="6"/>
  <c r="AK6" i="16" s="1"/>
  <c r="AK7" i="16" s="1"/>
  <c r="AK6" i="10"/>
  <c r="AK4" i="10" s="1"/>
  <c r="AO3" i="6"/>
  <c r="AP6" i="16" s="1"/>
  <c r="AP7" i="16" s="1"/>
  <c r="AP6" i="10"/>
  <c r="AP4" i="10" s="1"/>
  <c r="AZ44" i="5"/>
  <c r="BA23" i="5"/>
  <c r="AZ11" i="18"/>
  <c r="AZ9" i="18" s="1"/>
  <c r="AX13" i="5"/>
  <c r="AX12" i="5" s="1"/>
  <c r="AX13" i="6"/>
  <c r="AW14" i="14"/>
  <c r="AX12" i="14"/>
  <c r="AX8" i="14" s="1"/>
  <c r="AX110" i="11" s="1"/>
  <c r="AK3" i="6"/>
  <c r="AL6" i="16" s="1"/>
  <c r="AL7" i="16" s="1"/>
  <c r="AL6" i="10"/>
  <c r="AL4" i="10" s="1"/>
  <c r="BA43" i="5"/>
  <c r="BB22" i="5"/>
  <c r="BA10" i="18"/>
  <c r="AU15" i="14"/>
  <c r="AU114" i="11"/>
  <c r="AY31" i="7"/>
  <c r="AY9" i="6"/>
  <c r="AQ6" i="10"/>
  <c r="AQ4" i="10" s="1"/>
  <c r="AP3" i="6"/>
  <c r="AQ6" i="16" s="1"/>
  <c r="AQ7" i="16" s="1"/>
  <c r="AZ76" i="7"/>
  <c r="AY12" i="6"/>
  <c r="G5" i="3"/>
  <c r="AI3" i="6"/>
  <c r="AJ6" i="16" s="1"/>
  <c r="AJ7" i="16" s="1"/>
  <c r="AJ6" i="10"/>
  <c r="AJ4" i="10" s="1"/>
  <c r="AZ47" i="5"/>
  <c r="BA33" i="5"/>
  <c r="BA59" i="5"/>
  <c r="BB60" i="5"/>
  <c r="BA32" i="5"/>
  <c r="AZ46" i="5"/>
  <c r="AH3" i="6"/>
  <c r="AI6" i="10"/>
  <c r="AI4" i="10" s="1"/>
  <c r="AY11" i="6"/>
  <c r="AY61" i="7"/>
  <c r="BB29" i="5"/>
  <c r="BA28" i="5"/>
  <c r="AI14" i="10"/>
  <c r="AH16" i="10"/>
  <c r="BB67" i="5"/>
  <c r="BA66" i="5"/>
  <c r="AQ3" i="6"/>
  <c r="AR6" i="16" s="1"/>
  <c r="AR7" i="16" s="1"/>
  <c r="AR6" i="10"/>
  <c r="AR4" i="10" s="1"/>
  <c r="AN3" i="6"/>
  <c r="AO6" i="16" s="1"/>
  <c r="AO7" i="16" s="1"/>
  <c r="AO6" i="10"/>
  <c r="AO4" i="10" s="1"/>
  <c r="BB36" i="5"/>
  <c r="BA35" i="5"/>
  <c r="AN6" i="10"/>
  <c r="AN4" i="10" s="1"/>
  <c r="AM3" i="6"/>
  <c r="AN6" i="16" s="1"/>
  <c r="AN7" i="16" s="1"/>
  <c r="AV108" i="11"/>
  <c r="AV15" i="14"/>
  <c r="BB53" i="5"/>
  <c r="BA52" i="5"/>
  <c r="AY9" i="5"/>
  <c r="AY8" i="5" s="1"/>
  <c r="AY5" i="6" s="1"/>
  <c r="AZ110" i="11"/>
  <c r="BG13" i="18"/>
  <c r="BH25" i="5"/>
  <c r="BG12" i="18"/>
  <c r="BH24" i="5"/>
  <c r="BG45" i="5"/>
  <c r="BF46" i="7"/>
  <c r="BF10" i="6"/>
  <c r="BG14" i="18"/>
  <c r="BH26" i="5"/>
  <c r="AX13" i="14" l="1"/>
  <c r="AX114" i="11" s="1"/>
  <c r="BB59" i="5"/>
  <c r="BC60" i="5"/>
  <c r="AW13" i="14"/>
  <c r="AW112" i="11"/>
  <c r="BB33" i="5"/>
  <c r="BA47" i="5"/>
  <c r="BC29" i="5"/>
  <c r="BB28" i="5"/>
  <c r="AZ12" i="6"/>
  <c r="BA76" i="7"/>
  <c r="BC53" i="5"/>
  <c r="BB52" i="5"/>
  <c r="BB66" i="5"/>
  <c r="BC67" i="5"/>
  <c r="BB32" i="5"/>
  <c r="BA46" i="5"/>
  <c r="BC36" i="5"/>
  <c r="BB35" i="5"/>
  <c r="BA9" i="18"/>
  <c r="BA44" i="5"/>
  <c r="BB23" i="5"/>
  <c r="BA11" i="18"/>
  <c r="AI15" i="10"/>
  <c r="BC22" i="5"/>
  <c r="BB43" i="5"/>
  <c r="BB10" i="18"/>
  <c r="AZ31" i="7"/>
  <c r="AZ9" i="6"/>
  <c r="AZ61" i="7"/>
  <c r="AZ11" i="6"/>
  <c r="AI6" i="16"/>
  <c r="AI7" i="16" s="1"/>
  <c r="G11" i="3"/>
  <c r="G10" i="3" s="1"/>
  <c r="G12" i="3" s="1"/>
  <c r="G14" i="3" s="1"/>
  <c r="BA21" i="5"/>
  <c r="BA20" i="5" s="1"/>
  <c r="AZ9" i="5"/>
  <c r="AZ8" i="5" s="1"/>
  <c r="AZ5" i="6" s="1"/>
  <c r="BA51" i="5"/>
  <c r="BA16" i="7"/>
  <c r="BA8" i="6"/>
  <c r="AZ42" i="5"/>
  <c r="AX15" i="14"/>
  <c r="BG10" i="6"/>
  <c r="BG46" i="7"/>
  <c r="BH12" i="18"/>
  <c r="BH45" i="5"/>
  <c r="BI24" i="5"/>
  <c r="BH13" i="18"/>
  <c r="BI25" i="5"/>
  <c r="BH14" i="18"/>
  <c r="BI26" i="5"/>
  <c r="G17" i="3" l="1"/>
  <c r="G20" i="3" s="1"/>
  <c r="F16" i="2"/>
  <c r="BD53" i="5"/>
  <c r="BC52" i="5"/>
  <c r="BB11" i="18"/>
  <c r="BB9" i="18" s="1"/>
  <c r="BB44" i="5"/>
  <c r="BC23" i="5"/>
  <c r="BA31" i="7"/>
  <c r="BA9" i="6"/>
  <c r="AZ7" i="6"/>
  <c r="AY6" i="6"/>
  <c r="AY7" i="14"/>
  <c r="AY5" i="14" s="1"/>
  <c r="AZ14" i="5"/>
  <c r="AZ12" i="5" s="1"/>
  <c r="BA9" i="5"/>
  <c r="BA8" i="5" s="1"/>
  <c r="BA5" i="6" s="1"/>
  <c r="BA42" i="5"/>
  <c r="BA11" i="6"/>
  <c r="BA61" i="7"/>
  <c r="BC33" i="5"/>
  <c r="BB47" i="5"/>
  <c r="BD36" i="5"/>
  <c r="BC35" i="5"/>
  <c r="BB21" i="5"/>
  <c r="BB20" i="5" s="1"/>
  <c r="BC32" i="5"/>
  <c r="BB46" i="5"/>
  <c r="BB8" i="6"/>
  <c r="BB16" i="7"/>
  <c r="BC66" i="5"/>
  <c r="BD67" i="5"/>
  <c r="AW114" i="11"/>
  <c r="AW15" i="14"/>
  <c r="BC10" i="18"/>
  <c r="BC43" i="5"/>
  <c r="BD22" i="5"/>
  <c r="BC59" i="5"/>
  <c r="BD60" i="5"/>
  <c r="BD29" i="5"/>
  <c r="BC28" i="5"/>
  <c r="BB76" i="7"/>
  <c r="BA12" i="6"/>
  <c r="BA19" i="5"/>
  <c r="AI16" i="10"/>
  <c r="AJ14" i="10"/>
  <c r="AJ15" i="10" s="1"/>
  <c r="BB51" i="5"/>
  <c r="BI12" i="18"/>
  <c r="BI45" i="5"/>
  <c r="BJ24" i="5"/>
  <c r="BH46" i="7"/>
  <c r="BH10" i="6"/>
  <c r="BI14" i="18"/>
  <c r="BJ26" i="5"/>
  <c r="BI13" i="18"/>
  <c r="BJ25" i="5"/>
  <c r="BB19" i="5" l="1"/>
  <c r="BB13" i="6"/>
  <c r="BE67" i="5"/>
  <c r="BD66" i="5"/>
  <c r="BD35" i="5"/>
  <c r="BE36" i="5"/>
  <c r="BB12" i="6"/>
  <c r="BC76" i="7"/>
  <c r="BD33" i="5"/>
  <c r="BC47" i="5"/>
  <c r="BC11" i="18"/>
  <c r="BC9" i="18" s="1"/>
  <c r="BD23" i="5"/>
  <c r="BC44" i="5"/>
  <c r="BE60" i="5"/>
  <c r="BD59" i="5"/>
  <c r="BB9" i="6"/>
  <c r="BB31" i="7"/>
  <c r="BB12" i="14"/>
  <c r="BB8" i="14" s="1"/>
  <c r="BB110" i="11" s="1"/>
  <c r="BE29" i="5"/>
  <c r="BD28" i="5"/>
  <c r="BB9" i="5"/>
  <c r="BB8" i="5" s="1"/>
  <c r="BB5" i="6" s="1"/>
  <c r="BD21" i="5"/>
  <c r="BD10" i="18"/>
  <c r="BD43" i="5"/>
  <c r="BE22" i="5"/>
  <c r="BB42" i="5"/>
  <c r="BA14" i="5"/>
  <c r="BA7" i="6"/>
  <c r="AZ6" i="6"/>
  <c r="AZ7" i="14"/>
  <c r="AZ5" i="14" s="1"/>
  <c r="AZ108" i="11" s="1"/>
  <c r="BC51" i="5"/>
  <c r="BC8" i="6"/>
  <c r="BC16" i="7"/>
  <c r="BD52" i="5"/>
  <c r="BE53" i="5"/>
  <c r="BA13" i="6"/>
  <c r="BA13" i="5"/>
  <c r="BA12" i="14"/>
  <c r="BA8" i="14" s="1"/>
  <c r="BA110" i="11" s="1"/>
  <c r="AZ14" i="14"/>
  <c r="AJ16" i="10"/>
  <c r="AK14" i="10"/>
  <c r="AK15" i="10" s="1"/>
  <c r="BC21" i="5"/>
  <c r="BC20" i="5" s="1"/>
  <c r="BB11" i="6"/>
  <c r="BB61" i="7"/>
  <c r="BD32" i="5"/>
  <c r="BC46" i="5"/>
  <c r="AY13" i="14"/>
  <c r="AY114" i="11" s="1"/>
  <c r="AY108" i="11"/>
  <c r="G22" i="3"/>
  <c r="G25" i="3" s="1"/>
  <c r="H23" i="3"/>
  <c r="BJ13" i="18"/>
  <c r="BK25" i="5"/>
  <c r="BJ12" i="18"/>
  <c r="BK24" i="5"/>
  <c r="BJ45" i="5"/>
  <c r="BJ14" i="18"/>
  <c r="BK26" i="5"/>
  <c r="BI46" i="7"/>
  <c r="BI10" i="6"/>
  <c r="AY15" i="14" l="1"/>
  <c r="BA12" i="5"/>
  <c r="BA14" i="14"/>
  <c r="BA112" i="11" s="1"/>
  <c r="BB13" i="5"/>
  <c r="BC19" i="5"/>
  <c r="BD20" i="5"/>
  <c r="BD19" i="5" s="1"/>
  <c r="BC14" i="14" s="1"/>
  <c r="BC112" i="11" s="1"/>
  <c r="BD76" i="7"/>
  <c r="BC12" i="6"/>
  <c r="BE33" i="5"/>
  <c r="BD47" i="5"/>
  <c r="BF29" i="5"/>
  <c r="BE28" i="5"/>
  <c r="BC61" i="7"/>
  <c r="BC11" i="6"/>
  <c r="BE35" i="5"/>
  <c r="BF36" i="5"/>
  <c r="BD46" i="5"/>
  <c r="BE32" i="5"/>
  <c r="BE52" i="5"/>
  <c r="BF53" i="5"/>
  <c r="BA7" i="14"/>
  <c r="BA5" i="14" s="1"/>
  <c r="BA108" i="11" s="1"/>
  <c r="BB7" i="6"/>
  <c r="BA6" i="6"/>
  <c r="BB14" i="5"/>
  <c r="BD51" i="5"/>
  <c r="BE10" i="18"/>
  <c r="BE43" i="5"/>
  <c r="BF22" i="5"/>
  <c r="BE59" i="5"/>
  <c r="BF60" i="5"/>
  <c r="BF67" i="5"/>
  <c r="BE66" i="5"/>
  <c r="AL14" i="10"/>
  <c r="AL15" i="10" s="1"/>
  <c r="AK16" i="10"/>
  <c r="AZ112" i="11"/>
  <c r="AZ13" i="14"/>
  <c r="AZ114" i="11" s="1"/>
  <c r="BC9" i="5"/>
  <c r="BC8" i="5" s="1"/>
  <c r="BC5" i="6" s="1"/>
  <c r="BD8" i="6"/>
  <c r="BD16" i="7"/>
  <c r="BC31" i="7"/>
  <c r="BC9" i="6"/>
  <c r="BC42" i="5"/>
  <c r="BD9" i="18"/>
  <c r="BE23" i="5"/>
  <c r="BE21" i="5" s="1"/>
  <c r="BD11" i="18"/>
  <c r="BD44" i="5"/>
  <c r="BK13" i="18"/>
  <c r="BL25" i="5"/>
  <c r="BJ46" i="7"/>
  <c r="BJ10" i="6"/>
  <c r="BK14" i="18"/>
  <c r="BL26" i="5"/>
  <c r="BK12" i="18"/>
  <c r="BL24" i="5"/>
  <c r="BK45" i="5"/>
  <c r="BB12" i="5" l="1"/>
  <c r="BD13" i="6"/>
  <c r="BD13" i="5"/>
  <c r="BD12" i="14"/>
  <c r="BD8" i="14" s="1"/>
  <c r="BD110" i="11" s="1"/>
  <c r="BE51" i="5"/>
  <c r="BD9" i="5"/>
  <c r="BD8" i="5" s="1"/>
  <c r="G34" i="17"/>
  <c r="BD5" i="6"/>
  <c r="BG29" i="5"/>
  <c r="BF28" i="5"/>
  <c r="BE76" i="7"/>
  <c r="BD12" i="6"/>
  <c r="BF33" i="5"/>
  <c r="BE47" i="5"/>
  <c r="BB7" i="14"/>
  <c r="BB5" i="14" s="1"/>
  <c r="BC7" i="6"/>
  <c r="BB6" i="6"/>
  <c r="BC14" i="5"/>
  <c r="AL16" i="10"/>
  <c r="AM14" i="10"/>
  <c r="AM15" i="10" s="1"/>
  <c r="BF66" i="5"/>
  <c r="BG67" i="5"/>
  <c r="BD42" i="5"/>
  <c r="BF59" i="5"/>
  <c r="BG60" i="5"/>
  <c r="BF10" i="18"/>
  <c r="BF43" i="5"/>
  <c r="BG22" i="5"/>
  <c r="BE46" i="5"/>
  <c r="BF32" i="5"/>
  <c r="G33" i="17"/>
  <c r="BE20" i="5"/>
  <c r="BE19" i="5" s="1"/>
  <c r="BD14" i="14" s="1"/>
  <c r="BD112" i="11" s="1"/>
  <c r="BD11" i="6"/>
  <c r="BD61" i="7"/>
  <c r="BD9" i="6"/>
  <c r="BD31" i="7"/>
  <c r="BE16" i="7"/>
  <c r="BE8" i="6"/>
  <c r="BG36" i="5"/>
  <c r="BF35" i="5"/>
  <c r="BB14" i="14"/>
  <c r="BC12" i="14"/>
  <c r="BC8" i="14" s="1"/>
  <c r="BC110" i="11" s="1"/>
  <c r="BC13" i="6"/>
  <c r="BC13" i="5"/>
  <c r="G35" i="17"/>
  <c r="AZ15" i="14"/>
  <c r="BG53" i="5"/>
  <c r="BF52" i="5"/>
  <c r="BE11" i="18"/>
  <c r="BE9" i="18" s="1"/>
  <c r="BE44" i="5"/>
  <c r="BF23" i="5"/>
  <c r="BA13" i="14"/>
  <c r="G32" i="17"/>
  <c r="G13" i="2"/>
  <c r="G12" i="2" s="1"/>
  <c r="BK46" i="7"/>
  <c r="BK10" i="6"/>
  <c r="BL12" i="18"/>
  <c r="BL45" i="5"/>
  <c r="BM24" i="5"/>
  <c r="BL13" i="18"/>
  <c r="BM25" i="5"/>
  <c r="BL14" i="18"/>
  <c r="BM26" i="5"/>
  <c r="BE13" i="5" l="1"/>
  <c r="G38" i="17"/>
  <c r="G11" i="17" s="1"/>
  <c r="BE42" i="5"/>
  <c r="BC12" i="5"/>
  <c r="BD7" i="14"/>
  <c r="BD5" i="14" s="1"/>
  <c r="BE7" i="6"/>
  <c r="BD6" i="6"/>
  <c r="BE14" i="5"/>
  <c r="BE12" i="5"/>
  <c r="BF9" i="18"/>
  <c r="BB108" i="11"/>
  <c r="BH60" i="5"/>
  <c r="BG59" i="5"/>
  <c r="BF76" i="7"/>
  <c r="BE12" i="6"/>
  <c r="BG33" i="5"/>
  <c r="BF47" i="5"/>
  <c r="BA114" i="11"/>
  <c r="BA15" i="14"/>
  <c r="BD14" i="5"/>
  <c r="BD12" i="5" s="1"/>
  <c r="BC7" i="14"/>
  <c r="BC5" i="14" s="1"/>
  <c r="BC6" i="6"/>
  <c r="BD7" i="6"/>
  <c r="BF44" i="5"/>
  <c r="BG23" i="5"/>
  <c r="BF11" i="18"/>
  <c r="BB13" i="14"/>
  <c r="BB114" i="11" s="1"/>
  <c r="BB112" i="11"/>
  <c r="BH67" i="5"/>
  <c r="BG66" i="5"/>
  <c r="G36" i="17"/>
  <c r="G9" i="17" s="1"/>
  <c r="G37" i="17"/>
  <c r="G24" i="17" s="1"/>
  <c r="G25" i="17"/>
  <c r="AN14" i="10"/>
  <c r="AN15" i="10" s="1"/>
  <c r="AM16" i="10"/>
  <c r="BG28" i="5"/>
  <c r="BH29" i="5"/>
  <c r="BH36" i="5"/>
  <c r="BG35" i="5"/>
  <c r="F23" i="14"/>
  <c r="BF46" i="5"/>
  <c r="BG32" i="5"/>
  <c r="BF51" i="5"/>
  <c r="BE12" i="14"/>
  <c r="BE8" i="14" s="1"/>
  <c r="BE110" i="11" s="1"/>
  <c r="BG52" i="5"/>
  <c r="BH53" i="5"/>
  <c r="BE9" i="5"/>
  <c r="BE8" i="5" s="1"/>
  <c r="BG10" i="18"/>
  <c r="BG21" i="5"/>
  <c r="BG43" i="5"/>
  <c r="BH22" i="5"/>
  <c r="BF16" i="7"/>
  <c r="BF8" i="6"/>
  <c r="BF42" i="5"/>
  <c r="BF9" i="5"/>
  <c r="BF8" i="5" s="1"/>
  <c r="BF5" i="6" s="1"/>
  <c r="BE9" i="6"/>
  <c r="BE31" i="7"/>
  <c r="BE61" i="7"/>
  <c r="BE11" i="6"/>
  <c r="F25" i="14"/>
  <c r="BE13" i="6"/>
  <c r="BF21" i="5"/>
  <c r="BF20" i="5" s="1"/>
  <c r="BM12" i="18"/>
  <c r="BM45" i="5"/>
  <c r="BN24" i="5"/>
  <c r="BL46" i="7"/>
  <c r="BL10" i="6"/>
  <c r="BM14" i="18"/>
  <c r="BN26" i="5"/>
  <c r="BM13" i="18"/>
  <c r="BN25" i="5"/>
  <c r="BB15" i="14" l="1"/>
  <c r="BG20" i="5"/>
  <c r="BG51" i="5"/>
  <c r="G81" i="17"/>
  <c r="F20" i="4" s="1"/>
  <c r="AV8" i="18" s="1"/>
  <c r="G23" i="17"/>
  <c r="BE5" i="6"/>
  <c r="H7" i="3"/>
  <c r="G11" i="2"/>
  <c r="BG44" i="5"/>
  <c r="BG11" i="18"/>
  <c r="BG9" i="18" s="1"/>
  <c r="BH23" i="5"/>
  <c r="BH21" i="5" s="1"/>
  <c r="BH52" i="5"/>
  <c r="BI53" i="5"/>
  <c r="BF9" i="6"/>
  <c r="BF31" i="7"/>
  <c r="AN16" i="10"/>
  <c r="AO14" i="10"/>
  <c r="AO15" i="10" s="1"/>
  <c r="BH59" i="5"/>
  <c r="BI60" i="5"/>
  <c r="BC108" i="11"/>
  <c r="BC13" i="14"/>
  <c r="G10" i="17"/>
  <c r="G12" i="17" s="1"/>
  <c r="BF61" i="7"/>
  <c r="BF11" i="6"/>
  <c r="H8" i="3"/>
  <c r="BF19" i="5"/>
  <c r="BH10" i="18"/>
  <c r="BH43" i="5"/>
  <c r="BI22" i="5"/>
  <c r="BH66" i="5"/>
  <c r="BI67" i="5"/>
  <c r="BE7" i="14"/>
  <c r="BE5" i="14" s="1"/>
  <c r="BE108" i="11" s="1"/>
  <c r="BF7" i="6"/>
  <c r="BE6" i="6"/>
  <c r="BF14" i="5"/>
  <c r="BG8" i="6"/>
  <c r="BG16" i="7"/>
  <c r="BF12" i="6"/>
  <c r="BG76" i="7"/>
  <c r="BG46" i="5"/>
  <c r="BH32" i="5"/>
  <c r="BI36" i="5"/>
  <c r="BH35" i="5"/>
  <c r="BH33" i="5"/>
  <c r="BG47" i="5"/>
  <c r="BH28" i="5"/>
  <c r="BI29" i="5"/>
  <c r="F22" i="14"/>
  <c r="BD13" i="14"/>
  <c r="BD108" i="11"/>
  <c r="G26" i="17"/>
  <c r="BM46" i="7"/>
  <c r="BM10" i="6"/>
  <c r="BN13" i="18"/>
  <c r="BO25" i="5"/>
  <c r="BN14" i="18"/>
  <c r="BO26" i="5"/>
  <c r="AT7" i="18"/>
  <c r="AT8" i="18"/>
  <c r="AT6" i="18"/>
  <c r="AU7" i="18"/>
  <c r="AU8" i="18"/>
  <c r="AU6" i="18"/>
  <c r="AV7" i="18"/>
  <c r="AW8" i="18"/>
  <c r="AW7" i="18"/>
  <c r="AT4" i="18"/>
  <c r="AX7" i="18"/>
  <c r="AX8" i="18"/>
  <c r="AU5" i="18"/>
  <c r="AY8" i="18"/>
  <c r="AU4" i="5"/>
  <c r="AT4" i="5"/>
  <c r="AZ7" i="18"/>
  <c r="AV5" i="18"/>
  <c r="AV4" i="18"/>
  <c r="BA6" i="18"/>
  <c r="BA8" i="18"/>
  <c r="BA7" i="18"/>
  <c r="BB6" i="18"/>
  <c r="BB7" i="18"/>
  <c r="AX4" i="18"/>
  <c r="AW4" i="5"/>
  <c r="AV4" i="5"/>
  <c r="BC7" i="18"/>
  <c r="AY5" i="18"/>
  <c r="AX4" i="5"/>
  <c r="BC8" i="18"/>
  <c r="AY4" i="18"/>
  <c r="BC6" i="18"/>
  <c r="BD8" i="18"/>
  <c r="BD6" i="18"/>
  <c r="AZ4" i="18"/>
  <c r="BD7" i="18"/>
  <c r="AZ4" i="5"/>
  <c r="BA5" i="18"/>
  <c r="BA4" i="18"/>
  <c r="BE6" i="18"/>
  <c r="BE7" i="18"/>
  <c r="BE8" i="18"/>
  <c r="BB5" i="18"/>
  <c r="BB4" i="18"/>
  <c r="BA4" i="5"/>
  <c r="BC4" i="18"/>
  <c r="BD5" i="18"/>
  <c r="BC4" i="5"/>
  <c r="BD4" i="18"/>
  <c r="BD4" i="5"/>
  <c r="BB4" i="5"/>
  <c r="BE5" i="18"/>
  <c r="BE4" i="18"/>
  <c r="BE4" i="5"/>
  <c r="BN12" i="18"/>
  <c r="BO24" i="5"/>
  <c r="BN45" i="5"/>
  <c r="AZ8" i="18" l="1"/>
  <c r="AT5" i="18"/>
  <c r="BH20" i="5"/>
  <c r="AX6" i="18"/>
  <c r="BG19" i="5"/>
  <c r="BG13" i="5" s="1"/>
  <c r="BI35" i="5"/>
  <c r="BJ36" i="5"/>
  <c r="BH51" i="5"/>
  <c r="BH19" i="5" s="1"/>
  <c r="BH46" i="5"/>
  <c r="BI32" i="5"/>
  <c r="BI23" i="5"/>
  <c r="BH11" i="18"/>
  <c r="BH9" i="18" s="1"/>
  <c r="BH44" i="5"/>
  <c r="BG61" i="7"/>
  <c r="BG11" i="6"/>
  <c r="BI66" i="5"/>
  <c r="BJ67" i="5"/>
  <c r="F24" i="14"/>
  <c r="F26" i="14" s="1"/>
  <c r="BC114" i="11"/>
  <c r="BD15" i="14"/>
  <c r="BD114" i="11"/>
  <c r="BG31" i="7"/>
  <c r="BG9" i="6"/>
  <c r="BJ60" i="5"/>
  <c r="BI59" i="5"/>
  <c r="BJ29" i="5"/>
  <c r="BI28" i="5"/>
  <c r="BG42" i="5"/>
  <c r="BI10" i="18"/>
  <c r="BJ22" i="5"/>
  <c r="BI43" i="5"/>
  <c r="AW4" i="18"/>
  <c r="AY7" i="18"/>
  <c r="AZ5" i="16" s="1"/>
  <c r="AW6" i="18"/>
  <c r="F21" i="4"/>
  <c r="F22" i="4" s="1"/>
  <c r="F23" i="4" s="1"/>
  <c r="F24" i="4" s="1"/>
  <c r="F25" i="4" s="1"/>
  <c r="BG9" i="5"/>
  <c r="BG8" i="5" s="1"/>
  <c r="BG5" i="6" s="1"/>
  <c r="BH16" i="7"/>
  <c r="BH8" i="6"/>
  <c r="AP14" i="10"/>
  <c r="AP15" i="10" s="1"/>
  <c r="AO16" i="10"/>
  <c r="BH76" i="7"/>
  <c r="BG12" i="6"/>
  <c r="BF13" i="5"/>
  <c r="BF12" i="5" s="1"/>
  <c r="BF5" i="10" s="1"/>
  <c r="BE14" i="14"/>
  <c r="BF12" i="14"/>
  <c r="BF8" i="14" s="1"/>
  <c r="BF110" i="11" s="1"/>
  <c r="BF13" i="6"/>
  <c r="AZ5" i="18"/>
  <c r="AX5" i="18"/>
  <c r="AW5" i="18"/>
  <c r="AU4" i="18"/>
  <c r="AU3" i="18" s="1"/>
  <c r="AV6" i="18"/>
  <c r="AW5" i="16" s="1"/>
  <c r="BI33" i="5"/>
  <c r="BH47" i="5"/>
  <c r="BC15" i="14"/>
  <c r="BC5" i="18"/>
  <c r="BC3" i="18" s="1"/>
  <c r="AY4" i="5"/>
  <c r="AZ5" i="10" s="1"/>
  <c r="BB8" i="18"/>
  <c r="BC5" i="16" s="1"/>
  <c r="AZ6" i="18"/>
  <c r="AY6" i="18"/>
  <c r="BJ53" i="5"/>
  <c r="BI52" i="5"/>
  <c r="BC4" i="6"/>
  <c r="BC3" i="5"/>
  <c r="BD5" i="10"/>
  <c r="AY5" i="10"/>
  <c r="AX4" i="6"/>
  <c r="AX3" i="5"/>
  <c r="BA5" i="10"/>
  <c r="AZ4" i="6"/>
  <c r="AZ3" i="5"/>
  <c r="BO13" i="18"/>
  <c r="BP25" i="5"/>
  <c r="AY3" i="5"/>
  <c r="BE3" i="5"/>
  <c r="BE4" i="6"/>
  <c r="BB3" i="18"/>
  <c r="AV4" i="6"/>
  <c r="AV3" i="5"/>
  <c r="AW5" i="10"/>
  <c r="BF5" i="16"/>
  <c r="BE3" i="18"/>
  <c r="AW4" i="6"/>
  <c r="AW3" i="5"/>
  <c r="AX5" i="10"/>
  <c r="BB5" i="10"/>
  <c r="BA4" i="6"/>
  <c r="BA3" i="5"/>
  <c r="AX3" i="18"/>
  <c r="AY5" i="16"/>
  <c r="AU5" i="16"/>
  <c r="AT3" i="18"/>
  <c r="BN46" i="7"/>
  <c r="BN10" i="6"/>
  <c r="BB4" i="6"/>
  <c r="BB3" i="5"/>
  <c r="BC5" i="10"/>
  <c r="BO12" i="18"/>
  <c r="BO45" i="5"/>
  <c r="BP24" i="5"/>
  <c r="BD4" i="6"/>
  <c r="BD3" i="5"/>
  <c r="BE5" i="10"/>
  <c r="AY3" i="18"/>
  <c r="AT3" i="5"/>
  <c r="AT4" i="6"/>
  <c r="AU5" i="10"/>
  <c r="BO14" i="18"/>
  <c r="BP26" i="5"/>
  <c r="BD3" i="18"/>
  <c r="BE5" i="16"/>
  <c r="BA3" i="18"/>
  <c r="BB5" i="16"/>
  <c r="AU4" i="6"/>
  <c r="AU3" i="5"/>
  <c r="AV5" i="10"/>
  <c r="BF14" i="14" l="1"/>
  <c r="AZ3" i="18"/>
  <c r="AV5" i="16"/>
  <c r="AW3" i="18"/>
  <c r="AY4" i="6"/>
  <c r="BD5" i="16"/>
  <c r="BA5" i="16"/>
  <c r="BG13" i="6"/>
  <c r="BG12" i="14"/>
  <c r="BG8" i="14" s="1"/>
  <c r="BG110" i="11" s="1"/>
  <c r="BH13" i="6"/>
  <c r="BG14" i="14"/>
  <c r="BH12" i="14"/>
  <c r="BH8" i="14" s="1"/>
  <c r="BH110" i="11" s="1"/>
  <c r="BH13" i="5"/>
  <c r="BE13" i="14"/>
  <c r="BE112" i="11"/>
  <c r="BK29" i="5"/>
  <c r="BJ28" i="5"/>
  <c r="AX5" i="16"/>
  <c r="BI76" i="7"/>
  <c r="BH12" i="6"/>
  <c r="BI47" i="5"/>
  <c r="BJ33" i="5"/>
  <c r="BJ59" i="5"/>
  <c r="BK60" i="5"/>
  <c r="BH31" i="7"/>
  <c r="BH9" i="6"/>
  <c r="BF112" i="11"/>
  <c r="BI11" i="18"/>
  <c r="BI9" i="18" s="1"/>
  <c r="BI44" i="5"/>
  <c r="BJ23" i="5"/>
  <c r="BJ21" i="5" s="1"/>
  <c r="BJ52" i="5"/>
  <c r="BK53" i="5"/>
  <c r="BI16" i="7"/>
  <c r="BI8" i="6"/>
  <c r="BJ32" i="5"/>
  <c r="BI46" i="5"/>
  <c r="G10" i="2"/>
  <c r="G9" i="2" s="1"/>
  <c r="AV3" i="18"/>
  <c r="AP16" i="10"/>
  <c r="AQ14" i="10"/>
  <c r="AQ15" i="10" s="1"/>
  <c r="BI21" i="5"/>
  <c r="BI20" i="5" s="1"/>
  <c r="BH61" i="7"/>
  <c r="BH11" i="6"/>
  <c r="BI51" i="5"/>
  <c r="H6" i="3"/>
  <c r="BJ10" i="18"/>
  <c r="BJ43" i="5"/>
  <c r="BK22" i="5"/>
  <c r="BJ35" i="5"/>
  <c r="BK36" i="5"/>
  <c r="BH42" i="5"/>
  <c r="BG7" i="6"/>
  <c r="BF6" i="6"/>
  <c r="BF6" i="10" s="1"/>
  <c r="BF4" i="10" s="1"/>
  <c r="BF7" i="14"/>
  <c r="BF5" i="14" s="1"/>
  <c r="BG14" i="5"/>
  <c r="BG12" i="5" s="1"/>
  <c r="BJ66" i="5"/>
  <c r="BK67" i="5"/>
  <c r="BH9" i="5"/>
  <c r="BH8" i="5" s="1"/>
  <c r="BH5" i="6" s="1"/>
  <c r="H5" i="3"/>
  <c r="BG112" i="11"/>
  <c r="AX3" i="6"/>
  <c r="AY6" i="16" s="1"/>
  <c r="AY7" i="16" s="1"/>
  <c r="AY6" i="10"/>
  <c r="AY4" i="10" s="1"/>
  <c r="BP13" i="18"/>
  <c r="BQ25" i="5"/>
  <c r="BB3" i="6"/>
  <c r="BC6" i="16" s="1"/>
  <c r="BC7" i="16" s="1"/>
  <c r="BC6" i="10"/>
  <c r="BC4" i="10" s="1"/>
  <c r="AZ3" i="6"/>
  <c r="BA6" i="16" s="1"/>
  <c r="BA6" i="10"/>
  <c r="BA4" i="10" s="1"/>
  <c r="BC3" i="6"/>
  <c r="BD6" i="16" s="1"/>
  <c r="BD7" i="16" s="1"/>
  <c r="BD6" i="10"/>
  <c r="BD4" i="10" s="1"/>
  <c r="AW3" i="6"/>
  <c r="AX6" i="16" s="1"/>
  <c r="AX7" i="16" s="1"/>
  <c r="AX6" i="10"/>
  <c r="AX4" i="10" s="1"/>
  <c r="AV3" i="6"/>
  <c r="AW6" i="16" s="1"/>
  <c r="AW7" i="16" s="1"/>
  <c r="AW6" i="10"/>
  <c r="AW4" i="10" s="1"/>
  <c r="AY3" i="6"/>
  <c r="AZ6" i="16" s="1"/>
  <c r="AZ7" i="16" s="1"/>
  <c r="AZ6" i="10"/>
  <c r="AZ4" i="10" s="1"/>
  <c r="BP14" i="18"/>
  <c r="BQ26" i="5"/>
  <c r="BD3" i="6"/>
  <c r="BE6" i="16" s="1"/>
  <c r="BE7" i="16" s="1"/>
  <c r="BE6" i="10"/>
  <c r="BE4" i="10" s="1"/>
  <c r="BP12" i="18"/>
  <c r="BQ24" i="5"/>
  <c r="BP45" i="5"/>
  <c r="BO46" i="7"/>
  <c r="BO10" i="6"/>
  <c r="BA3" i="6"/>
  <c r="BB6" i="16" s="1"/>
  <c r="BB7" i="16" s="1"/>
  <c r="BB6" i="10"/>
  <c r="BB4" i="10" s="1"/>
  <c r="AT3" i="6"/>
  <c r="AU6" i="10"/>
  <c r="AU4" i="10" s="1"/>
  <c r="AU3" i="6"/>
  <c r="AV6" i="16" s="1"/>
  <c r="AV7" i="16" s="1"/>
  <c r="AV6" i="10"/>
  <c r="AV4" i="10" s="1"/>
  <c r="BE3" i="6"/>
  <c r="BF6" i="16" s="1"/>
  <c r="BF7" i="16" s="1"/>
  <c r="BJ20" i="5" l="1"/>
  <c r="BA7" i="16"/>
  <c r="BI19" i="5"/>
  <c r="BH14" i="14" s="1"/>
  <c r="BK10" i="18"/>
  <c r="BK43" i="5"/>
  <c r="BL22" i="5"/>
  <c r="BI31" i="7"/>
  <c r="BI9" i="6"/>
  <c r="BL67" i="5"/>
  <c r="BK66" i="5"/>
  <c r="BJ16" i="7"/>
  <c r="BJ8" i="6"/>
  <c r="BI61" i="7"/>
  <c r="BI11" i="6"/>
  <c r="BK32" i="5"/>
  <c r="BJ46" i="5"/>
  <c r="BF108" i="11"/>
  <c r="BI9" i="5"/>
  <c r="BI8" i="5" s="1"/>
  <c r="BI5" i="6" s="1"/>
  <c r="BF13" i="14"/>
  <c r="BF114" i="11" s="1"/>
  <c r="BK28" i="5"/>
  <c r="BL29" i="5"/>
  <c r="BI42" i="5"/>
  <c r="BE15" i="14"/>
  <c r="BE114" i="11"/>
  <c r="BH14" i="5"/>
  <c r="BH12" i="5" s="1"/>
  <c r="BG6" i="6"/>
  <c r="BH7" i="6"/>
  <c r="BG7" i="14"/>
  <c r="BG5" i="14" s="1"/>
  <c r="BK59" i="5"/>
  <c r="BL60" i="5"/>
  <c r="BL36" i="5"/>
  <c r="BK35" i="5"/>
  <c r="BI12" i="14"/>
  <c r="BI8" i="14" s="1"/>
  <c r="BI110" i="11" s="1"/>
  <c r="BL53" i="5"/>
  <c r="BK52" i="5"/>
  <c r="BI13" i="6"/>
  <c r="AR14" i="10"/>
  <c r="AR15" i="10" s="1"/>
  <c r="AQ16" i="10"/>
  <c r="BJ51" i="5"/>
  <c r="BJ19" i="5" s="1"/>
  <c r="BJ47" i="5"/>
  <c r="BJ9" i="5" s="1"/>
  <c r="BJ8" i="5" s="1"/>
  <c r="BJ5" i="6" s="1"/>
  <c r="BK33" i="5"/>
  <c r="BI13" i="5"/>
  <c r="BJ11" i="18"/>
  <c r="BJ9" i="18" s="1"/>
  <c r="BK23" i="5"/>
  <c r="BJ44" i="5"/>
  <c r="BJ76" i="7"/>
  <c r="BI12" i="6"/>
  <c r="AU6" i="16"/>
  <c r="AU7" i="16" s="1"/>
  <c r="H11" i="3"/>
  <c r="H10" i="3" s="1"/>
  <c r="H12" i="3" s="1"/>
  <c r="H14" i="3" s="1"/>
  <c r="BP10" i="6"/>
  <c r="BP46" i="7"/>
  <c r="BQ12" i="18"/>
  <c r="BQ45" i="5"/>
  <c r="BR24" i="5"/>
  <c r="BQ14" i="18"/>
  <c r="BR26" i="5"/>
  <c r="BQ13" i="18"/>
  <c r="BR25" i="5"/>
  <c r="BF15" i="14" l="1"/>
  <c r="BJ12" i="14"/>
  <c r="BJ8" i="14" s="1"/>
  <c r="BJ110" i="11" s="1"/>
  <c r="BI14" i="14"/>
  <c r="BJ13" i="5"/>
  <c r="BJ13" i="6"/>
  <c r="BM60" i="5"/>
  <c r="BL59" i="5"/>
  <c r="BM67" i="5"/>
  <c r="BL66" i="5"/>
  <c r="BK51" i="5"/>
  <c r="BJ11" i="6"/>
  <c r="BJ61" i="7"/>
  <c r="BJ31" i="7"/>
  <c r="BJ9" i="6"/>
  <c r="BL52" i="5"/>
  <c r="BM53" i="5"/>
  <c r="BL32" i="5"/>
  <c r="BK46" i="5"/>
  <c r="BL23" i="5"/>
  <c r="BL21" i="5" s="1"/>
  <c r="BK11" i="18"/>
  <c r="BK9" i="18" s="1"/>
  <c r="BK44" i="5"/>
  <c r="BH112" i="11"/>
  <c r="BK21" i="5"/>
  <c r="BK20" i="5" s="1"/>
  <c r="AR16" i="10"/>
  <c r="AS14" i="10"/>
  <c r="AS15" i="10" s="1"/>
  <c r="BG108" i="11"/>
  <c r="BG13" i="14"/>
  <c r="BG114" i="11" s="1"/>
  <c r="BL10" i="18"/>
  <c r="BM22" i="5"/>
  <c r="BL43" i="5"/>
  <c r="BI12" i="5"/>
  <c r="BH6" i="6"/>
  <c r="BI7" i="6"/>
  <c r="BI14" i="5"/>
  <c r="BH7" i="14"/>
  <c r="BH5" i="14" s="1"/>
  <c r="BH13" i="14" s="1"/>
  <c r="BH114" i="11" s="1"/>
  <c r="BK16" i="7"/>
  <c r="BK8" i="6"/>
  <c r="BL33" i="5"/>
  <c r="BK47" i="5"/>
  <c r="BM36" i="5"/>
  <c r="BL35" i="5"/>
  <c r="BM29" i="5"/>
  <c r="BL28" i="5"/>
  <c r="BJ42" i="5"/>
  <c r="BJ12" i="6"/>
  <c r="BK76" i="7"/>
  <c r="BQ46" i="7"/>
  <c r="BQ10" i="6"/>
  <c r="BR14" i="18"/>
  <c r="BS26" i="5"/>
  <c r="H17" i="3"/>
  <c r="H20" i="3" s="1"/>
  <c r="G16" i="2"/>
  <c r="BR13" i="18"/>
  <c r="BS25" i="5"/>
  <c r="BR12" i="18"/>
  <c r="BR45" i="5"/>
  <c r="BS24" i="5"/>
  <c r="BG15" i="14" l="1"/>
  <c r="BL76" i="7"/>
  <c r="BK12" i="6"/>
  <c r="BL20" i="5"/>
  <c r="BK31" i="7"/>
  <c r="BK9" i="6"/>
  <c r="BL16" i="7"/>
  <c r="BL8" i="6"/>
  <c r="BN36" i="5"/>
  <c r="BM35" i="5"/>
  <c r="BL47" i="5"/>
  <c r="BM33" i="5"/>
  <c r="BK42" i="5"/>
  <c r="BM43" i="5"/>
  <c r="BN22" i="5"/>
  <c r="BM10" i="18"/>
  <c r="BL11" i="18"/>
  <c r="BL9" i="18" s="1"/>
  <c r="BM23" i="5"/>
  <c r="BM21" i="5" s="1"/>
  <c r="BL44" i="5"/>
  <c r="BM66" i="5"/>
  <c r="BN67" i="5"/>
  <c r="BK9" i="5"/>
  <c r="BK8" i="5" s="1"/>
  <c r="BK5" i="6" s="1"/>
  <c r="BK61" i="7"/>
  <c r="BK11" i="6"/>
  <c r="BL46" i="5"/>
  <c r="BM32" i="5"/>
  <c r="BM59" i="5"/>
  <c r="BN60" i="5"/>
  <c r="BN53" i="5"/>
  <c r="BM52" i="5"/>
  <c r="BI7" i="14"/>
  <c r="BI5" i="14" s="1"/>
  <c r="BI13" i="14" s="1"/>
  <c r="BI114" i="11" s="1"/>
  <c r="BJ7" i="6"/>
  <c r="BJ14" i="5"/>
  <c r="BJ12" i="5" s="1"/>
  <c r="BI6" i="6"/>
  <c r="BH108" i="11"/>
  <c r="BH15" i="14"/>
  <c r="F17" i="2"/>
  <c r="AT14" i="10"/>
  <c r="AT15" i="10" s="1"/>
  <c r="AS16" i="10"/>
  <c r="BL51" i="5"/>
  <c r="BI112" i="11"/>
  <c r="BM28" i="5"/>
  <c r="BN29" i="5"/>
  <c r="BK19" i="5"/>
  <c r="BS12" i="18"/>
  <c r="BS45" i="5"/>
  <c r="BT24" i="5"/>
  <c r="H22" i="3"/>
  <c r="H25" i="3" s="1"/>
  <c r="I23" i="3"/>
  <c r="BS14" i="18"/>
  <c r="BT26" i="5"/>
  <c r="BR46" i="7"/>
  <c r="BR10" i="6"/>
  <c r="BS13" i="18"/>
  <c r="BT25" i="5"/>
  <c r="BM20" i="5" l="1"/>
  <c r="BM51" i="5"/>
  <c r="BO53" i="5"/>
  <c r="BN52" i="5"/>
  <c r="BL31" i="7"/>
  <c r="BL9" i="6"/>
  <c r="BO36" i="5"/>
  <c r="BN35" i="5"/>
  <c r="AT16" i="10"/>
  <c r="AU14" i="10"/>
  <c r="AU15" i="10" s="1"/>
  <c r="BN32" i="5"/>
  <c r="BM46" i="5"/>
  <c r="BL42" i="5"/>
  <c r="BL11" i="6"/>
  <c r="BL61" i="7"/>
  <c r="BN10" i="18"/>
  <c r="BN43" i="5"/>
  <c r="BO22" i="5"/>
  <c r="BL9" i="5"/>
  <c r="BL8" i="5" s="1"/>
  <c r="BL5" i="6" s="1"/>
  <c r="BJ14" i="14"/>
  <c r="BK12" i="14"/>
  <c r="BK8" i="14" s="1"/>
  <c r="BK110" i="11" s="1"/>
  <c r="BK13" i="5"/>
  <c r="BK13" i="6"/>
  <c r="BM16" i="7"/>
  <c r="BM8" i="6"/>
  <c r="BN23" i="5"/>
  <c r="BM44" i="5"/>
  <c r="BM42" i="5" s="1"/>
  <c r="BM11" i="18"/>
  <c r="BM9" i="18" s="1"/>
  <c r="BJ7" i="14"/>
  <c r="BJ5" i="14" s="1"/>
  <c r="BK7" i="6"/>
  <c r="BK14" i="5"/>
  <c r="BJ6" i="6"/>
  <c r="BL19" i="5"/>
  <c r="BN33" i="5"/>
  <c r="BM47" i="5"/>
  <c r="BO60" i="5"/>
  <c r="BN59" i="5"/>
  <c r="BO29" i="5"/>
  <c r="BN28" i="5"/>
  <c r="BI108" i="11"/>
  <c r="BI15" i="14"/>
  <c r="BN66" i="5"/>
  <c r="BO67" i="5"/>
  <c r="BM76" i="7"/>
  <c r="BL12" i="6"/>
  <c r="BT12" i="18"/>
  <c r="BT45" i="5"/>
  <c r="BU24" i="5"/>
  <c r="BS46" i="7"/>
  <c r="BS10" i="6"/>
  <c r="BT14" i="18"/>
  <c r="BU26" i="5"/>
  <c r="BT13" i="18"/>
  <c r="BU25" i="5"/>
  <c r="BM9" i="5" l="1"/>
  <c r="BM8" i="5" s="1"/>
  <c r="BM5" i="6" s="1"/>
  <c r="BM19" i="5"/>
  <c r="BP29" i="5"/>
  <c r="BO28" i="5"/>
  <c r="BM9" i="6"/>
  <c r="BM31" i="7"/>
  <c r="BP22" i="5"/>
  <c r="BO43" i="5"/>
  <c r="BO10" i="18"/>
  <c r="BM14" i="5"/>
  <c r="BL7" i="14"/>
  <c r="BL5" i="14" s="1"/>
  <c r="BL108" i="11" s="1"/>
  <c r="BM7" i="6"/>
  <c r="BL6" i="6"/>
  <c r="BP60" i="5"/>
  <c r="BO59" i="5"/>
  <c r="BP36" i="5"/>
  <c r="BO35" i="5"/>
  <c r="BN47" i="5"/>
  <c r="BO33" i="5"/>
  <c r="BO23" i="5"/>
  <c r="BN44" i="5"/>
  <c r="BN11" i="18"/>
  <c r="BN9" i="18" s="1"/>
  <c r="BN21" i="5"/>
  <c r="BN20" i="5" s="1"/>
  <c r="BN76" i="7"/>
  <c r="BM12" i="6"/>
  <c r="BK14" i="14"/>
  <c r="BL12" i="14"/>
  <c r="BL8" i="14" s="1"/>
  <c r="BL110" i="11" s="1"/>
  <c r="BL13" i="5"/>
  <c r="BL13" i="6"/>
  <c r="BN51" i="5"/>
  <c r="BN16" i="7"/>
  <c r="BN8" i="6"/>
  <c r="BO52" i="5"/>
  <c r="BP53" i="5"/>
  <c r="BP67" i="5"/>
  <c r="BO66" i="5"/>
  <c r="BL14" i="5"/>
  <c r="BK6" i="6"/>
  <c r="BK7" i="14"/>
  <c r="BK5" i="14" s="1"/>
  <c r="BL7" i="6"/>
  <c r="BK12" i="5"/>
  <c r="BL14" i="14"/>
  <c r="BM11" i="6"/>
  <c r="BM61" i="7"/>
  <c r="BM13" i="5"/>
  <c r="AU16" i="10"/>
  <c r="AV14" i="10"/>
  <c r="AV15" i="10" s="1"/>
  <c r="BJ108" i="11"/>
  <c r="BJ13" i="14"/>
  <c r="BJ114" i="11" s="1"/>
  <c r="BJ112" i="11"/>
  <c r="BO32" i="5"/>
  <c r="BN46" i="5"/>
  <c r="BU12" i="18"/>
  <c r="BU45" i="5"/>
  <c r="BV24" i="5"/>
  <c r="BT46" i="7"/>
  <c r="BT10" i="6"/>
  <c r="BU13" i="18"/>
  <c r="BV25" i="5"/>
  <c r="BU14" i="18"/>
  <c r="BV26" i="5"/>
  <c r="BN42" i="5" l="1"/>
  <c r="BJ15" i="14"/>
  <c r="BM12" i="14"/>
  <c r="BM8" i="14" s="1"/>
  <c r="BM110" i="11" s="1"/>
  <c r="BM13" i="6"/>
  <c r="BM6" i="6"/>
  <c r="BM7" i="14"/>
  <c r="BM5" i="14" s="1"/>
  <c r="BM108" i="11" s="1"/>
  <c r="BN7" i="6"/>
  <c r="BN14" i="5"/>
  <c r="BN61" i="7"/>
  <c r="BN11" i="6"/>
  <c r="BL13" i="14"/>
  <c r="BL114" i="11" s="1"/>
  <c r="BL112" i="11"/>
  <c r="BN19" i="5"/>
  <c r="BP32" i="5"/>
  <c r="BO46" i="5"/>
  <c r="BK108" i="11"/>
  <c r="BO11" i="18"/>
  <c r="BO9" i="18" s="1"/>
  <c r="BP23" i="5"/>
  <c r="BO44" i="5"/>
  <c r="BO21" i="5"/>
  <c r="BO20" i="5" s="1"/>
  <c r="BN9" i="6"/>
  <c r="BN31" i="7"/>
  <c r="BP33" i="5"/>
  <c r="BO47" i="5"/>
  <c r="BL12" i="5"/>
  <c r="BO76" i="7"/>
  <c r="BN12" i="6"/>
  <c r="BO16" i="7"/>
  <c r="BO8" i="6"/>
  <c r="AW14" i="10"/>
  <c r="AW15" i="10" s="1"/>
  <c r="AV16" i="10"/>
  <c r="BP21" i="5"/>
  <c r="BP20" i="5" s="1"/>
  <c r="BP43" i="5"/>
  <c r="BP10" i="18"/>
  <c r="BQ22" i="5"/>
  <c r="BK13" i="14"/>
  <c r="BK114" i="11" s="1"/>
  <c r="BK112" i="11"/>
  <c r="BP35" i="5"/>
  <c r="BQ36" i="5"/>
  <c r="BQ67" i="5"/>
  <c r="BP66" i="5"/>
  <c r="BM12" i="5"/>
  <c r="BP52" i="5"/>
  <c r="BQ53" i="5"/>
  <c r="BO51" i="5"/>
  <c r="BQ60" i="5"/>
  <c r="BP59" i="5"/>
  <c r="BN9" i="5"/>
  <c r="BN8" i="5" s="1"/>
  <c r="BN5" i="6" s="1"/>
  <c r="BP28" i="5"/>
  <c r="BQ29" i="5"/>
  <c r="BV14" i="18"/>
  <c r="BW26" i="5"/>
  <c r="BV13" i="18"/>
  <c r="BW25" i="5"/>
  <c r="BV12" i="18"/>
  <c r="BV45" i="5"/>
  <c r="BW24" i="5"/>
  <c r="BU46" i="7"/>
  <c r="BU10" i="6"/>
  <c r="BO19" i="5" l="1"/>
  <c r="BL15" i="14"/>
  <c r="BO61" i="7"/>
  <c r="BO11" i="6"/>
  <c r="BP51" i="5"/>
  <c r="BP19" i="5" s="1"/>
  <c r="BP12" i="14" s="1"/>
  <c r="BP8" i="14" s="1"/>
  <c r="BP110" i="11" s="1"/>
  <c r="BO12" i="6"/>
  <c r="BP76" i="7"/>
  <c r="BQ32" i="5"/>
  <c r="BP46" i="5"/>
  <c r="BQ52" i="5"/>
  <c r="BR53" i="5"/>
  <c r="BP16" i="7"/>
  <c r="BP8" i="6"/>
  <c r="BQ33" i="5"/>
  <c r="BP47" i="5"/>
  <c r="BN12" i="14"/>
  <c r="BN8" i="14" s="1"/>
  <c r="BN110" i="11" s="1"/>
  <c r="BN13" i="5"/>
  <c r="BN12" i="5" s="1"/>
  <c r="BM14" i="14"/>
  <c r="BN13" i="6"/>
  <c r="AX14" i="10"/>
  <c r="AX15" i="10" s="1"/>
  <c r="AW16" i="10"/>
  <c r="BQ28" i="5"/>
  <c r="BR29" i="5"/>
  <c r="BQ66" i="5"/>
  <c r="BR67" i="5"/>
  <c r="BO9" i="5"/>
  <c r="BO8" i="5" s="1"/>
  <c r="BO5" i="6" s="1"/>
  <c r="BN14" i="14"/>
  <c r="BO13" i="5"/>
  <c r="BO13" i="6"/>
  <c r="BO12" i="14"/>
  <c r="BO8" i="14" s="1"/>
  <c r="BO110" i="11" s="1"/>
  <c r="BR36" i="5"/>
  <c r="BQ35" i="5"/>
  <c r="H35" i="17" s="1"/>
  <c r="BO42" i="5"/>
  <c r="BO31" i="7"/>
  <c r="BO9" i="6"/>
  <c r="BP11" i="18"/>
  <c r="BP9" i="18" s="1"/>
  <c r="BP44" i="5"/>
  <c r="BQ23" i="5"/>
  <c r="BQ21" i="5" s="1"/>
  <c r="BR60" i="5"/>
  <c r="BQ59" i="5"/>
  <c r="BK15" i="14"/>
  <c r="BR22" i="5"/>
  <c r="BQ10" i="18"/>
  <c r="BQ43" i="5"/>
  <c r="BW13" i="18"/>
  <c r="BX25" i="5"/>
  <c r="BW14" i="18"/>
  <c r="BX26" i="5"/>
  <c r="BV46" i="7"/>
  <c r="BV10" i="6"/>
  <c r="BW12" i="18"/>
  <c r="BX24" i="5"/>
  <c r="BW45" i="5"/>
  <c r="BP9" i="5" l="1"/>
  <c r="BP8" i="5" s="1"/>
  <c r="BP5" i="6" s="1"/>
  <c r="BO14" i="14"/>
  <c r="BP13" i="6"/>
  <c r="BP13" i="5"/>
  <c r="H34" i="17"/>
  <c r="H33" i="17"/>
  <c r="BQ20" i="5"/>
  <c r="BP31" i="7"/>
  <c r="BP9" i="6"/>
  <c r="BR10" i="18"/>
  <c r="BS22" i="5"/>
  <c r="BR43" i="5"/>
  <c r="AY14" i="10"/>
  <c r="AY15" i="10" s="1"/>
  <c r="AX16" i="10"/>
  <c r="BQ51" i="5"/>
  <c r="BQ76" i="7"/>
  <c r="BP12" i="6"/>
  <c r="BO7" i="6"/>
  <c r="BO14" i="5"/>
  <c r="BN7" i="14"/>
  <c r="BN5" i="14" s="1"/>
  <c r="BN13" i="14" s="1"/>
  <c r="BN114" i="11" s="1"/>
  <c r="BN6" i="6"/>
  <c r="BQ9" i="18"/>
  <c r="BR35" i="5"/>
  <c r="BS36" i="5"/>
  <c r="BR52" i="5"/>
  <c r="BS53" i="5"/>
  <c r="BM13" i="14"/>
  <c r="BM112" i="11"/>
  <c r="BP61" i="7"/>
  <c r="BP11" i="6"/>
  <c r="BR59" i="5"/>
  <c r="BS60" i="5"/>
  <c r="BO12" i="5"/>
  <c r="BR32" i="5"/>
  <c r="BQ46" i="5"/>
  <c r="BQ11" i="18"/>
  <c r="BQ44" i="5"/>
  <c r="BR23" i="5"/>
  <c r="BR21" i="5" s="1"/>
  <c r="BN112" i="11"/>
  <c r="BS67" i="5"/>
  <c r="BR66" i="5"/>
  <c r="BQ47" i="5"/>
  <c r="BR33" i="5"/>
  <c r="BP42" i="5"/>
  <c r="G23" i="14"/>
  <c r="BQ16" i="7"/>
  <c r="BQ8" i="6"/>
  <c r="BS29" i="5"/>
  <c r="BR28" i="5"/>
  <c r="BO112" i="11"/>
  <c r="BX13" i="18"/>
  <c r="BY25" i="5"/>
  <c r="BX14" i="18"/>
  <c r="BY26" i="5"/>
  <c r="BW46" i="7"/>
  <c r="BW10" i="6"/>
  <c r="BX12" i="18"/>
  <c r="BX45" i="5"/>
  <c r="BY24" i="5"/>
  <c r="BR20" i="5" l="1"/>
  <c r="BS33" i="5"/>
  <c r="BR47" i="5"/>
  <c r="BS32" i="5"/>
  <c r="BR46" i="5"/>
  <c r="BR51" i="5"/>
  <c r="BR19" i="5" s="1"/>
  <c r="BR76" i="7"/>
  <c r="BQ12" i="6"/>
  <c r="BT36" i="5"/>
  <c r="BS35" i="5"/>
  <c r="BS59" i="5"/>
  <c r="BT60" i="5"/>
  <c r="AZ14" i="10"/>
  <c r="AZ15" i="10" s="1"/>
  <c r="AY16" i="10"/>
  <c r="BT67" i="5"/>
  <c r="BS66" i="5"/>
  <c r="BS28" i="5"/>
  <c r="BT29" i="5"/>
  <c r="BR16" i="7"/>
  <c r="BR8" i="6"/>
  <c r="BS43" i="5"/>
  <c r="BT22" i="5"/>
  <c r="BS10" i="18"/>
  <c r="BQ9" i="6"/>
  <c r="BQ31" i="7"/>
  <c r="BM15" i="14"/>
  <c r="BM114" i="11"/>
  <c r="BQ42" i="5"/>
  <c r="BR11" i="18"/>
  <c r="BR9" i="18" s="1"/>
  <c r="BS23" i="5"/>
  <c r="BR44" i="5"/>
  <c r="BR9" i="5" s="1"/>
  <c r="BR8" i="5" s="1"/>
  <c r="BR5" i="6" s="1"/>
  <c r="BQ19" i="5"/>
  <c r="BQ9" i="5"/>
  <c r="BQ8" i="5" s="1"/>
  <c r="BN108" i="11"/>
  <c r="BN15" i="14"/>
  <c r="BO7" i="14"/>
  <c r="BO5" i="14" s="1"/>
  <c r="BP7" i="6"/>
  <c r="BO6" i="6"/>
  <c r="BP14" i="5"/>
  <c r="BP12" i="5" s="1"/>
  <c r="BQ11" i="6"/>
  <c r="BQ61" i="7"/>
  <c r="BS52" i="5"/>
  <c r="BT53" i="5"/>
  <c r="BY13" i="18"/>
  <c r="BZ25" i="5"/>
  <c r="BY14" i="18"/>
  <c r="BZ26" i="5"/>
  <c r="BY12" i="18"/>
  <c r="BZ24" i="5"/>
  <c r="BY45" i="5"/>
  <c r="BX46" i="7"/>
  <c r="BX10" i="6"/>
  <c r="BR42" i="5" l="1"/>
  <c r="BQ14" i="14"/>
  <c r="BR12" i="14"/>
  <c r="BR8" i="14" s="1"/>
  <c r="BR110" i="11" s="1"/>
  <c r="BR13" i="6"/>
  <c r="BR13" i="5"/>
  <c r="BQ7" i="6"/>
  <c r="BP6" i="6"/>
  <c r="BQ14" i="5"/>
  <c r="BP7" i="14"/>
  <c r="BP5" i="14" s="1"/>
  <c r="BQ7" i="14"/>
  <c r="BQ5" i="14" s="1"/>
  <c r="BQ108" i="11" s="1"/>
  <c r="BR7" i="6"/>
  <c r="BQ6" i="6"/>
  <c r="BR14" i="5"/>
  <c r="BU36" i="5"/>
  <c r="BT35" i="5"/>
  <c r="BO108" i="11"/>
  <c r="BO13" i="14"/>
  <c r="BO114" i="11" s="1"/>
  <c r="BT28" i="5"/>
  <c r="BU29" i="5"/>
  <c r="BQ5" i="6"/>
  <c r="I7" i="3"/>
  <c r="H11" i="2"/>
  <c r="BT66" i="5"/>
  <c r="BU67" i="5"/>
  <c r="BS46" i="5"/>
  <c r="BT32" i="5"/>
  <c r="BT52" i="5"/>
  <c r="BU53" i="5"/>
  <c r="BQ12" i="14"/>
  <c r="BQ8" i="14" s="1"/>
  <c r="BQ110" i="11" s="1"/>
  <c r="H32" i="17"/>
  <c r="BP14" i="14"/>
  <c r="BQ13" i="6"/>
  <c r="H13" i="2"/>
  <c r="H12" i="2" s="1"/>
  <c r="BQ13" i="5"/>
  <c r="BT10" i="18"/>
  <c r="BT43" i="5"/>
  <c r="BU22" i="5"/>
  <c r="BR12" i="6"/>
  <c r="BS76" i="7"/>
  <c r="BS51" i="5"/>
  <c r="BR31" i="7"/>
  <c r="BR9" i="6"/>
  <c r="BS16" i="7"/>
  <c r="BS8" i="6"/>
  <c r="AZ16" i="10"/>
  <c r="BA14" i="10"/>
  <c r="BA15" i="10" s="1"/>
  <c r="BS47" i="5"/>
  <c r="BT33" i="5"/>
  <c r="BR61" i="7"/>
  <c r="BR11" i="6"/>
  <c r="BS11" i="18"/>
  <c r="BS9" i="18" s="1"/>
  <c r="BS44" i="5"/>
  <c r="BT23" i="5"/>
  <c r="BT21" i="5" s="1"/>
  <c r="BS21" i="5"/>
  <c r="BS20" i="5" s="1"/>
  <c r="BT59" i="5"/>
  <c r="BU60" i="5"/>
  <c r="BY46" i="7"/>
  <c r="BY10" i="6"/>
  <c r="BZ14" i="18"/>
  <c r="CA26" i="5"/>
  <c r="BZ12" i="18"/>
  <c r="CA24" i="5"/>
  <c r="BZ45" i="5"/>
  <c r="BZ13" i="18"/>
  <c r="CA25" i="5"/>
  <c r="BT20" i="5" l="1"/>
  <c r="BR12" i="5"/>
  <c r="BT51" i="5"/>
  <c r="BT19" i="5" s="1"/>
  <c r="BO15" i="14"/>
  <c r="BS31" i="7"/>
  <c r="BS9" i="6"/>
  <c r="G25" i="14"/>
  <c r="BP13" i="14"/>
  <c r="BP15" i="14" s="1"/>
  <c r="BP112" i="11"/>
  <c r="H36" i="17"/>
  <c r="H38" i="17"/>
  <c r="H37" i="17"/>
  <c r="BU28" i="5"/>
  <c r="BV29" i="5"/>
  <c r="G22" i="14"/>
  <c r="BP108" i="11"/>
  <c r="BU33" i="5"/>
  <c r="BT47" i="5"/>
  <c r="BT76" i="7"/>
  <c r="BS12" i="6"/>
  <c r="BU52" i="5"/>
  <c r="BV53" i="5"/>
  <c r="BB14" i="10"/>
  <c r="BB15" i="10" s="1"/>
  <c r="BA16" i="10"/>
  <c r="BU10" i="18"/>
  <c r="BU43" i="5"/>
  <c r="BV22" i="5"/>
  <c r="BU32" i="5"/>
  <c r="BT46" i="5"/>
  <c r="BV60" i="5"/>
  <c r="BU59" i="5"/>
  <c r="BS42" i="5"/>
  <c r="BS61" i="7"/>
  <c r="BS11" i="6"/>
  <c r="BT16" i="7"/>
  <c r="BT8" i="6"/>
  <c r="BS19" i="5"/>
  <c r="BS9" i="5"/>
  <c r="BS8" i="5" s="1"/>
  <c r="BV67" i="5"/>
  <c r="BU66" i="5"/>
  <c r="BU23" i="5"/>
  <c r="BT11" i="18"/>
  <c r="BT9" i="18" s="1"/>
  <c r="BT44" i="5"/>
  <c r="BQ12" i="5"/>
  <c r="I8" i="3" s="1"/>
  <c r="BV36" i="5"/>
  <c r="BU35" i="5"/>
  <c r="BQ13" i="14"/>
  <c r="BQ112" i="11"/>
  <c r="CA14" i="18"/>
  <c r="CB26" i="5"/>
  <c r="CA13" i="18"/>
  <c r="CB25" i="5"/>
  <c r="BZ46" i="7"/>
  <c r="BZ10" i="6"/>
  <c r="CA12" i="18"/>
  <c r="CB24" i="5"/>
  <c r="CA45" i="5"/>
  <c r="BT13" i="6" l="1"/>
  <c r="BT12" i="14"/>
  <c r="BT8" i="14" s="1"/>
  <c r="BT110" i="11" s="1"/>
  <c r="BS14" i="14"/>
  <c r="BS112" i="11" s="1"/>
  <c r="BT13" i="5"/>
  <c r="BU8" i="6"/>
  <c r="BU16" i="7"/>
  <c r="BV28" i="5"/>
  <c r="BW29" i="5"/>
  <c r="BV23" i="5"/>
  <c r="BV21" i="5" s="1"/>
  <c r="BU44" i="5"/>
  <c r="BU11" i="18"/>
  <c r="BU9" i="18" s="1"/>
  <c r="BT31" i="7"/>
  <c r="BT9" i="6"/>
  <c r="BS14" i="5"/>
  <c r="BR7" i="14"/>
  <c r="BR5" i="14" s="1"/>
  <c r="BR108" i="11" s="1"/>
  <c r="BS7" i="6"/>
  <c r="BR6" i="6"/>
  <c r="BB16" i="10"/>
  <c r="BC14" i="10"/>
  <c r="BC15" i="10" s="1"/>
  <c r="H10" i="17"/>
  <c r="H24" i="17"/>
  <c r="BW67" i="5"/>
  <c r="BV66" i="5"/>
  <c r="BV52" i="5"/>
  <c r="BW53" i="5"/>
  <c r="H11" i="17"/>
  <c r="H81" i="17"/>
  <c r="G20" i="4" s="1"/>
  <c r="H25" i="17"/>
  <c r="BV59" i="5"/>
  <c r="BW60" i="5"/>
  <c r="BU51" i="5"/>
  <c r="H23" i="17"/>
  <c r="H9" i="17"/>
  <c r="BQ15" i="14"/>
  <c r="BQ114" i="11"/>
  <c r="BS13" i="5"/>
  <c r="BS12" i="5" s="1"/>
  <c r="K8" i="3" s="1"/>
  <c r="BR14" i="14"/>
  <c r="BS12" i="14"/>
  <c r="BS8" i="14" s="1"/>
  <c r="BS13" i="6"/>
  <c r="BT61" i="7"/>
  <c r="BT11" i="6"/>
  <c r="G24" i="14"/>
  <c r="G26" i="14" s="1"/>
  <c r="BP114" i="11"/>
  <c r="BU76" i="7"/>
  <c r="BT12" i="6"/>
  <c r="BV35" i="5"/>
  <c r="BW36" i="5"/>
  <c r="BU21" i="5"/>
  <c r="BU20" i="5" s="1"/>
  <c r="BV33" i="5"/>
  <c r="BU47" i="5"/>
  <c r="BS5" i="6"/>
  <c r="K7" i="3"/>
  <c r="BT9" i="5"/>
  <c r="BT8" i="5" s="1"/>
  <c r="BT5" i="6" s="1"/>
  <c r="BV32" i="5"/>
  <c r="BU46" i="5"/>
  <c r="BT42" i="5"/>
  <c r="BV10" i="18"/>
  <c r="BV43" i="5"/>
  <c r="BW22" i="5"/>
  <c r="CA46" i="7"/>
  <c r="CA10" i="6"/>
  <c r="CB12" i="18"/>
  <c r="CC24" i="5"/>
  <c r="CB45" i="5"/>
  <c r="CB14" i="18"/>
  <c r="CC26" i="5"/>
  <c r="CB13" i="18"/>
  <c r="CC25" i="5"/>
  <c r="BU19" i="5" l="1"/>
  <c r="BT14" i="14" s="1"/>
  <c r="BU11" i="6"/>
  <c r="BU61" i="7"/>
  <c r="H12" i="17"/>
  <c r="BW66" i="5"/>
  <c r="BX67" i="5"/>
  <c r="H26" i="17"/>
  <c r="BU12" i="14"/>
  <c r="BU8" i="14" s="1"/>
  <c r="BU110" i="11" s="1"/>
  <c r="BW32" i="5"/>
  <c r="BV46" i="5"/>
  <c r="BU13" i="6"/>
  <c r="BU31" i="7"/>
  <c r="BU9" i="6"/>
  <c r="BX22" i="5"/>
  <c r="BW10" i="18"/>
  <c r="BW43" i="5"/>
  <c r="BW21" i="5"/>
  <c r="BU13" i="5"/>
  <c r="BW59" i="5"/>
  <c r="BX60" i="5"/>
  <c r="BC16" i="10"/>
  <c r="BD14" i="10"/>
  <c r="BD15" i="10" s="1"/>
  <c r="BV11" i="18"/>
  <c r="BW23" i="5"/>
  <c r="BV44" i="5"/>
  <c r="BX29" i="5"/>
  <c r="BW28" i="5"/>
  <c r="BV76" i="7"/>
  <c r="BU12" i="6"/>
  <c r="BT112" i="11"/>
  <c r="BV20" i="5"/>
  <c r="BW33" i="5"/>
  <c r="BV47" i="5"/>
  <c r="BS110" i="11"/>
  <c r="BG7" i="18"/>
  <c r="BF5" i="18"/>
  <c r="BL6" i="18"/>
  <c r="BJ5" i="18"/>
  <c r="BL5" i="18"/>
  <c r="BN5" i="18"/>
  <c r="BQ4" i="5"/>
  <c r="BK6" i="18"/>
  <c r="BH5" i="18"/>
  <c r="BN6" i="18"/>
  <c r="BK4" i="5"/>
  <c r="BN4" i="18"/>
  <c r="BI5" i="18"/>
  <c r="BN7" i="18"/>
  <c r="BP7" i="18"/>
  <c r="BO5" i="18"/>
  <c r="BH6" i="18"/>
  <c r="BH8" i="18"/>
  <c r="BF4" i="5"/>
  <c r="BJ8" i="18"/>
  <c r="BO6" i="18"/>
  <c r="BO4" i="5"/>
  <c r="BG5" i="18"/>
  <c r="BM6" i="18"/>
  <c r="BK4" i="18"/>
  <c r="BP8" i="18"/>
  <c r="BO4" i="18"/>
  <c r="BM4" i="18"/>
  <c r="BG4" i="5"/>
  <c r="BM5" i="18"/>
  <c r="BH7" i="18"/>
  <c r="BI6" i="18"/>
  <c r="BK7" i="18"/>
  <c r="BM8" i="18"/>
  <c r="BO8" i="18"/>
  <c r="BQ7" i="18"/>
  <c r="BP4" i="18"/>
  <c r="BQ4" i="18"/>
  <c r="BG6" i="18"/>
  <c r="BJ6" i="18"/>
  <c r="BI4" i="5"/>
  <c r="BJ7" i="18"/>
  <c r="BN8" i="18"/>
  <c r="BQ5" i="18"/>
  <c r="G21" i="4"/>
  <c r="G22" i="4" s="1"/>
  <c r="G23" i="4" s="1"/>
  <c r="G24" i="4" s="1"/>
  <c r="G25" i="4" s="1"/>
  <c r="BI8" i="18"/>
  <c r="BG4" i="18"/>
  <c r="BM7" i="18"/>
  <c r="BO7" i="18"/>
  <c r="BQ6" i="18"/>
  <c r="BN4" i="5"/>
  <c r="BF6" i="18"/>
  <c r="BL7" i="18"/>
  <c r="BJ4" i="18"/>
  <c r="BL4" i="5"/>
  <c r="BL4" i="18"/>
  <c r="BF8" i="18"/>
  <c r="BI7" i="18"/>
  <c r="BK8" i="18"/>
  <c r="BI4" i="18"/>
  <c r="BJ4" i="5"/>
  <c r="BQ8" i="18"/>
  <c r="BP5" i="18"/>
  <c r="BP4" i="5"/>
  <c r="BG8" i="18"/>
  <c r="BL8" i="18"/>
  <c r="BP6" i="18"/>
  <c r="BM4" i="5"/>
  <c r="BF7" i="18"/>
  <c r="BF4" i="18"/>
  <c r="BH4" i="18"/>
  <c r="BH4" i="5"/>
  <c r="BK5" i="18"/>
  <c r="BU9" i="5"/>
  <c r="BU8" i="5" s="1"/>
  <c r="BU5" i="6" s="1"/>
  <c r="BV8" i="6"/>
  <c r="BV16" i="7"/>
  <c r="BX36" i="5"/>
  <c r="BW35" i="5"/>
  <c r="BX53" i="5"/>
  <c r="BW52" i="5"/>
  <c r="BU42" i="5"/>
  <c r="BV51" i="5"/>
  <c r="BR13" i="14"/>
  <c r="BR112" i="11"/>
  <c r="BV9" i="18"/>
  <c r="BT14" i="5"/>
  <c r="BT12" i="5" s="1"/>
  <c r="BS7" i="14"/>
  <c r="BS5" i="14" s="1"/>
  <c r="BS6" i="6"/>
  <c r="BT7" i="6"/>
  <c r="CB46" i="7"/>
  <c r="CB10" i="6"/>
  <c r="CC12" i="18"/>
  <c r="CC45" i="5"/>
  <c r="CC13" i="18"/>
  <c r="CC14" i="18"/>
  <c r="BV42" i="5" l="1"/>
  <c r="BW51" i="5"/>
  <c r="BV9" i="5"/>
  <c r="BV8" i="5" s="1"/>
  <c r="BV5" i="6" s="1"/>
  <c r="BQ5" i="10"/>
  <c r="BP4" i="6"/>
  <c r="BP3" i="5"/>
  <c r="BW76" i="7"/>
  <c r="BV12" i="6"/>
  <c r="BE14" i="10"/>
  <c r="BE15" i="10" s="1"/>
  <c r="BD16" i="10"/>
  <c r="BR15" i="14"/>
  <c r="BR114" i="11"/>
  <c r="BI4" i="6"/>
  <c r="BI3" i="5"/>
  <c r="BJ5" i="10"/>
  <c r="H10" i="2"/>
  <c r="H9" i="2" s="1"/>
  <c r="BF4" i="6"/>
  <c r="BF3" i="5"/>
  <c r="I6" i="3"/>
  <c r="BG5" i="10"/>
  <c r="BX33" i="5"/>
  <c r="BW47" i="5"/>
  <c r="BV11" i="6"/>
  <c r="BV61" i="7"/>
  <c r="BH5" i="10"/>
  <c r="BG3" i="5"/>
  <c r="BG4" i="6"/>
  <c r="BQ4" i="6"/>
  <c r="BQ3" i="5"/>
  <c r="BR5" i="10"/>
  <c r="BV19" i="5"/>
  <c r="BX59" i="5"/>
  <c r="BY60" i="5"/>
  <c r="BX32" i="5"/>
  <c r="BW46" i="5"/>
  <c r="BH3" i="18"/>
  <c r="BI5" i="16"/>
  <c r="BJ5" i="16"/>
  <c r="BI3" i="18"/>
  <c r="BQ3" i="18"/>
  <c r="BR5" i="16"/>
  <c r="BO3" i="18"/>
  <c r="BP5" i="16"/>
  <c r="BX52" i="5"/>
  <c r="BY53" i="5"/>
  <c r="BF3" i="18"/>
  <c r="BG5" i="16"/>
  <c r="BP3" i="18"/>
  <c r="BQ5" i="16"/>
  <c r="BW20" i="5"/>
  <c r="BW19" i="5" s="1"/>
  <c r="BW13" i="5" s="1"/>
  <c r="BX66" i="5"/>
  <c r="BY67" i="5"/>
  <c r="BN4" i="6"/>
  <c r="BO5" i="10"/>
  <c r="BN3" i="5"/>
  <c r="BG3" i="18"/>
  <c r="BH5" i="16"/>
  <c r="BL5" i="16"/>
  <c r="BK3" i="18"/>
  <c r="BW16" i="7"/>
  <c r="BW8" i="6"/>
  <c r="BM3" i="18"/>
  <c r="BN5" i="16"/>
  <c r="BY36" i="5"/>
  <c r="BX35" i="5"/>
  <c r="BM4" i="6"/>
  <c r="BM3" i="5"/>
  <c r="BN5" i="10"/>
  <c r="BY29" i="5"/>
  <c r="BX28" i="5"/>
  <c r="BM5" i="16"/>
  <c r="BL3" i="18"/>
  <c r="BN3" i="18"/>
  <c r="BO5" i="16"/>
  <c r="BV9" i="6"/>
  <c r="BV31" i="7"/>
  <c r="BX10" i="18"/>
  <c r="BX43" i="5"/>
  <c r="BY22" i="5"/>
  <c r="BU14" i="5"/>
  <c r="BU12" i="5" s="1"/>
  <c r="BT7" i="14"/>
  <c r="BT5" i="14" s="1"/>
  <c r="BT6" i="6"/>
  <c r="BU7" i="6"/>
  <c r="BH3" i="5"/>
  <c r="BI5" i="10"/>
  <c r="BH4" i="6"/>
  <c r="BJ4" i="6"/>
  <c r="BK5" i="10"/>
  <c r="BJ3" i="5"/>
  <c r="BS108" i="11"/>
  <c r="BU7" i="14"/>
  <c r="BU5" i="14" s="1"/>
  <c r="BU108" i="11" s="1"/>
  <c r="BV7" i="6"/>
  <c r="BU6" i="6"/>
  <c r="BV14" i="5"/>
  <c r="BL3" i="5"/>
  <c r="BL4" i="6"/>
  <c r="BM5" i="10"/>
  <c r="BO4" i="6"/>
  <c r="BP5" i="10"/>
  <c r="BO3" i="5"/>
  <c r="BK4" i="6"/>
  <c r="BK3" i="5"/>
  <c r="BL5" i="10"/>
  <c r="BW11" i="18"/>
  <c r="BW9" i="18" s="1"/>
  <c r="BX23" i="5"/>
  <c r="BW44" i="5"/>
  <c r="BJ3" i="18"/>
  <c r="BK5" i="16"/>
  <c r="BS13" i="14"/>
  <c r="BS114" i="11" s="1"/>
  <c r="CC10" i="6"/>
  <c r="CC46" i="7"/>
  <c r="BW13" i="6" l="1"/>
  <c r="BW12" i="14"/>
  <c r="BW8" i="14" s="1"/>
  <c r="BW110" i="11" s="1"/>
  <c r="BX51" i="5"/>
  <c r="BK6" i="10"/>
  <c r="BK4" i="10" s="1"/>
  <c r="BJ3" i="6"/>
  <c r="BK6" i="16" s="1"/>
  <c r="BK7" i="16" s="1"/>
  <c r="BL3" i="6"/>
  <c r="BM6" i="16" s="1"/>
  <c r="BM7" i="16" s="1"/>
  <c r="BM6" i="10"/>
  <c r="BM4" i="10" s="1"/>
  <c r="BI6" i="10"/>
  <c r="BI4" i="10" s="1"/>
  <c r="BH3" i="6"/>
  <c r="BI6" i="16" s="1"/>
  <c r="BI7" i="16" s="1"/>
  <c r="BN6" i="10"/>
  <c r="BN4" i="10" s="1"/>
  <c r="BM3" i="6"/>
  <c r="BN6" i="16" s="1"/>
  <c r="BN7" i="16" s="1"/>
  <c r="BY52" i="5"/>
  <c r="BZ53" i="5"/>
  <c r="BW11" i="6"/>
  <c r="BW61" i="7"/>
  <c r="BI3" i="6"/>
  <c r="BJ6" i="16" s="1"/>
  <c r="BJ7" i="16" s="1"/>
  <c r="BJ6" i="10"/>
  <c r="BJ4" i="10" s="1"/>
  <c r="BW31" i="7"/>
  <c r="BW9" i="6"/>
  <c r="BY23" i="5"/>
  <c r="BY21" i="5" s="1"/>
  <c r="BX11" i="18"/>
  <c r="BX44" i="5"/>
  <c r="BZ36" i="5"/>
  <c r="BY35" i="5"/>
  <c r="BY32" i="5"/>
  <c r="BX46" i="5"/>
  <c r="BY59" i="5"/>
  <c r="BZ60" i="5"/>
  <c r="BW12" i="6"/>
  <c r="BX76" i="7"/>
  <c r="BY33" i="5"/>
  <c r="BX47" i="5"/>
  <c r="BU14" i="14"/>
  <c r="BV13" i="6"/>
  <c r="BV12" i="14"/>
  <c r="BV8" i="14" s="1"/>
  <c r="BV110" i="11" s="1"/>
  <c r="BV13" i="5"/>
  <c r="BV12" i="5" s="1"/>
  <c r="G17" i="2"/>
  <c r="BF14" i="10"/>
  <c r="BF15" i="10" s="1"/>
  <c r="BE16" i="10"/>
  <c r="BW9" i="5"/>
  <c r="BW8" i="5" s="1"/>
  <c r="BW5" i="6" s="1"/>
  <c r="BN3" i="6"/>
  <c r="BO6" i="16" s="1"/>
  <c r="BO7" i="16" s="1"/>
  <c r="BO6" i="10"/>
  <c r="BO4" i="10" s="1"/>
  <c r="BT108" i="11"/>
  <c r="BT13" i="14"/>
  <c r="BT114" i="11" s="1"/>
  <c r="BW42" i="5"/>
  <c r="BY66" i="5"/>
  <c r="BZ67" i="5"/>
  <c r="BL6" i="10"/>
  <c r="BL4" i="10" s="1"/>
  <c r="BK3" i="6"/>
  <c r="BL6" i="16" s="1"/>
  <c r="BL7" i="16" s="1"/>
  <c r="BS15" i="14"/>
  <c r="BV14" i="14"/>
  <c r="BV112" i="11" s="1"/>
  <c r="BZ22" i="5"/>
  <c r="BY10" i="18"/>
  <c r="BY43" i="5"/>
  <c r="I5" i="3"/>
  <c r="BX16" i="7"/>
  <c r="BX8" i="6"/>
  <c r="BZ29" i="5"/>
  <c r="BY28" i="5"/>
  <c r="BR6" i="10"/>
  <c r="BR4" i="10" s="1"/>
  <c r="BQ3" i="6"/>
  <c r="BR6" i="16" s="1"/>
  <c r="BR7" i="16" s="1"/>
  <c r="BF3" i="6"/>
  <c r="BG6" i="10"/>
  <c r="BG4" i="10" s="1"/>
  <c r="BO3" i="6"/>
  <c r="BP6" i="16" s="1"/>
  <c r="BP7" i="16" s="1"/>
  <c r="BP6" i="10"/>
  <c r="BP4" i="10" s="1"/>
  <c r="BX21" i="5"/>
  <c r="BX20" i="5" s="1"/>
  <c r="BG3" i="6"/>
  <c r="BH6" i="16" s="1"/>
  <c r="BH7" i="16" s="1"/>
  <c r="BH6" i="10"/>
  <c r="BH4" i="10" s="1"/>
  <c r="BP3" i="6"/>
  <c r="BQ6" i="16" s="1"/>
  <c r="BQ7" i="16" s="1"/>
  <c r="BQ6" i="10"/>
  <c r="BQ4" i="10" s="1"/>
  <c r="BX9" i="18"/>
  <c r="BX19" i="5" l="1"/>
  <c r="BY20" i="5"/>
  <c r="BX9" i="5"/>
  <c r="BX8" i="5" s="1"/>
  <c r="BX5" i="6" s="1"/>
  <c r="BX42" i="5"/>
  <c r="BT15" i="14"/>
  <c r="BX13" i="6"/>
  <c r="BW7" i="6"/>
  <c r="BV6" i="6"/>
  <c r="BW14" i="5"/>
  <c r="BW12" i="5" s="1"/>
  <c r="BV7" i="14"/>
  <c r="BV5" i="14" s="1"/>
  <c r="BV108" i="11" s="1"/>
  <c r="BZ32" i="5"/>
  <c r="BY46" i="5"/>
  <c r="BX13" i="5"/>
  <c r="BY16" i="7"/>
  <c r="BY8" i="6"/>
  <c r="BZ52" i="5"/>
  <c r="CA53" i="5"/>
  <c r="BZ35" i="5"/>
  <c r="CA36" i="5"/>
  <c r="BY51" i="5"/>
  <c r="BY19" i="5" s="1"/>
  <c r="BU13" i="14"/>
  <c r="BU112" i="11"/>
  <c r="BX9" i="6"/>
  <c r="BX31" i="7"/>
  <c r="BG6" i="16"/>
  <c r="BG7" i="16" s="1"/>
  <c r="I11" i="3"/>
  <c r="I10" i="3" s="1"/>
  <c r="I12" i="3" s="1"/>
  <c r="I14" i="3" s="1"/>
  <c r="BZ43" i="5"/>
  <c r="CA22" i="5"/>
  <c r="BZ10" i="18"/>
  <c r="BX12" i="6"/>
  <c r="BY76" i="7"/>
  <c r="BZ33" i="5"/>
  <c r="BY47" i="5"/>
  <c r="BY11" i="18"/>
  <c r="BY9" i="18" s="1"/>
  <c r="BZ23" i="5"/>
  <c r="BZ21" i="5" s="1"/>
  <c r="BY44" i="5"/>
  <c r="CA29" i="5"/>
  <c r="BZ28" i="5"/>
  <c r="BW7" i="14"/>
  <c r="BW5" i="14" s="1"/>
  <c r="BW108" i="11" s="1"/>
  <c r="BX7" i="6"/>
  <c r="BW6" i="6"/>
  <c r="BX14" i="5"/>
  <c r="CA60" i="5"/>
  <c r="BZ59" i="5"/>
  <c r="CA67" i="5"/>
  <c r="BZ66" i="5"/>
  <c r="BG14" i="10"/>
  <c r="BG15" i="10" s="1"/>
  <c r="BF16" i="10"/>
  <c r="BX61" i="7"/>
  <c r="BX11" i="6"/>
  <c r="BW14" i="14" l="1"/>
  <c r="BW112" i="11" s="1"/>
  <c r="BX12" i="14"/>
  <c r="BX8" i="14" s="1"/>
  <c r="BX110" i="11" s="1"/>
  <c r="BX12" i="5"/>
  <c r="BZ20" i="5"/>
  <c r="BH14" i="10"/>
  <c r="BH15" i="10" s="1"/>
  <c r="BG16" i="10"/>
  <c r="BY13" i="5"/>
  <c r="BY12" i="14"/>
  <c r="BY8" i="14" s="1"/>
  <c r="BY110" i="11" s="1"/>
  <c r="BY13" i="6"/>
  <c r="BX14" i="14"/>
  <c r="BX112" i="11" s="1"/>
  <c r="BV13" i="14"/>
  <c r="BV114" i="11" s="1"/>
  <c r="CA10" i="18"/>
  <c r="CA43" i="5"/>
  <c r="CB22" i="5"/>
  <c r="CA35" i="5"/>
  <c r="CB36" i="5"/>
  <c r="BY61" i="7"/>
  <c r="BY11" i="6"/>
  <c r="CB29" i="5"/>
  <c r="CA28" i="5"/>
  <c r="BZ8" i="6"/>
  <c r="BZ16" i="7"/>
  <c r="CA32" i="5"/>
  <c r="BZ46" i="5"/>
  <c r="BY31" i="7"/>
  <c r="BY9" i="6"/>
  <c r="H16" i="2"/>
  <c r="I17" i="3"/>
  <c r="I20" i="3" s="1"/>
  <c r="CB53" i="5"/>
  <c r="CA52" i="5"/>
  <c r="BZ51" i="5"/>
  <c r="BZ19" i="5" s="1"/>
  <c r="BZ11" i="18"/>
  <c r="BZ9" i="18" s="1"/>
  <c r="CA23" i="5"/>
  <c r="CA21" i="5" s="1"/>
  <c r="BZ44" i="5"/>
  <c r="BZ76" i="7"/>
  <c r="BY12" i="6"/>
  <c r="CB60" i="5"/>
  <c r="CA59" i="5"/>
  <c r="BZ47" i="5"/>
  <c r="CA33" i="5"/>
  <c r="BY9" i="5"/>
  <c r="BY8" i="5" s="1"/>
  <c r="BY5" i="6" s="1"/>
  <c r="CB67" i="5"/>
  <c r="CA66" i="5"/>
  <c r="BU114" i="11"/>
  <c r="BU15" i="14"/>
  <c r="BY42" i="5"/>
  <c r="BW13" i="14"/>
  <c r="BZ9" i="5" l="1"/>
  <c r="BZ8" i="5" s="1"/>
  <c r="BZ5" i="6" s="1"/>
  <c r="CA20" i="5"/>
  <c r="BZ42" i="5"/>
  <c r="BZ14" i="5" s="1"/>
  <c r="BZ12" i="14"/>
  <c r="BZ8" i="14" s="1"/>
  <c r="BZ110" i="11" s="1"/>
  <c r="BY14" i="14"/>
  <c r="BZ13" i="5"/>
  <c r="BZ13" i="6"/>
  <c r="BY7" i="14"/>
  <c r="BY5" i="14" s="1"/>
  <c r="BY108" i="11" s="1"/>
  <c r="BY6" i="6"/>
  <c r="BZ7" i="6"/>
  <c r="CA51" i="5"/>
  <c r="CB33" i="5"/>
  <c r="CA47" i="5"/>
  <c r="CB52" i="5"/>
  <c r="CC53" i="5"/>
  <c r="CC52" i="5" s="1"/>
  <c r="CA76" i="7"/>
  <c r="BZ12" i="6"/>
  <c r="I22" i="3"/>
  <c r="I25" i="3" s="1"/>
  <c r="J23" i="3"/>
  <c r="CB28" i="5"/>
  <c r="CC29" i="5"/>
  <c r="CC28" i="5" s="1"/>
  <c r="BW114" i="11"/>
  <c r="BW15" i="14"/>
  <c r="CB59" i="5"/>
  <c r="CC60" i="5"/>
  <c r="CC59" i="5" s="1"/>
  <c r="BY7" i="6"/>
  <c r="BY14" i="5"/>
  <c r="BY12" i="5" s="1"/>
  <c r="BX7" i="14"/>
  <c r="BX5" i="14" s="1"/>
  <c r="BX13" i="14" s="1"/>
  <c r="BX114" i="11" s="1"/>
  <c r="BX6" i="6"/>
  <c r="CC36" i="5"/>
  <c r="CC35" i="5" s="1"/>
  <c r="CB35" i="5"/>
  <c r="CB66" i="5"/>
  <c r="CC67" i="5"/>
  <c r="CC66" i="5" s="1"/>
  <c r="BZ11" i="6"/>
  <c r="BZ61" i="7"/>
  <c r="BZ31" i="7"/>
  <c r="BZ9" i="6"/>
  <c r="CA46" i="5"/>
  <c r="CB32" i="5"/>
  <c r="CB10" i="18"/>
  <c r="CC22" i="5"/>
  <c r="CB43" i="5"/>
  <c r="BV15" i="14"/>
  <c r="CA11" i="18"/>
  <c r="CA9" i="18" s="1"/>
  <c r="CB23" i="5"/>
  <c r="CB21" i="5" s="1"/>
  <c r="CA44" i="5"/>
  <c r="CA16" i="7"/>
  <c r="CA8" i="6"/>
  <c r="BH16" i="10"/>
  <c r="BI14" i="10"/>
  <c r="BI15" i="10" s="1"/>
  <c r="CA9" i="5" l="1"/>
  <c r="CA8" i="5" s="1"/>
  <c r="CA5" i="6" s="1"/>
  <c r="I35" i="17"/>
  <c r="CA19" i="5"/>
  <c r="CA42" i="5"/>
  <c r="CB20" i="5"/>
  <c r="CA12" i="14"/>
  <c r="CA8" i="14" s="1"/>
  <c r="CA110" i="11" s="1"/>
  <c r="CA13" i="5"/>
  <c r="BZ14" i="14"/>
  <c r="CA13" i="6"/>
  <c r="CB9" i="18"/>
  <c r="BI16" i="10"/>
  <c r="BJ14" i="10"/>
  <c r="BJ15" i="10" s="1"/>
  <c r="CC43" i="5"/>
  <c r="CC10" i="18"/>
  <c r="I34" i="17"/>
  <c r="CC32" i="5"/>
  <c r="CC46" i="5" s="1"/>
  <c r="CB46" i="5"/>
  <c r="CA11" i="6"/>
  <c r="CA61" i="7"/>
  <c r="BX108" i="11"/>
  <c r="BX15" i="14"/>
  <c r="CA9" i="6"/>
  <c r="CA31" i="7"/>
  <c r="BZ7" i="14"/>
  <c r="BZ5" i="14" s="1"/>
  <c r="BZ108" i="11" s="1"/>
  <c r="CA7" i="6"/>
  <c r="BZ6" i="6"/>
  <c r="CA14" i="5"/>
  <c r="CB11" i="18"/>
  <c r="CC23" i="5"/>
  <c r="CC21" i="5" s="1"/>
  <c r="CB44" i="5"/>
  <c r="CC51" i="5"/>
  <c r="CB51" i="5"/>
  <c r="CB19" i="5" s="1"/>
  <c r="BZ12" i="5"/>
  <c r="CB76" i="7"/>
  <c r="CA12" i="6"/>
  <c r="BY112" i="11"/>
  <c r="BY13" i="14"/>
  <c r="CB8" i="6"/>
  <c r="CB16" i="7"/>
  <c r="CB47" i="5"/>
  <c r="CC33" i="5"/>
  <c r="CC47" i="5" s="1"/>
  <c r="CC12" i="6" s="1"/>
  <c r="CB9" i="5" l="1"/>
  <c r="CB8" i="5" s="1"/>
  <c r="CB12" i="14"/>
  <c r="CB8" i="14" s="1"/>
  <c r="CA14" i="14"/>
  <c r="CA112" i="11" s="1"/>
  <c r="CB13" i="6"/>
  <c r="CB13" i="5"/>
  <c r="CB5" i="6"/>
  <c r="I33" i="17"/>
  <c r="CC20" i="5"/>
  <c r="CC19" i="5" s="1"/>
  <c r="CC9" i="18"/>
  <c r="CC76" i="7"/>
  <c r="CB12" i="6"/>
  <c r="CC11" i="18"/>
  <c r="CC44" i="5"/>
  <c r="CC42" i="5" s="1"/>
  <c r="CC16" i="7"/>
  <c r="CC8" i="6"/>
  <c r="CC9" i="5"/>
  <c r="CC8" i="5" s="1"/>
  <c r="CC5" i="6" s="1"/>
  <c r="CB31" i="7"/>
  <c r="CB9" i="6"/>
  <c r="CB11" i="6"/>
  <c r="CB61" i="7"/>
  <c r="BZ13" i="14"/>
  <c r="BZ112" i="11"/>
  <c r="BJ16" i="10"/>
  <c r="BK14" i="10"/>
  <c r="BK15" i="10" s="1"/>
  <c r="CB42" i="5"/>
  <c r="CC61" i="7"/>
  <c r="CC11" i="6"/>
  <c r="CA12" i="5"/>
  <c r="BY114" i="11"/>
  <c r="BY15" i="14"/>
  <c r="CB110" i="11"/>
  <c r="H23" i="14"/>
  <c r="I32" i="17" l="1"/>
  <c r="CB14" i="14"/>
  <c r="CC13" i="6"/>
  <c r="CC13" i="5"/>
  <c r="I13" i="2"/>
  <c r="I12" i="2" s="1"/>
  <c r="BK16" i="10"/>
  <c r="BL14" i="10"/>
  <c r="BL15" i="10" s="1"/>
  <c r="CB7" i="14"/>
  <c r="CB5" i="14" s="1"/>
  <c r="CC14" i="5"/>
  <c r="CC7" i="6"/>
  <c r="CB6" i="6"/>
  <c r="CC6" i="6" s="1"/>
  <c r="CC31" i="7"/>
  <c r="CC9" i="6"/>
  <c r="I11" i="2"/>
  <c r="J7" i="3"/>
  <c r="CA7" i="14"/>
  <c r="CA5" i="14" s="1"/>
  <c r="CB7" i="6"/>
  <c r="CA6" i="6"/>
  <c r="CB14" i="5"/>
  <c r="CB12" i="5" s="1"/>
  <c r="BZ114" i="11"/>
  <c r="BZ15" i="14"/>
  <c r="CC12" i="5" l="1"/>
  <c r="H22" i="14"/>
  <c r="CB108" i="11"/>
  <c r="BL16" i="10"/>
  <c r="BM14" i="10"/>
  <c r="BM15" i="10" s="1"/>
  <c r="J8" i="3"/>
  <c r="CB13" i="14"/>
  <c r="CB112" i="11"/>
  <c r="H25" i="14"/>
  <c r="CA108" i="11"/>
  <c r="CA13" i="14"/>
  <c r="I36" i="17"/>
  <c r="I38" i="17"/>
  <c r="I37" i="17"/>
  <c r="H24" i="14" l="1"/>
  <c r="H26" i="14" s="1"/>
  <c r="CA114" i="11"/>
  <c r="BM16" i="10"/>
  <c r="BN14" i="10"/>
  <c r="BN15" i="10" s="1"/>
  <c r="CB15" i="14"/>
  <c r="CB114" i="11"/>
  <c r="I10" i="17"/>
  <c r="I24" i="17"/>
  <c r="I11" i="17"/>
  <c r="I12" i="17" s="1"/>
  <c r="I81" i="17"/>
  <c r="H20" i="4" s="1"/>
  <c r="I25" i="17"/>
  <c r="I9" i="17"/>
  <c r="I23" i="17"/>
  <c r="CA15" i="14"/>
  <c r="BT8" i="18" l="1"/>
  <c r="BS4" i="18"/>
  <c r="BT4" i="18"/>
  <c r="BZ6" i="18"/>
  <c r="CB7" i="18"/>
  <c r="BZ5" i="18"/>
  <c r="BV4" i="18"/>
  <c r="CA4" i="18"/>
  <c r="BW8" i="18"/>
  <c r="BV4" i="5"/>
  <c r="BT7" i="18"/>
  <c r="BS5" i="18"/>
  <c r="BU5" i="18"/>
  <c r="BX5" i="18"/>
  <c r="BT6" i="18"/>
  <c r="BT4" i="5"/>
  <c r="CB6" i="18"/>
  <c r="CA5" i="18"/>
  <c r="BW6" i="18"/>
  <c r="BW4" i="5"/>
  <c r="BZ4" i="5"/>
  <c r="BU4" i="18"/>
  <c r="BY4" i="18"/>
  <c r="BY6" i="18"/>
  <c r="CC7" i="18"/>
  <c r="BW5" i="18"/>
  <c r="BV7" i="18"/>
  <c r="CC8" i="18"/>
  <c r="BV6" i="18"/>
  <c r="BW4" i="18"/>
  <c r="CC4" i="18"/>
  <c r="BX7" i="18"/>
  <c r="BU6" i="18"/>
  <c r="BY8" i="18"/>
  <c r="BY5" i="18"/>
  <c r="BR4" i="5"/>
  <c r="BT5" i="18"/>
  <c r="BS8" i="18"/>
  <c r="BV5" i="18"/>
  <c r="BX4" i="18"/>
  <c r="BY4" i="5"/>
  <c r="CC4" i="5"/>
  <c r="CB8" i="18"/>
  <c r="CB4" i="5"/>
  <c r="H21" i="4"/>
  <c r="H22" i="4" s="1"/>
  <c r="H23" i="4" s="1"/>
  <c r="H24" i="4" s="1"/>
  <c r="H25" i="4" s="1"/>
  <c r="BU8" i="18"/>
  <c r="CA6" i="18"/>
  <c r="CA4" i="5"/>
  <c r="BR7" i="18"/>
  <c r="BU7" i="18"/>
  <c r="BW7" i="18"/>
  <c r="CA7" i="18"/>
  <c r="CB4" i="18"/>
  <c r="BR6" i="18"/>
  <c r="BR4" i="18"/>
  <c r="BX6" i="18"/>
  <c r="BY7" i="18"/>
  <c r="CC6" i="18"/>
  <c r="CB5" i="18"/>
  <c r="BR8" i="18"/>
  <c r="BZ8" i="18"/>
  <c r="CA8" i="18"/>
  <c r="BS7" i="18"/>
  <c r="BS4" i="5"/>
  <c r="CC5" i="18"/>
  <c r="BZ7" i="18"/>
  <c r="BX4" i="5"/>
  <c r="BR5" i="18"/>
  <c r="BS6" i="18"/>
  <c r="BV8" i="18"/>
  <c r="BX8" i="18"/>
  <c r="BU4" i="5"/>
  <c r="BZ4" i="18"/>
  <c r="BN16" i="10"/>
  <c r="BO14" i="10"/>
  <c r="BO15" i="10" s="1"/>
  <c r="I26" i="17"/>
  <c r="CC3" i="18" l="1"/>
  <c r="BS5" i="16"/>
  <c r="BR3" i="18"/>
  <c r="CB4" i="6"/>
  <c r="CB3" i="5"/>
  <c r="CC5" i="10"/>
  <c r="BU3" i="18"/>
  <c r="BV5" i="16"/>
  <c r="BZ3" i="5"/>
  <c r="CA5" i="10"/>
  <c r="BZ4" i="6"/>
  <c r="BV4" i="6"/>
  <c r="BW5" i="10"/>
  <c r="BV3" i="5"/>
  <c r="BX5" i="10"/>
  <c r="BW4" i="6"/>
  <c r="BW3" i="5"/>
  <c r="BY4" i="6"/>
  <c r="BY3" i="5"/>
  <c r="BZ5" i="10"/>
  <c r="BX5" i="16"/>
  <c r="BW3" i="18"/>
  <c r="CB5" i="16"/>
  <c r="CA3" i="18"/>
  <c r="BW5" i="16"/>
  <c r="BV3" i="18"/>
  <c r="BU4" i="6"/>
  <c r="BU3" i="5"/>
  <c r="BV5" i="10"/>
  <c r="BT5" i="10"/>
  <c r="BS4" i="6"/>
  <c r="BS3" i="5"/>
  <c r="BZ3" i="18"/>
  <c r="CA5" i="16"/>
  <c r="BX3" i="18"/>
  <c r="BY5" i="16"/>
  <c r="CA4" i="6"/>
  <c r="CA3" i="5"/>
  <c r="CB5" i="10"/>
  <c r="BP14" i="10"/>
  <c r="BP15" i="10" s="1"/>
  <c r="BO16" i="10"/>
  <c r="CB3" i="18"/>
  <c r="CC5" i="16"/>
  <c r="K6" i="3"/>
  <c r="BS5" i="10"/>
  <c r="BR3" i="5"/>
  <c r="BR4" i="6"/>
  <c r="I10" i="2"/>
  <c r="I9" i="2" s="1"/>
  <c r="J6" i="3"/>
  <c r="BT3" i="18"/>
  <c r="BU5" i="16"/>
  <c r="CC4" i="6"/>
  <c r="CC3" i="6" s="1"/>
  <c r="CC3" i="5"/>
  <c r="BT4" i="6"/>
  <c r="BU5" i="10"/>
  <c r="BT3" i="5"/>
  <c r="BS3" i="18"/>
  <c r="BT5" i="16"/>
  <c r="BX3" i="5"/>
  <c r="BY5" i="10"/>
  <c r="BX4" i="6"/>
  <c r="BY3" i="18"/>
  <c r="BZ5" i="16"/>
  <c r="BW6" i="10" l="1"/>
  <c r="BW4" i="10" s="1"/>
  <c r="BV3" i="6"/>
  <c r="BW6" i="16" s="1"/>
  <c r="BW7" i="16" s="1"/>
  <c r="CA6" i="10"/>
  <c r="CA4" i="10" s="1"/>
  <c r="BZ3" i="6"/>
  <c r="CA6" i="16" s="1"/>
  <c r="CA7" i="16" s="1"/>
  <c r="BT3" i="6"/>
  <c r="BU6" i="16" s="1"/>
  <c r="BU7" i="16" s="1"/>
  <c r="BU6" i="10"/>
  <c r="BU4" i="10" s="1"/>
  <c r="BS3" i="6"/>
  <c r="BT6" i="16" s="1"/>
  <c r="BT7" i="16" s="1"/>
  <c r="BT6" i="10"/>
  <c r="BT4" i="10" s="1"/>
  <c r="BW3" i="6"/>
  <c r="BX6" i="16" s="1"/>
  <c r="BX7" i="16" s="1"/>
  <c r="BX6" i="10"/>
  <c r="BX4" i="10" s="1"/>
  <c r="CA3" i="6"/>
  <c r="CB6" i="16" s="1"/>
  <c r="CB7" i="16" s="1"/>
  <c r="CB6" i="10"/>
  <c r="CB4" i="10" s="1"/>
  <c r="CB3" i="6"/>
  <c r="CC6" i="16" s="1"/>
  <c r="CC7" i="16" s="1"/>
  <c r="CC6" i="10"/>
  <c r="CC4" i="10" s="1"/>
  <c r="BU3" i="6"/>
  <c r="BV6" i="16" s="1"/>
  <c r="BV7" i="16" s="1"/>
  <c r="BV6" i="10"/>
  <c r="BV4" i="10" s="1"/>
  <c r="BR3" i="6"/>
  <c r="BS6" i="10"/>
  <c r="BS4" i="10" s="1"/>
  <c r="BQ14" i="10"/>
  <c r="BQ15" i="10" s="1"/>
  <c r="BP16" i="10"/>
  <c r="BY3" i="6"/>
  <c r="BZ6" i="16" s="1"/>
  <c r="BZ7" i="16" s="1"/>
  <c r="BZ6" i="10"/>
  <c r="BZ4" i="10" s="1"/>
  <c r="BX3" i="6"/>
  <c r="BY6" i="16" s="1"/>
  <c r="BY7" i="16" s="1"/>
  <c r="BY6" i="10"/>
  <c r="BY4" i="10" s="1"/>
  <c r="K5" i="3"/>
  <c r="J5" i="3"/>
  <c r="BQ16" i="10" l="1"/>
  <c r="H17" i="2"/>
  <c r="BR14" i="10"/>
  <c r="BR15" i="10" s="1"/>
  <c r="K11" i="3"/>
  <c r="K10" i="3" s="1"/>
  <c r="K12" i="3" s="1"/>
  <c r="K14" i="3" s="1"/>
  <c r="BS6" i="16"/>
  <c r="BS7" i="16" s="1"/>
  <c r="J11" i="3"/>
  <c r="J10" i="3" s="1"/>
  <c r="J12" i="3" s="1"/>
  <c r="J14" i="3" s="1"/>
  <c r="I16" i="2" l="1"/>
  <c r="J17" i="3"/>
  <c r="J20" i="3" s="1"/>
  <c r="J22" i="3" s="1"/>
  <c r="J25" i="3" s="1"/>
  <c r="BR16" i="10"/>
  <c r="BS14" i="10"/>
  <c r="BS15" i="10" s="1"/>
  <c r="BT14" i="10" l="1"/>
  <c r="BT15" i="10" s="1"/>
  <c r="BS16" i="10"/>
  <c r="BU14" i="10" l="1"/>
  <c r="BU15" i="10" s="1"/>
  <c r="BT16" i="10"/>
  <c r="BV14" i="10" l="1"/>
  <c r="BV15" i="10" s="1"/>
  <c r="BU16" i="10"/>
  <c r="BW14" i="10" l="1"/>
  <c r="BW15" i="10" s="1"/>
  <c r="BV16" i="10"/>
  <c r="BW16" i="10" l="1"/>
  <c r="BX14" i="10"/>
  <c r="BX15" i="10" s="1"/>
  <c r="BX16" i="10" l="1"/>
  <c r="BY14" i="10"/>
  <c r="BY15" i="10" s="1"/>
  <c r="BY16" i="10" l="1"/>
  <c r="BZ14" i="10"/>
  <c r="BZ15" i="10" s="1"/>
  <c r="CA14" i="10" l="1"/>
  <c r="CA15" i="10" s="1"/>
  <c r="BZ16" i="10"/>
  <c r="CB14" i="10" l="1"/>
  <c r="CB15" i="10" s="1"/>
  <c r="CA16" i="10"/>
  <c r="CB16" i="10" l="1"/>
  <c r="CC14" i="10"/>
  <c r="CC15" i="10" s="1"/>
  <c r="C42" i="10" a="1"/>
  <c r="C42" i="10" s="1"/>
  <c r="C37" i="10" s="1"/>
  <c r="C38" i="10" s="1"/>
  <c r="C33" i="10" s="1"/>
  <c r="O9" i="3" s="1"/>
  <c r="C47" i="1" l="1"/>
  <c r="C32" i="10"/>
  <c r="CC16" i="10"/>
  <c r="I17" i="2"/>
  <c r="D32" i="10" l="1" a="1"/>
  <c r="D32" i="10" s="1"/>
  <c r="O10" i="3"/>
  <c r="C44" i="1" s="1"/>
  <c r="C45" i="1" l="1"/>
  <c r="P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2" authorId="0" shapeId="0" xr:uid="{00000000-0006-0000-0300-000002000000}">
      <text>
        <r>
          <rPr>
            <sz val="10"/>
            <color rgb="FF000000"/>
            <rFont val="Arial"/>
            <family val="2"/>
            <scheme val="minor"/>
          </rPr>
          <t>Croissance du marché se répartie entre plus d'installateurs et plus de projets/inst
	-Stéphane Donnet</t>
        </r>
      </text>
    </comment>
    <comment ref="I12" authorId="0" shapeId="0" xr:uid="{00000000-0006-0000-0300-000001000000}">
      <text>
        <r>
          <rPr>
            <sz val="10"/>
            <color rgb="FF000000"/>
            <rFont val="Arial"/>
            <family val="2"/>
            <scheme val="minor"/>
          </rPr>
          <t>A arbitrer, nb max de projets 300 ?
	-Stéphane Donnet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29" authorId="0" shapeId="0" xr:uid="{00000000-0006-0000-0600-000001000000}">
      <text>
        <r>
          <rPr>
            <sz val="10"/>
            <color rgb="FF000000"/>
            <rFont val="Arial"/>
            <family val="2"/>
            <scheme val="minor"/>
          </rPr>
          <t>A coder selon recrutement GM
	-Stéphane Donnet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H6" authorId="0" shapeId="0" xr:uid="{00000000-0006-0000-0800-000001000000}">
      <text>
        <r>
          <rPr>
            <sz val="10"/>
            <color rgb="FF000000"/>
            <rFont val="Arial"/>
            <family val="2"/>
            <scheme val="minor"/>
          </rPr>
          <t>70% des objectifs atteints
	-Stéphane Donnet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B00-000001000000}">
      <text>
        <r>
          <rPr>
            <sz val="10"/>
            <color rgb="FF000000"/>
            <rFont val="Arial"/>
            <family val="2"/>
            <scheme val="minor"/>
          </rPr>
          <t>Prospection aléatoire
	-Stéphane Donnet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1" authorId="0" shapeId="0" xr:uid="{00000000-0006-0000-0C00-000001000000}">
      <text>
        <r>
          <rPr>
            <sz val="10"/>
            <color rgb="FF000000"/>
            <rFont val="Arial"/>
            <family val="2"/>
            <scheme val="minor"/>
          </rPr>
          <t>Lignes pas reportées dans orga
	-Stéphane Donnet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<sst xmlns="http://schemas.openxmlformats.org/spreadsheetml/2006/main" count="1481" uniqueCount="594">
  <si>
    <t>Plan stratégique</t>
  </si>
  <si>
    <t>Résumé stratégie</t>
  </si>
  <si>
    <t>Le plan stratégique est articulé autour de 3 axes :
- la structuration et le renforcement de l'action commerciale et du marketing, avec un focus particulier sur Optiwize Leads
- l'amélioration du produit (amélioration continue, extension fonctionnelle métier pour les installateurs et les developpeurs, batiment neufs et pilotage en production)
- l'internationalisation vers l'Europe (adaption des produits aux spécificités nationales, filiales commerciales ES/CH/BE/DE)</t>
  </si>
  <si>
    <t>Milestones clés</t>
  </si>
  <si>
    <t xml:space="preserve">- Financement amélioration produit et développements spécifiques nationaux (500 k€)
- Série A en 2027 entre 2,5 et 3M€  permettant de lancer l'internationalisation et l'accélération commerciale en France
</t>
  </si>
  <si>
    <t>Scénario d'investissement</t>
  </si>
  <si>
    <t>Le scénario d'investissement privilégié est :
Phase 1 : investissement produit et commercial suite à l'obtention d'un financement de 500 k€ sous forme de prêt.
Phase 2 : Série A permettant de financer l'internationalisation et le renforcement commercial/marketing
En l'absence de série A, le développement commercial se concentrera sur la France autour de Leads et des nouveaux produits.</t>
  </si>
  <si>
    <t>Scénario financier</t>
  </si>
  <si>
    <t>Selon le scénario standard privilégié d'une série A en juin 2027, la société générerait 43 M€ de revenus récurrents en 2032 (EBITDA à 49%). Le scénario conservateur prévoir 23M€ d'ARR et 23% d'EBITDA. Un décalge d'un des investissements en CH/BE/DE sera nécessaire ou un financemnt complémentaire de 500 k€.
Dans le scénario standard alternatif d'une absence de série A, la société générerait 4,6 M€ de revenus en 2032 (EBITDA à 46%). Le scénario conservateur prévoir 2,4M€ d'ARR et 15% d'EBITDA avec un enjeu de trésorerie en S2 2027 en raison notamment du remboursement FTS. Un décalage des investissement R&amp;D et marketing et le gel des recrutements sur une période de 18 mois ou un refinancemement seront nécessaire</t>
  </si>
  <si>
    <t>Scénarisation</t>
  </si>
  <si>
    <t>Stratégie investissement</t>
  </si>
  <si>
    <t>Acquisition Optiwize Pro</t>
  </si>
  <si>
    <t>Standard</t>
  </si>
  <si>
    <t>Début WP 3 R&amp;D</t>
  </si>
  <si>
    <t>Modèle  Leads</t>
  </si>
  <si>
    <t>Simulation</t>
  </si>
  <si>
    <t>Début ES</t>
  </si>
  <si>
    <t>Adoption Leads</t>
  </si>
  <si>
    <t>Début CH</t>
  </si>
  <si>
    <t>Churn</t>
  </si>
  <si>
    <t>Début BE</t>
  </si>
  <si>
    <t>Montant levée</t>
  </si>
  <si>
    <t>Début DE</t>
  </si>
  <si>
    <t>Date levée</t>
  </si>
  <si>
    <t>Début phase 2 FR</t>
  </si>
  <si>
    <t>Point bas</t>
  </si>
  <si>
    <t>Date Point bas</t>
  </si>
  <si>
    <t>Date trésorerie négative</t>
  </si>
  <si>
    <t xml:space="preserve"> </t>
  </si>
  <si>
    <t xml:space="preserve">Vente Optiwize Pro </t>
  </si>
  <si>
    <t>Modèle Leads</t>
  </si>
  <si>
    <t>Scénario :</t>
  </si>
  <si>
    <t>ARR (EoY)</t>
  </si>
  <si>
    <t>ARR Optiwize Pro</t>
  </si>
  <si>
    <t>ARR Leads</t>
  </si>
  <si>
    <t># Clients (EoY)</t>
  </si>
  <si>
    <t># Clients Optiwize Pro (EoY)</t>
  </si>
  <si>
    <t>% Upsell Leads</t>
  </si>
  <si>
    <t>% Projets simulés</t>
  </si>
  <si>
    <t>EBITDA</t>
  </si>
  <si>
    <t>Trésorerie (EoY)</t>
  </si>
  <si>
    <t>Equipe (EoY)</t>
  </si>
  <si>
    <t>Scénarisation (Ne pas modifier ici)</t>
  </si>
  <si>
    <t>Stratégie investissement (Ne pas modifier ici)</t>
  </si>
  <si>
    <t>Année -1</t>
  </si>
  <si>
    <t>Année 0</t>
  </si>
  <si>
    <t>Année 1</t>
  </si>
  <si>
    <t>Année 2</t>
  </si>
  <si>
    <t>Année 3</t>
  </si>
  <si>
    <t>Année 4</t>
  </si>
  <si>
    <t>Année 5</t>
  </si>
  <si>
    <t>Année 6</t>
  </si>
  <si>
    <t>Année 7</t>
  </si>
  <si>
    <t>CA TOTAL</t>
  </si>
  <si>
    <t>Optiwize Pro - Abonnement</t>
  </si>
  <si>
    <t>Leads - Pay as you go</t>
  </si>
  <si>
    <t>Prestations de services (installations)</t>
  </si>
  <si>
    <t>Productions immobilisées &amp; stockées</t>
  </si>
  <si>
    <t>Low point</t>
  </si>
  <si>
    <t>MARGE BRUTE</t>
  </si>
  <si>
    <t>Couts variables, Sous-traitance</t>
  </si>
  <si>
    <t>VALEUR AJOUTEE</t>
  </si>
  <si>
    <t>Couts fixes</t>
  </si>
  <si>
    <t>EBE (EBITDA)</t>
  </si>
  <si>
    <t>Salaires</t>
  </si>
  <si>
    <t>Impots, taxes (CFE, ...)</t>
  </si>
  <si>
    <t>REX</t>
  </si>
  <si>
    <t>Amortissement</t>
  </si>
  <si>
    <t>Dépréciations, reprises comptable</t>
  </si>
  <si>
    <t>Resultat courant avant impots</t>
  </si>
  <si>
    <t>Résultat financier</t>
  </si>
  <si>
    <t>Résultat de l'exercice</t>
  </si>
  <si>
    <t xml:space="preserve">Impots (IS, CIR,...) </t>
  </si>
  <si>
    <t>Produits et charges exceptionnels</t>
  </si>
  <si>
    <t>CAF</t>
  </si>
  <si>
    <t>Hypothèses marché</t>
  </si>
  <si>
    <t>Croissance organique marché FR</t>
  </si>
  <si>
    <t>Croissance organique marché ES</t>
  </si>
  <si>
    <t>Croissance organique marché CH</t>
  </si>
  <si>
    <t>Croissance organique marché BE</t>
  </si>
  <si>
    <t>Croissance organique marché DE</t>
  </si>
  <si>
    <t>Hypothèses clients</t>
  </si>
  <si>
    <t>Nombre de projets/installateur</t>
  </si>
  <si>
    <t>FR</t>
  </si>
  <si>
    <t>ES</t>
  </si>
  <si>
    <t>CH</t>
  </si>
  <si>
    <t>BE</t>
  </si>
  <si>
    <t>DE</t>
  </si>
  <si>
    <t>Hypothèses commerciales</t>
  </si>
  <si>
    <t xml:space="preserve">Panier moyen mensuel Optiwize Pro </t>
  </si>
  <si>
    <t>Panier moyen mensuel Leads</t>
  </si>
  <si>
    <t>Prix moyen simu - modèle simu Leads</t>
  </si>
  <si>
    <t>Prix moyen projet - modèle succes Leads</t>
  </si>
  <si>
    <t>Success fees</t>
  </si>
  <si>
    <t>Conversion simu Leads en vente</t>
  </si>
  <si>
    <t># rdv/mois/commercial prospection directe (installateur)</t>
  </si>
  <si>
    <t># rdv max/mois/commerciaux</t>
  </si>
  <si>
    <t>Tx de conversion rdv/signature Optiwize</t>
  </si>
  <si>
    <t>Budget marketing Suite Optiwize et Corporate (frais externe)</t>
  </si>
  <si>
    <t>CPL (démo) Inbound marketing</t>
  </si>
  <si>
    <t>https://btob-leaders.com/inbound-marketing-outbound-marketing/</t>
  </si>
  <si>
    <t>Délai invest to lead marketing (mois)</t>
  </si>
  <si>
    <t>Budget annuel /ETP marketing</t>
  </si>
  <si>
    <t xml:space="preserve">Conversion optiwize installateur vers leads v1 </t>
  </si>
  <si>
    <t>Taux d'utilisation leads (en % de projets  annuel)</t>
  </si>
  <si>
    <t>Prix installation Optiwize</t>
  </si>
  <si>
    <t>Prix installation Leads</t>
  </si>
  <si>
    <t>Hypothèses satisfaction clients &amp; usages</t>
  </si>
  <si>
    <t>Churn annuel Optiwize Premium</t>
  </si>
  <si>
    <t>Churn annuel Optiwize Standard</t>
  </si>
  <si>
    <t>Churn annuel Optiwize Essentiel</t>
  </si>
  <si>
    <t>% leads v1/total projets</t>
  </si>
  <si>
    <t>% leads v2/total projets</t>
  </si>
  <si>
    <t>Tps support/client/mois existant (heures)</t>
  </si>
  <si>
    <t>Tps dev/client/mois (heures)</t>
  </si>
  <si>
    <t>Tps Onboarding Optiwize(heures)</t>
  </si>
  <si>
    <t>Tps Onboarding Leads v1 (heures) - Package marketing</t>
  </si>
  <si>
    <t>Hypothèses RH générales</t>
  </si>
  <si>
    <t>Temps de formation commerciaux (mois)</t>
  </si>
  <si>
    <t>Temps de formation support</t>
  </si>
  <si>
    <t>Turnover commerciaux</t>
  </si>
  <si>
    <t>Cout workspace par salarié</t>
  </si>
  <si>
    <t>Loyer mensuel/employé FR</t>
  </si>
  <si>
    <t>Loyer mensuel/employé ES</t>
  </si>
  <si>
    <t>Loyer mensuel/employé CH</t>
  </si>
  <si>
    <t>Abonnement IT moyen /employé/ mois</t>
  </si>
  <si>
    <t>Assurances par salarié</t>
  </si>
  <si>
    <t>REVENUS (HT)</t>
  </si>
  <si>
    <t>Abonnements - Optiwize Pro</t>
  </si>
  <si>
    <t>Installateurs</t>
  </si>
  <si>
    <t>Bureaux d'études</t>
  </si>
  <si>
    <t>Pay as you go - Leads</t>
  </si>
  <si>
    <t>Installateurs/developpeurs</t>
  </si>
  <si>
    <t>Prestation</t>
  </si>
  <si>
    <t>Installations Optiwize Pro</t>
  </si>
  <si>
    <t>Installations Leads</t>
  </si>
  <si>
    <t>MILESTONES</t>
  </si>
  <si>
    <t>Lancement Espagne</t>
  </si>
  <si>
    <t>Lancement Suisse</t>
  </si>
  <si>
    <t>Leads v2</t>
  </si>
  <si>
    <t># CLIENTS</t>
  </si>
  <si>
    <t>Optiwize Pro - Premium</t>
  </si>
  <si>
    <t>dt FR</t>
  </si>
  <si>
    <t>dt ES</t>
  </si>
  <si>
    <t>dt CH</t>
  </si>
  <si>
    <t>dt BE</t>
  </si>
  <si>
    <t>dt DE</t>
  </si>
  <si>
    <t>Optiwize Pro - Standard</t>
  </si>
  <si>
    <t>Optiwize Pro - Essentiel</t>
  </si>
  <si>
    <t>Upsell Leads v1</t>
  </si>
  <si>
    <t>Autre Upsell</t>
  </si>
  <si>
    <t>Bureau d'études</t>
  </si>
  <si>
    <t>Upsell</t>
  </si>
  <si>
    <t>Vendeurs EMS</t>
  </si>
  <si>
    <t>Accès module RMS</t>
  </si>
  <si>
    <t>#Accord groupes/ Partenariat ?</t>
  </si>
  <si>
    <t># OPPORTUNITES (nb de 1er rdv)</t>
  </si>
  <si>
    <t>Distributeurs/fabricants</t>
  </si>
  <si>
    <t>IT</t>
  </si>
  <si>
    <t>Plan de recrutement commerciaux</t>
  </si>
  <si>
    <t xml:space="preserve">Source Hubspot : </t>
  </si>
  <si>
    <t>151 clients sur 214 devis sur 336 essais sur 637 démos 794 contacts connectés sur 2144 tentatives de contact</t>
  </si>
  <si>
    <t>Couts variables</t>
  </si>
  <si>
    <t>EU</t>
  </si>
  <si>
    <t xml:space="preserve">Server - cloud Optiwize </t>
  </si>
  <si>
    <t>Server - cloud Leads</t>
  </si>
  <si>
    <t>Onboarding Leads</t>
  </si>
  <si>
    <t>Inbound recurrent Leads</t>
  </si>
  <si>
    <t>Parrainages FR</t>
  </si>
  <si>
    <t>Parrainages ES</t>
  </si>
  <si>
    <t>Parrainages CH</t>
  </si>
  <si>
    <t>Parrainages BE</t>
  </si>
  <si>
    <t>Parrainages DE</t>
  </si>
  <si>
    <t>Maintenance - presta externe</t>
  </si>
  <si>
    <t>Coût cloud Optiwize (%CA)</t>
  </si>
  <si>
    <t>Coût cloud Leads (%CA)</t>
  </si>
  <si>
    <t>UX boostée à l'IA-Usage cloud plus élevé</t>
  </si>
  <si>
    <t>Package Onboarding (SEO/UX)</t>
  </si>
  <si>
    <t>1 journée expert SEO/UX</t>
  </si>
  <si>
    <t>Inbound mensuel leads/client</t>
  </si>
  <si>
    <t>Marketing spécifique leads</t>
  </si>
  <si>
    <t>Cout externe maintenance/client</t>
  </si>
  <si>
    <t>Parrainages</t>
  </si>
  <si>
    <t>Cout Linkup</t>
  </si>
  <si>
    <t>OPEX (HT)</t>
  </si>
  <si>
    <t>Loyer</t>
  </si>
  <si>
    <t>Comptabilité (Paie...)</t>
  </si>
  <si>
    <t>Avocats</t>
  </si>
  <si>
    <t>Abonnements IT</t>
  </si>
  <si>
    <t>Assurances</t>
  </si>
  <si>
    <t>Autres (Mobilier, banque ...)</t>
  </si>
  <si>
    <t>Marketing (Marcom, SEO, Salons ...)</t>
  </si>
  <si>
    <t>Relation client ( cadeaux, promo, déplacements ...)</t>
  </si>
  <si>
    <t>Vie entreprise (charges diverses)</t>
  </si>
  <si>
    <t>Cout exceptionnel hors CAPEX (Chasseur de têtes, Etude de marché ...)</t>
  </si>
  <si>
    <t>Impots et taxes</t>
  </si>
  <si>
    <t>Presta CIR</t>
  </si>
  <si>
    <t>Système de parrainage</t>
  </si>
  <si>
    <t>Relation client (Déplacements, location véhicule, ...)</t>
  </si>
  <si>
    <t>Vie entreprise</t>
  </si>
  <si>
    <t>Cout exceptionnel hors CAPEX</t>
  </si>
  <si>
    <t>Délai invest to lead marketing</t>
  </si>
  <si>
    <t>mois</t>
  </si>
  <si>
    <t>Cout acquisition leads</t>
  </si>
  <si>
    <t>Cout parrainage selon projet</t>
  </si>
  <si>
    <t>CAPEX (HT)</t>
  </si>
  <si>
    <t>Poste de travail salariés</t>
  </si>
  <si>
    <t>Serveurs (Gurobi,..)</t>
  </si>
  <si>
    <t>Maintenance Serveurs (A replacer en Cout fixes )</t>
  </si>
  <si>
    <t>Campagne marketing corporate (</t>
  </si>
  <si>
    <t>Couts RH</t>
  </si>
  <si>
    <t>Masse salariale totale</t>
  </si>
  <si>
    <t>Masse salariale fixe</t>
  </si>
  <si>
    <t>Prime &amp; variable</t>
  </si>
  <si>
    <t>Cout Turnover commerciaux</t>
  </si>
  <si>
    <t xml:space="preserve">Masse salariale brute hors CP Vente </t>
  </si>
  <si>
    <t>Masse salariale brute hors CP Support</t>
  </si>
  <si>
    <t>Masse salariale brute hors CP R&amp;D</t>
  </si>
  <si>
    <t>Masse salariale brute hors CP G&amp;A</t>
  </si>
  <si>
    <t>Flux des opérations</t>
  </si>
  <si>
    <t>Entrée</t>
  </si>
  <si>
    <t>Sortie</t>
  </si>
  <si>
    <t>Flux des investissements</t>
  </si>
  <si>
    <t>Flux financier</t>
  </si>
  <si>
    <t>Trésorerie</t>
  </si>
  <si>
    <t>Début de mois</t>
  </si>
  <si>
    <t>Fin de mois</t>
  </si>
  <si>
    <t>Abs(fin de mois)</t>
  </si>
  <si>
    <t>BFR</t>
  </si>
  <si>
    <t>ACCOUNTS receivables &amp; inventories</t>
  </si>
  <si>
    <t>Jours</t>
  </si>
  <si>
    <t>Mois</t>
  </si>
  <si>
    <t>Délai de paiement Optiwize SaaS</t>
  </si>
  <si>
    <t>Délai de paiement Leads Pay as you go</t>
  </si>
  <si>
    <t>Délai de paiement prestation</t>
  </si>
  <si>
    <t>ACCOUNTS payables</t>
  </si>
  <si>
    <t>Cloud</t>
  </si>
  <si>
    <t>3rd parties Leads (Onboarding &amp; recurrent marketing)</t>
  </si>
  <si>
    <t>Autres (CAPEX, OPEX)</t>
  </si>
  <si>
    <t>Runaway</t>
  </si>
  <si>
    <t>Si NA, horizon au delà de 2032</t>
  </si>
  <si>
    <t>Service</t>
  </si>
  <si>
    <t>Region</t>
  </si>
  <si>
    <t>Role</t>
  </si>
  <si>
    <t>Nom</t>
  </si>
  <si>
    <t>Prénom</t>
  </si>
  <si>
    <t>Date début contrat</t>
  </si>
  <si>
    <t>Date fin contrat</t>
  </si>
  <si>
    <t>Catégorie</t>
  </si>
  <si>
    <t>temps contrat %</t>
  </si>
  <si>
    <t>Salaire annuel brut 2025 (Fixe)</t>
  </si>
  <si>
    <t>Salaire annuel brut 2026</t>
  </si>
  <si>
    <t>Salaire annuel brut2027</t>
  </si>
  <si>
    <t>Salaire annuel brut2028</t>
  </si>
  <si>
    <t>Salaire annuel brut2029</t>
  </si>
  <si>
    <t>Salaire annuel brut2030</t>
  </si>
  <si>
    <t>Variable (%)</t>
  </si>
  <si>
    <t>Cout global RH</t>
  </si>
  <si>
    <t xml:space="preserve">Cout période projet </t>
  </si>
  <si>
    <t>Date début</t>
  </si>
  <si>
    <t>Date de fin</t>
  </si>
  <si>
    <t>Marketing</t>
  </si>
  <si>
    <t>Resp marketing</t>
  </si>
  <si>
    <t>Emma</t>
  </si>
  <si>
    <t>Alt marketing</t>
  </si>
  <si>
    <t>Wendy</t>
  </si>
  <si>
    <t>Alternant</t>
  </si>
  <si>
    <t>R&amp;D</t>
  </si>
  <si>
    <t>Ingé optim</t>
  </si>
  <si>
    <t>Etienne</t>
  </si>
  <si>
    <t>Sales</t>
  </si>
  <si>
    <t>CEO</t>
  </si>
  <si>
    <t>Kharrat</t>
  </si>
  <si>
    <t>Chady</t>
  </si>
  <si>
    <t>Ingé SI</t>
  </si>
  <si>
    <t>Enzo</t>
  </si>
  <si>
    <t>Support</t>
  </si>
  <si>
    <t>Ingé Support</t>
  </si>
  <si>
    <t>Arwa</t>
  </si>
  <si>
    <t>G&amp;A</t>
  </si>
  <si>
    <t>Manager/Commercial FR</t>
  </si>
  <si>
    <t>Yannis</t>
  </si>
  <si>
    <t>Resp informatique</t>
  </si>
  <si>
    <t>Felix</t>
  </si>
  <si>
    <t>Developpeur Web</t>
  </si>
  <si>
    <t>Alexis</t>
  </si>
  <si>
    <t>Resp produit</t>
  </si>
  <si>
    <t>Sara</t>
  </si>
  <si>
    <t>Assistant commercial</t>
  </si>
  <si>
    <t>Julio</t>
  </si>
  <si>
    <t xml:space="preserve">Killian </t>
  </si>
  <si>
    <t>Assistante de direction</t>
  </si>
  <si>
    <t>Judith</t>
  </si>
  <si>
    <t>Ruddy</t>
  </si>
  <si>
    <t>Commercial FR</t>
  </si>
  <si>
    <t>Ingé R&amp;D</t>
  </si>
  <si>
    <t>Ingé R&amp;D senior</t>
  </si>
  <si>
    <t>Ingé R&amp;D - Opt ES</t>
  </si>
  <si>
    <t>CCO FR</t>
  </si>
  <si>
    <t>COO</t>
  </si>
  <si>
    <t>GM ES</t>
  </si>
  <si>
    <t xml:space="preserve">Ingé R&amp;D </t>
  </si>
  <si>
    <t>Marketing junior</t>
  </si>
  <si>
    <t>Ingé support DE</t>
  </si>
  <si>
    <t>CTO</t>
  </si>
  <si>
    <t>Ingé R&amp;D - Opt CH</t>
  </si>
  <si>
    <t>Ingé R&amp;D -Opt CH</t>
  </si>
  <si>
    <t>Assistante RH</t>
  </si>
  <si>
    <t>RRH</t>
  </si>
  <si>
    <t>Commercial ES</t>
  </si>
  <si>
    <t>Growth Hacker</t>
  </si>
  <si>
    <t xml:space="preserve">Developpeur </t>
  </si>
  <si>
    <t>Support FR</t>
  </si>
  <si>
    <t>GM CH</t>
  </si>
  <si>
    <t>Developpeurs Optiwize BE/DE</t>
  </si>
  <si>
    <t>Support ES</t>
  </si>
  <si>
    <t>Administration ventes/Assistante Dir ES</t>
  </si>
  <si>
    <t>Commercial CH</t>
  </si>
  <si>
    <t>DSI Europe</t>
  </si>
  <si>
    <t>Directeur Support</t>
  </si>
  <si>
    <t>Administration ventes/Assistante Dir CH</t>
  </si>
  <si>
    <t>Support BE</t>
  </si>
  <si>
    <t>GM BE</t>
  </si>
  <si>
    <t>G&amp;A divers</t>
  </si>
  <si>
    <t>Commercial/marketing BE</t>
  </si>
  <si>
    <t>Commercial</t>
  </si>
  <si>
    <t>Ingé Support BE</t>
  </si>
  <si>
    <t>GM DE</t>
  </si>
  <si>
    <t>Marketing corporate</t>
  </si>
  <si>
    <t>Commercial/marketing</t>
  </si>
  <si>
    <t>Support DE</t>
  </si>
  <si>
    <t>SALAIRES BRUT</t>
  </si>
  <si>
    <t>CHARGES PATRONALE</t>
  </si>
  <si>
    <t>COUT LIKEWATT</t>
  </si>
  <si>
    <t xml:space="preserve"># EMPLOYES </t>
  </si>
  <si>
    <t>TAUX CHARGES PATRONALES</t>
  </si>
  <si>
    <t>Statut JEI</t>
  </si>
  <si>
    <t>FIT plan de recrutement/ besoin</t>
  </si>
  <si>
    <t>Sales/mark rec plan</t>
  </si>
  <si>
    <t>Sales/mark op need</t>
  </si>
  <si>
    <t>R&amp;D rec plan</t>
  </si>
  <si>
    <t>R&amp;D op need</t>
  </si>
  <si>
    <t>Support rec plan</t>
  </si>
  <si>
    <t>Support op need</t>
  </si>
  <si>
    <t>G&amp;A rec plan</t>
  </si>
  <si>
    <t>G&amp;A op need</t>
  </si>
  <si>
    <t>PROSPECTION SEGMENTS</t>
  </si>
  <si>
    <t>Ciblage prospection FR</t>
  </si>
  <si>
    <t>Premium</t>
  </si>
  <si>
    <t>Essentiel</t>
  </si>
  <si>
    <t>Ciblage prospection ES</t>
  </si>
  <si>
    <t>Ciblage prospection CH</t>
  </si>
  <si>
    <t>Ciblage prospection BE</t>
  </si>
  <si>
    <t>Ciblage prospection DE</t>
  </si>
  <si>
    <t>Annexe C : Plan</t>
  </si>
  <si>
    <t>Axe 1 : Optiwize</t>
  </si>
  <si>
    <t>WP</t>
  </si>
  <si>
    <t>Livrables</t>
  </si>
  <si>
    <t xml:space="preserve">Opt 1 : Dette technique et améliorations continue Optiwize </t>
  </si>
  <si>
    <t>Livrables OW FR</t>
  </si>
  <si>
    <t>Opt 2 : Optiwise ES</t>
  </si>
  <si>
    <t>Livrables OW SP</t>
  </si>
  <si>
    <t>Opt 3 : Optiwise CH</t>
  </si>
  <si>
    <t>Livrables OW CH</t>
  </si>
  <si>
    <t>Opt 4 : Optiwise BE</t>
  </si>
  <si>
    <t>Livrables OW BE</t>
  </si>
  <si>
    <t>Opt 5 : Optiwise DE</t>
  </si>
  <si>
    <t>Livrables OW DE</t>
  </si>
  <si>
    <t>RH 1</t>
  </si>
  <si>
    <t>RH 2</t>
  </si>
  <si>
    <t>RH 3</t>
  </si>
  <si>
    <t>RH 4</t>
  </si>
  <si>
    <t>Achat</t>
  </si>
  <si>
    <t>Budget Achat</t>
  </si>
  <si>
    <t>Date début tache</t>
  </si>
  <si>
    <t>Date fin tache</t>
  </si>
  <si>
    <t>FTE RH 1</t>
  </si>
  <si>
    <t>FTE RH 2</t>
  </si>
  <si>
    <t>FTE RH 3</t>
  </si>
  <si>
    <t>FTE RH 4</t>
  </si>
  <si>
    <t>UX</t>
  </si>
  <si>
    <t xml:space="preserve">Axe 2 : Leads </t>
  </si>
  <si>
    <t>LEA 1 : Dette technique et amélioration continue Leads v1</t>
  </si>
  <si>
    <t>LEA v1.x</t>
  </si>
  <si>
    <t>LEA 2</t>
  </si>
  <si>
    <t>LEA v2</t>
  </si>
  <si>
    <t>LEA 3</t>
  </si>
  <si>
    <t>LEA v4</t>
  </si>
  <si>
    <t>LEA 4</t>
  </si>
  <si>
    <t>LEA v5</t>
  </si>
  <si>
    <t>LEA 5</t>
  </si>
  <si>
    <t>LEA v6</t>
  </si>
  <si>
    <t>LEA 6</t>
  </si>
  <si>
    <t>LEA v7</t>
  </si>
  <si>
    <t>LEA 7</t>
  </si>
  <si>
    <t>LEA v8</t>
  </si>
  <si>
    <t>LEA 8</t>
  </si>
  <si>
    <t>LEA v9</t>
  </si>
  <si>
    <t>Axe 3 : R&amp;D</t>
  </si>
  <si>
    <t>Budget :</t>
  </si>
  <si>
    <t>WP1</t>
  </si>
  <si>
    <t>WP2</t>
  </si>
  <si>
    <t>R&amp;D1</t>
  </si>
  <si>
    <t>Workflow</t>
  </si>
  <si>
    <t>WP3</t>
  </si>
  <si>
    <t>R&amp;D2</t>
  </si>
  <si>
    <t>Multi batiment</t>
  </si>
  <si>
    <t>R&amp;D3</t>
  </si>
  <si>
    <t>Bati, pilotage</t>
  </si>
  <si>
    <t>Durée en jours</t>
  </si>
  <si>
    <t>Presta</t>
  </si>
  <si>
    <t>BESOIN OPERATIONNEL</t>
  </si>
  <si>
    <t>Commercial /marketing</t>
  </si>
  <si>
    <t>Besoin co incluant marketing</t>
  </si>
  <si>
    <t>Marketing corp + leads</t>
  </si>
  <si>
    <t>Tech (R&amp;D, produit)</t>
  </si>
  <si>
    <t>Optiwize (op)</t>
  </si>
  <si>
    <t>Leads v1 (op)</t>
  </si>
  <si>
    <t>WP RDI (op)</t>
  </si>
  <si>
    <t>Besoin pour Support tech</t>
  </si>
  <si>
    <t>G&amp;A (Admin, RH, Finance, ,...)</t>
  </si>
  <si>
    <t>Support (Customer success)</t>
  </si>
  <si>
    <t>TOTAL RH</t>
  </si>
  <si>
    <t>YEARLY NEED</t>
  </si>
  <si>
    <t>PLAN</t>
  </si>
  <si>
    <t>Sales &amp; marketing</t>
  </si>
  <si>
    <t>R&amp;D, produit</t>
  </si>
  <si>
    <t>TOTAL</t>
  </si>
  <si>
    <t>FLUX DE FINANCEMENT</t>
  </si>
  <si>
    <t>NON-DILUTIF</t>
  </si>
  <si>
    <t>Amorçage</t>
  </si>
  <si>
    <t>Prêts 1 - BPI</t>
  </si>
  <si>
    <t xml:space="preserve">Montant </t>
  </si>
  <si>
    <t xml:space="preserve">Remboursement Capital </t>
  </si>
  <si>
    <t>Intérets</t>
  </si>
  <si>
    <t>Prêts 2 - BPI</t>
  </si>
  <si>
    <t xml:space="preserve">Prêt 3 -BPI/RDI </t>
  </si>
  <si>
    <t>Date d'obtention du prêt</t>
  </si>
  <si>
    <t>Montant</t>
  </si>
  <si>
    <t>Remboursement Capital</t>
  </si>
  <si>
    <t>Différé (mois)</t>
  </si>
  <si>
    <t>Durée de remboursement</t>
  </si>
  <si>
    <t>Taux</t>
  </si>
  <si>
    <t>Crédit bail</t>
  </si>
  <si>
    <t>DILUTIF</t>
  </si>
  <si>
    <t>Apport en capital</t>
  </si>
  <si>
    <t>OC</t>
  </si>
  <si>
    <t>Remboursement OC FTS</t>
  </si>
  <si>
    <t>150 000 € en OC à 7%</t>
  </si>
  <si>
    <t>CIR</t>
  </si>
  <si>
    <t>Annexe E</t>
  </si>
  <si>
    <t>TVA collectée (à rembourser)</t>
  </si>
  <si>
    <t>TVA payée (à récupérer)</t>
  </si>
  <si>
    <t>SOLDE TVA</t>
  </si>
  <si>
    <t>Solde de TVA au 1er déc 2024</t>
  </si>
  <si>
    <t>TVA</t>
  </si>
  <si>
    <t>Délai remboursement TVA</t>
  </si>
  <si>
    <t>Délai versement TVA</t>
  </si>
  <si>
    <t>CHURN</t>
  </si>
  <si>
    <t xml:space="preserve">Evolution Churn Optiwize Pro annuel </t>
  </si>
  <si>
    <t>% Clients Premium</t>
  </si>
  <si>
    <t>% Clients Standard</t>
  </si>
  <si>
    <t>% Clients Essentiel</t>
  </si>
  <si>
    <t>Churn global</t>
  </si>
  <si>
    <t>Evolution Churn Optiwize Pro mensuel</t>
  </si>
  <si>
    <t>PORTEFEUILLE OPTIWIZE PRO</t>
  </si>
  <si>
    <t xml:space="preserve"># clients </t>
  </si>
  <si>
    <t>Premium (+ de 500 projets)</t>
  </si>
  <si>
    <t>Standard (100-500 projets)</t>
  </si>
  <si>
    <t>Calculette churn mensuel à annuel</t>
  </si>
  <si>
    <t>Churn annuel</t>
  </si>
  <si>
    <t>Optiwize Pro - Premium 2025</t>
  </si>
  <si>
    <t>Churn 2026 Premium</t>
  </si>
  <si>
    <t>Churn 2027 Premium</t>
  </si>
  <si>
    <t>Churn 2028 Premium</t>
  </si>
  <si>
    <t>Churn 2029 Premium</t>
  </si>
  <si>
    <t>Churn 2030 Premium</t>
  </si>
  <si>
    <t>Churn 2031 Premium</t>
  </si>
  <si>
    <t>Optiwize Pro - Standard 2025</t>
  </si>
  <si>
    <t>Churn 2026 Standard</t>
  </si>
  <si>
    <t>Churn 2027 Standard</t>
  </si>
  <si>
    <t>Churn 2028 Standard</t>
  </si>
  <si>
    <t>Churn 2029 Standard</t>
  </si>
  <si>
    <t>Churn 2030 Standard</t>
  </si>
  <si>
    <t>Churn 2031 Standard</t>
  </si>
  <si>
    <t>Optiwize Pro - Essentiel 2025</t>
  </si>
  <si>
    <t>Churn 2026 Essentiel</t>
  </si>
  <si>
    <t>Churn 2027 Essentiel</t>
  </si>
  <si>
    <t>Churn 2028 Essentiel</t>
  </si>
  <si>
    <t>Churn 2029 Essentiel</t>
  </si>
  <si>
    <t>Churn 2030 Essentiel</t>
  </si>
  <si>
    <t>Churn 2031 Essentiel</t>
  </si>
  <si>
    <t xml:space="preserve"> n</t>
  </si>
  <si>
    <t>PANIER MOYEN OPTIWIZE PRO</t>
  </si>
  <si>
    <t>%&gt;36</t>
  </si>
  <si>
    <t>%&lt;36</t>
  </si>
  <si>
    <t>&lt;36</t>
  </si>
  <si>
    <t>&gt;36</t>
  </si>
  <si>
    <t>Prix Essentiel (-100 projets)</t>
  </si>
  <si>
    <t>Prix Standard (100-500 projets)</t>
  </si>
  <si>
    <t>Prix Premium (+ de 500 projets)</t>
  </si>
  <si>
    <t>Panier moyen Optiwize</t>
  </si>
  <si>
    <t>Augmentation du prix vs 2025</t>
  </si>
  <si>
    <t>ORGANISATION</t>
  </si>
  <si>
    <t>Commerciaux (FTE)</t>
  </si>
  <si>
    <t>Support (BoY)</t>
  </si>
  <si>
    <t>G&amp;A (EoY)</t>
  </si>
  <si>
    <t>R&amp;D (EoY)</t>
  </si>
  <si>
    <t>Marketing (EoY)</t>
  </si>
  <si>
    <t>Commerciaux</t>
  </si>
  <si>
    <t>Sales hors FR</t>
  </si>
  <si>
    <t>SCENARIO FR</t>
  </si>
  <si>
    <t>Note :pas de scénarisation sur les investissements français</t>
  </si>
  <si>
    <t>Recrutement GM</t>
  </si>
  <si>
    <t>Début investissement marketing</t>
  </si>
  <si>
    <t>Investissements marketing annuel maximum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</si>
  <si>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</si>
  <si>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</si>
  <si>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</si>
  <si>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</si>
  <si>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</si>
  <si>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</si>
  <si>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</si>
  <si>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</si>
  <si>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</si>
  <si>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</si>
  <si>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</si>
  <si>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</si>
  <si>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</si>
  <si>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</si>
  <si>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</si>
  <si>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</si>
  <si>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</si>
  <si>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</si>
  <si>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</si>
  <si>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</si>
  <si>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</si>
  <si>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</si>
  <si>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</si>
  <si>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</si>
  <si>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</si>
  <si>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</si>
  <si>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</si>
  <si>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</si>
  <si>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</si>
  <si>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</si>
  <si>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</si>
  <si>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</si>
  <si>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</si>
  <si>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</si>
  <si>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</si>
  <si>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</si>
  <si>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</si>
  <si>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</si>
  <si>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</si>
  <si>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</si>
  <si>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</si>
  <si>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</si>
  <si>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</si>
  <si>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</si>
  <si>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</si>
  <si>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</si>
  <si>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</si>
  <si>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</si>
  <si>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</si>
  <si>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</si>
  <si>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</si>
  <si>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</si>
  <si>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</si>
  <si>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</si>
  <si>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</si>
  <si>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</si>
  <si>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</si>
  <si>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</si>
  <si>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</si>
  <si>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</si>
  <si>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</si>
  <si>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</si>
  <si>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</si>
  <si>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</si>
  <si>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</si>
  <si>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</si>
  <si>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</si>
  <si>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</si>
  <si>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</si>
  <si>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</si>
  <si>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</si>
  <si>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</si>
  <si>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</si>
  <si>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SCENARIO ES</t>
  </si>
  <si>
    <t>SCENARIO CH</t>
  </si>
  <si>
    <t xml:space="preserve">SCENARIO BE </t>
  </si>
  <si>
    <t>SCENARIO DE</t>
  </si>
  <si>
    <t>Lancement 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</si>
</sst>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 &quot;mmm&quot;-&quot;yyyy"/>
    <numFmt numFmtId="165" formatCode="#,##0\ [$€-1]"/>
    <numFmt numFmtId="166" formatCode="#,##0.00\ [$€-1]"/>
    <numFmt numFmtId="167" formatCode="0.0"/>
    <numFmt numFmtId="168" formatCode="#,##0&quot;€&quot;"/>
    <numFmt numFmtId="169" formatCode="mmmm\ yyyy"/>
    <numFmt numFmtId="170" formatCode="mmm\ yyyy"/>
    <numFmt numFmtId="171" formatCode="d/m/yyyy"/>
    <numFmt numFmtId="172" formatCode="0.0%"/>
  </numFmts>
  <fonts count="58">
    <font>
      <sz val="10"/>
      <color rgb="FF000000"/>
      <name val="Arial"/>
      <scheme val="minor"/>
    </font>
    <font>
      <b/>
      <sz val="16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4A86E8"/>
      <name val="Arial"/>
      <family val="2"/>
      <scheme val="minor"/>
    </font>
    <font>
      <sz val="8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sz val="11"/>
      <color rgb="FF4A86E8"/>
      <name val="Arial"/>
      <family val="2"/>
    </font>
    <font>
      <sz val="10"/>
      <color rgb="FF000000"/>
      <name val="Arial"/>
      <family val="2"/>
      <scheme val="minor"/>
    </font>
    <font>
      <sz val="11"/>
      <color rgb="FF4A86E8"/>
      <name val="&quot;aptos narrow&quot;"/>
    </font>
    <font>
      <i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434343"/>
      <name val="Arial"/>
      <family val="2"/>
      <scheme val="minor"/>
    </font>
    <font>
      <b/>
      <sz val="12"/>
      <color rgb="FF000000"/>
      <name val="Arial"/>
      <family val="2"/>
    </font>
    <font>
      <b/>
      <sz val="12"/>
      <color rgb="FF000000"/>
      <name val="&quot;aptos narrow&quot;"/>
    </font>
    <font>
      <b/>
      <sz val="12"/>
      <color theme="1"/>
      <name val="Arial"/>
      <family val="2"/>
      <scheme val="minor"/>
    </font>
    <font>
      <sz val="10"/>
      <color rgb="FFFF9900"/>
      <name val="Arial"/>
      <family val="2"/>
      <scheme val="minor"/>
    </font>
    <font>
      <b/>
      <i/>
      <sz val="11"/>
      <color rgb="FF000000"/>
      <name val="Arial"/>
      <family val="2"/>
    </font>
    <font>
      <b/>
      <i/>
      <sz val="11"/>
      <color rgb="FF000000"/>
      <name val="&quot;aptos narrow&quot;"/>
    </font>
    <font>
      <b/>
      <i/>
      <sz val="10"/>
      <color theme="1"/>
      <name val="Arial"/>
      <family val="2"/>
      <scheme val="minor"/>
    </font>
    <font>
      <i/>
      <sz val="11"/>
      <color rgb="FF000000"/>
      <name val="Arial"/>
      <family val="2"/>
    </font>
    <font>
      <i/>
      <sz val="11"/>
      <color rgb="FF000000"/>
      <name val="&quot;aptos narrow&quot;"/>
    </font>
    <font>
      <i/>
      <sz val="10"/>
      <color rgb="FF000000"/>
      <name val="Arial"/>
      <family val="2"/>
      <scheme val="minor"/>
    </font>
    <font>
      <i/>
      <sz val="10"/>
      <color rgb="FF4A86E8"/>
      <name val="Arial"/>
      <family val="2"/>
      <scheme val="minor"/>
    </font>
    <font>
      <sz val="11"/>
      <color rgb="FF999999"/>
      <name val="&quot;aptos narrow&quot;"/>
    </font>
    <font>
      <sz val="10"/>
      <color rgb="FF999999"/>
      <name val="Arial"/>
      <family val="2"/>
      <scheme val="minor"/>
    </font>
    <font>
      <sz val="11"/>
      <color rgb="FF0B5394"/>
      <name val="Arial"/>
      <family val="2"/>
    </font>
    <font>
      <sz val="11"/>
      <color rgb="FF1D1C1D"/>
      <name val="Slack-Lato"/>
    </font>
    <font>
      <sz val="11"/>
      <color theme="1"/>
      <name val="Calibri"/>
      <family val="2"/>
    </font>
    <font>
      <sz val="10"/>
      <color rgb="FFFFFFFF"/>
      <name val="Century Gothic"/>
      <family val="1"/>
    </font>
    <font>
      <sz val="10"/>
      <color theme="1"/>
      <name val="Century Gothic"/>
      <family val="1"/>
    </font>
    <font>
      <b/>
      <sz val="11"/>
      <color rgb="FF000000"/>
      <name val="&quot;Aptos narrow&quot;"/>
    </font>
    <font>
      <sz val="11"/>
      <color theme="1"/>
      <name val="Arial"/>
      <family val="2"/>
      <scheme val="minor"/>
    </font>
    <font>
      <sz val="1"/>
      <color rgb="FF333D42"/>
      <name val="Var(--font-mono)"/>
    </font>
    <font>
      <sz val="11"/>
      <color rgb="FF000000"/>
      <name val="Calibri"/>
      <family val="2"/>
    </font>
    <font>
      <sz val="11"/>
      <color rgb="FF000000"/>
      <name val="&quot;Aptos Narrow&quot;"/>
    </font>
    <font>
      <sz val="11"/>
      <color rgb="FF4A86E8"/>
      <name val="Calibri"/>
      <family val="2"/>
    </font>
    <font>
      <sz val="11"/>
      <color rgb="FF000000"/>
      <name val="&quot;Helvetica Neue&quot;"/>
    </font>
    <font>
      <b/>
      <sz val="14"/>
      <color rgb="FF000000"/>
      <name val="Arial"/>
      <family val="2"/>
    </font>
    <font>
      <sz val="11"/>
      <color rgb="FF434343"/>
      <name val="&quot;aptos narrow&quot;"/>
    </font>
    <font>
      <i/>
      <sz val="10"/>
      <color rgb="FF000000"/>
      <name val="Arial"/>
      <family val="2"/>
    </font>
    <font>
      <sz val="9"/>
      <color rgb="FF000000"/>
      <name val="Arial"/>
      <family val="2"/>
    </font>
    <font>
      <i/>
      <sz val="11"/>
      <color rgb="FF000000"/>
      <name val="&quot;Aptos narrow&quot;"/>
    </font>
    <font>
      <sz val="11"/>
      <color rgb="FF6D9EEB"/>
      <name val="&quot;Aptos narrow&quot;"/>
    </font>
    <font>
      <sz val="11"/>
      <color rgb="FF6D9EEB"/>
      <name val="Arial"/>
      <family val="2"/>
    </font>
    <font>
      <b/>
      <sz val="11"/>
      <color theme="1"/>
      <name val="Calibri"/>
      <family val="2"/>
    </font>
    <font>
      <b/>
      <sz val="10"/>
      <color rgb="FF4A86E8"/>
      <name val="Arial"/>
      <family val="2"/>
      <scheme val="minor"/>
    </font>
    <font>
      <sz val="10"/>
      <color theme="1"/>
      <name val="Arial"/>
      <family val="2"/>
    </font>
    <font>
      <sz val="10"/>
      <color rgb="FF4A86E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AEAEAE"/>
        <bgColor rgb="FFAEAEAE"/>
      </patternFill>
    </fill>
    <fill>
      <patternFill patternType="solid">
        <fgColor rgb="FFB7B7B7"/>
        <bgColor rgb="FFB7B7B7"/>
      </patternFill>
    </fill>
    <fill>
      <patternFill patternType="solid">
        <fgColor rgb="FFF8F8F8"/>
        <bgColor rgb="FFF8F8F8"/>
      </patternFill>
    </fill>
    <fill>
      <patternFill patternType="solid">
        <fgColor rgb="FF8ED873"/>
        <bgColor rgb="FF8ED873"/>
      </patternFill>
    </fill>
    <fill>
      <patternFill patternType="solid">
        <fgColor rgb="FFD0D0D0"/>
        <bgColor rgb="FFD0D0D0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rgb="FF002060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1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164" fontId="3" fillId="0" borderId="5" xfId="0" applyNumberFormat="1" applyFont="1" applyBorder="1" applyAlignment="1">
      <alignment horizontal="center"/>
    </xf>
    <xf numFmtId="0" fontId="3" fillId="0" borderId="5" xfId="0" applyFont="1" applyBorder="1"/>
    <xf numFmtId="165" fontId="9" fillId="0" borderId="4" xfId="0" applyNumberFormat="1" applyFont="1" applyBorder="1" applyAlignment="1">
      <alignment horizontal="center"/>
    </xf>
    <xf numFmtId="164" fontId="9" fillId="2" borderId="4" xfId="0" applyNumberFormat="1" applyFont="1" applyFill="1" applyBorder="1" applyAlignment="1">
      <alignment horizontal="center"/>
    </xf>
    <xf numFmtId="166" fontId="3" fillId="0" borderId="4" xfId="0" applyNumberFormat="1" applyFont="1" applyBorder="1" applyAlignment="1">
      <alignment horizontal="center"/>
    </xf>
    <xf numFmtId="0" fontId="3" fillId="0" borderId="6" xfId="0" applyFont="1" applyBorder="1"/>
    <xf numFmtId="164" fontId="3" fillId="0" borderId="7" xfId="0" applyNumberFormat="1" applyFont="1" applyBorder="1" applyAlignment="1">
      <alignment horizontal="center"/>
    </xf>
    <xf numFmtId="0" fontId="3" fillId="0" borderId="8" xfId="0" applyFont="1" applyBorder="1"/>
    <xf numFmtId="164" fontId="3" fillId="0" borderId="8" xfId="0" applyNumberFormat="1" applyFont="1" applyBorder="1" applyAlignment="1">
      <alignment horizontal="center"/>
    </xf>
    <xf numFmtId="0" fontId="10" fillId="0" borderId="0" xfId="0" applyFont="1"/>
    <xf numFmtId="0" fontId="7" fillId="0" borderId="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/>
    <xf numFmtId="0" fontId="7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7" fillId="0" borderId="1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1" xfId="0" applyFont="1" applyBorder="1"/>
    <xf numFmtId="165" fontId="7" fillId="0" borderId="11" xfId="0" applyNumberFormat="1" applyFont="1" applyBorder="1" applyAlignment="1">
      <alignment horizontal="center"/>
    </xf>
    <xf numFmtId="165" fontId="7" fillId="0" borderId="3" xfId="0" applyNumberFormat="1" applyFont="1" applyBorder="1" applyAlignment="1">
      <alignment horizontal="center"/>
    </xf>
    <xf numFmtId="0" fontId="3" fillId="0" borderId="14" xfId="0" applyFont="1" applyBorder="1"/>
    <xf numFmtId="165" fontId="3" fillId="0" borderId="5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9" xfId="0" applyFont="1" applyBorder="1"/>
    <xf numFmtId="165" fontId="3" fillId="0" borderId="6" xfId="0" applyNumberFormat="1" applyFont="1" applyBorder="1" applyAlignment="1">
      <alignment horizontal="center"/>
    </xf>
    <xf numFmtId="167" fontId="7" fillId="0" borderId="11" xfId="0" applyNumberFormat="1" applyFont="1" applyBorder="1" applyAlignment="1">
      <alignment horizontal="center"/>
    </xf>
    <xf numFmtId="167" fontId="7" fillId="0" borderId="3" xfId="0" applyNumberFormat="1" applyFont="1" applyBorder="1" applyAlignment="1">
      <alignment horizontal="center"/>
    </xf>
    <xf numFmtId="167" fontId="3" fillId="0" borderId="14" xfId="0" applyNumberFormat="1" applyFont="1" applyBorder="1" applyAlignment="1">
      <alignment horizontal="center"/>
    </xf>
    <xf numFmtId="167" fontId="3" fillId="0" borderId="5" xfId="0" applyNumberFormat="1" applyFont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9" fontId="3" fillId="0" borderId="5" xfId="0" applyNumberFormat="1" applyFont="1" applyBorder="1" applyAlignment="1">
      <alignment horizontal="center"/>
    </xf>
    <xf numFmtId="9" fontId="3" fillId="0" borderId="6" xfId="0" applyNumberFormat="1" applyFont="1" applyBorder="1" applyAlignment="1">
      <alignment horizontal="center"/>
    </xf>
    <xf numFmtId="0" fontId="7" fillId="0" borderId="14" xfId="0" applyFont="1" applyBorder="1"/>
    <xf numFmtId="10" fontId="3" fillId="0" borderId="14" xfId="0" applyNumberFormat="1" applyFont="1" applyBorder="1" applyAlignment="1">
      <alignment horizontal="center"/>
    </xf>
    <xf numFmtId="10" fontId="3" fillId="0" borderId="8" xfId="0" applyNumberFormat="1" applyFont="1" applyBorder="1" applyAlignment="1">
      <alignment horizontal="center"/>
    </xf>
    <xf numFmtId="0" fontId="7" fillId="0" borderId="1" xfId="0" applyFont="1" applyBorder="1"/>
    <xf numFmtId="165" fontId="3" fillId="0" borderId="1" xfId="0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0" fontId="7" fillId="0" borderId="9" xfId="0" applyFont="1" applyBorder="1"/>
    <xf numFmtId="0" fontId="3" fillId="0" borderId="8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2" fillId="0" borderId="4" xfId="0" applyFont="1" applyBorder="1"/>
    <xf numFmtId="0" fontId="4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12" fillId="0" borderId="7" xfId="0" applyFont="1" applyBorder="1"/>
    <xf numFmtId="0" fontId="2" fillId="0" borderId="7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3" fillId="0" borderId="0" xfId="0" applyFont="1"/>
    <xf numFmtId="0" fontId="13" fillId="0" borderId="6" xfId="0" applyFont="1" applyBorder="1"/>
    <xf numFmtId="165" fontId="2" fillId="2" borderId="7" xfId="0" applyNumberFormat="1" applyFont="1" applyFill="1" applyBorder="1" applyAlignment="1">
      <alignment horizontal="center"/>
    </xf>
    <xf numFmtId="165" fontId="13" fillId="2" borderId="7" xfId="0" applyNumberFormat="1" applyFont="1" applyFill="1" applyBorder="1" applyAlignment="1">
      <alignment horizontal="center"/>
    </xf>
    <xf numFmtId="168" fontId="13" fillId="3" borderId="7" xfId="0" applyNumberFormat="1" applyFont="1" applyFill="1" applyBorder="1" applyAlignment="1">
      <alignment horizontal="right"/>
    </xf>
    <xf numFmtId="0" fontId="4" fillId="0" borderId="5" xfId="0" applyFont="1" applyBorder="1"/>
    <xf numFmtId="165" fontId="4" fillId="2" borderId="4" xfId="0" applyNumberFormat="1" applyFont="1" applyFill="1" applyBorder="1" applyAlignment="1">
      <alignment horizontal="center"/>
    </xf>
    <xf numFmtId="165" fontId="14" fillId="2" borderId="4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168" fontId="4" fillId="3" borderId="4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center"/>
    </xf>
    <xf numFmtId="165" fontId="15" fillId="0" borderId="4" xfId="0" applyNumberFormat="1" applyFont="1" applyBorder="1" applyAlignment="1">
      <alignment horizontal="center"/>
    </xf>
    <xf numFmtId="0" fontId="4" fillId="0" borderId="6" xfId="0" applyFont="1" applyBorder="1"/>
    <xf numFmtId="165" fontId="4" fillId="2" borderId="7" xfId="0" applyNumberFormat="1" applyFont="1" applyFill="1" applyBorder="1" applyAlignment="1">
      <alignment horizontal="center"/>
    </xf>
    <xf numFmtId="165" fontId="14" fillId="2" borderId="7" xfId="0" applyNumberFormat="1" applyFont="1" applyFill="1" applyBorder="1" applyAlignment="1">
      <alignment horizontal="center"/>
    </xf>
    <xf numFmtId="165" fontId="4" fillId="2" borderId="6" xfId="0" applyNumberFormat="1" applyFont="1" applyFill="1" applyBorder="1" applyAlignment="1">
      <alignment horizontal="center"/>
    </xf>
    <xf numFmtId="168" fontId="4" fillId="3" borderId="7" xfId="0" applyNumberFormat="1" applyFont="1" applyFill="1" applyBorder="1" applyAlignment="1">
      <alignment horizontal="right"/>
    </xf>
    <xf numFmtId="164" fontId="3" fillId="2" borderId="4" xfId="0" applyNumberFormat="1" applyFont="1" applyFill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165" fontId="4" fillId="3" borderId="7" xfId="0" applyNumberFormat="1" applyFont="1" applyFill="1" applyBorder="1" applyAlignment="1">
      <alignment horizontal="center"/>
    </xf>
    <xf numFmtId="164" fontId="3" fillId="0" borderId="4" xfId="0" applyNumberFormat="1" applyFont="1" applyBorder="1"/>
    <xf numFmtId="0" fontId="2" fillId="0" borderId="6" xfId="0" applyFont="1" applyBorder="1"/>
    <xf numFmtId="10" fontId="3" fillId="0" borderId="0" xfId="0" applyNumberFormat="1" applyFont="1"/>
    <xf numFmtId="165" fontId="3" fillId="0" borderId="7" xfId="0" applyNumberFormat="1" applyFont="1" applyBorder="1" applyAlignment="1">
      <alignment horizontal="center"/>
    </xf>
    <xf numFmtId="164" fontId="3" fillId="0" borderId="0" xfId="0" applyNumberFormat="1" applyFont="1"/>
    <xf numFmtId="165" fontId="12" fillId="4" borderId="7" xfId="0" applyNumberFormat="1" applyFont="1" applyFill="1" applyBorder="1" applyAlignment="1">
      <alignment horizontal="center"/>
    </xf>
    <xf numFmtId="165" fontId="12" fillId="2" borderId="7" xfId="0" applyNumberFormat="1" applyFont="1" applyFill="1" applyBorder="1" applyAlignment="1">
      <alignment horizontal="center"/>
    </xf>
    <xf numFmtId="168" fontId="12" fillId="3" borderId="7" xfId="0" applyNumberFormat="1" applyFont="1" applyFill="1" applyBorder="1" applyAlignment="1">
      <alignment horizontal="right"/>
    </xf>
    <xf numFmtId="9" fontId="3" fillId="0" borderId="0" xfId="0" applyNumberFormat="1" applyFont="1"/>
    <xf numFmtId="0" fontId="4" fillId="2" borderId="0" xfId="0" applyFont="1" applyFill="1"/>
    <xf numFmtId="0" fontId="4" fillId="2" borderId="5" xfId="0" applyFont="1" applyFill="1" applyBorder="1"/>
    <xf numFmtId="165" fontId="12" fillId="2" borderId="4" xfId="0" applyNumberFormat="1" applyFont="1" applyFill="1" applyBorder="1" applyAlignment="1">
      <alignment horizontal="center"/>
    </xf>
    <xf numFmtId="165" fontId="16" fillId="2" borderId="4" xfId="0" applyNumberFormat="1" applyFont="1" applyFill="1" applyBorder="1" applyAlignment="1">
      <alignment horizontal="center"/>
    </xf>
    <xf numFmtId="168" fontId="12" fillId="3" borderId="4" xfId="0" applyNumberFormat="1" applyFont="1" applyFill="1" applyBorder="1" applyAlignment="1">
      <alignment horizontal="right"/>
    </xf>
    <xf numFmtId="168" fontId="4" fillId="2" borderId="7" xfId="0" applyNumberFormat="1" applyFont="1" applyFill="1" applyBorder="1" applyAlignment="1">
      <alignment horizontal="center"/>
    </xf>
    <xf numFmtId="165" fontId="13" fillId="2" borderId="7" xfId="0" applyNumberFormat="1" applyFont="1" applyFill="1" applyBorder="1" applyAlignment="1">
      <alignment horizontal="right"/>
    </xf>
    <xf numFmtId="0" fontId="12" fillId="3" borderId="7" xfId="0" applyFont="1" applyFill="1" applyBorder="1"/>
    <xf numFmtId="0" fontId="4" fillId="3" borderId="7" xfId="0" applyFont="1" applyFill="1" applyBorder="1" applyAlignment="1">
      <alignment horizontal="right"/>
    </xf>
    <xf numFmtId="0" fontId="3" fillId="2" borderId="0" xfId="0" applyFont="1" applyFill="1"/>
    <xf numFmtId="168" fontId="12" fillId="2" borderId="7" xfId="0" applyNumberFormat="1" applyFont="1" applyFill="1" applyBorder="1" applyAlignment="1">
      <alignment horizontal="center"/>
    </xf>
    <xf numFmtId="0" fontId="7" fillId="0" borderId="15" xfId="0" applyFont="1" applyBorder="1"/>
    <xf numFmtId="9" fontId="9" fillId="0" borderId="0" xfId="0" applyNumberFormat="1" applyFont="1"/>
    <xf numFmtId="0" fontId="7" fillId="0" borderId="16" xfId="0" applyFont="1" applyBorder="1"/>
    <xf numFmtId="0" fontId="3" fillId="0" borderId="12" xfId="0" applyFont="1" applyBorder="1"/>
    <xf numFmtId="0" fontId="3" fillId="0" borderId="13" xfId="0" applyFont="1" applyBorder="1"/>
    <xf numFmtId="0" fontId="17" fillId="0" borderId="14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3" fillId="0" borderId="17" xfId="0" applyFont="1" applyBorder="1"/>
    <xf numFmtId="0" fontId="3" fillId="0" borderId="7" xfId="0" applyFont="1" applyBorder="1"/>
    <xf numFmtId="165" fontId="15" fillId="0" borderId="14" xfId="0" applyNumberFormat="1" applyFont="1" applyBorder="1" applyAlignment="1">
      <alignment horizontal="center"/>
    </xf>
    <xf numFmtId="165" fontId="15" fillId="0" borderId="0" xfId="0" applyNumberFormat="1" applyFont="1" applyAlignment="1">
      <alignment horizontal="center"/>
    </xf>
    <xf numFmtId="165" fontId="3" fillId="2" borderId="14" xfId="0" applyNumberFormat="1" applyFont="1" applyFill="1" applyBorder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165" fontId="3" fillId="0" borderId="14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65" fontId="3" fillId="0" borderId="14" xfId="0" applyNumberFormat="1" applyFont="1" applyBorder="1"/>
    <xf numFmtId="165" fontId="3" fillId="0" borderId="0" xfId="0" applyNumberFormat="1" applyFont="1"/>
    <xf numFmtId="165" fontId="3" fillId="0" borderId="4" xfId="0" applyNumberFormat="1" applyFont="1" applyBorder="1"/>
    <xf numFmtId="165" fontId="9" fillId="0" borderId="14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9" fontId="9" fillId="0" borderId="14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4" xfId="0" applyFont="1" applyBorder="1" applyAlignment="1">
      <alignment horizontal="center"/>
    </xf>
    <xf numFmtId="9" fontId="9" fillId="0" borderId="4" xfId="0" applyNumberFormat="1" applyFont="1" applyBorder="1"/>
    <xf numFmtId="1" fontId="3" fillId="0" borderId="0" xfId="0" applyNumberFormat="1" applyFont="1"/>
    <xf numFmtId="9" fontId="15" fillId="0" borderId="14" xfId="0" applyNumberFormat="1" applyFont="1" applyBorder="1" applyAlignment="1">
      <alignment horizontal="center"/>
    </xf>
    <xf numFmtId="9" fontId="15" fillId="0" borderId="0" xfId="0" applyNumberFormat="1" applyFont="1" applyAlignment="1">
      <alignment horizontal="center"/>
    </xf>
    <xf numFmtId="9" fontId="15" fillId="0" borderId="4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7" fillId="2" borderId="14" xfId="0" applyFont="1" applyFill="1" applyBorder="1"/>
    <xf numFmtId="0" fontId="3" fillId="2" borderId="14" xfId="0" applyFont="1" applyFill="1" applyBorder="1"/>
    <xf numFmtId="165" fontId="9" fillId="2" borderId="14" xfId="0" applyNumberFormat="1" applyFont="1" applyFill="1" applyBorder="1" applyAlignment="1">
      <alignment horizontal="center"/>
    </xf>
    <xf numFmtId="165" fontId="9" fillId="2" borderId="0" xfId="0" applyNumberFormat="1" applyFont="1" applyFill="1" applyAlignment="1">
      <alignment horizontal="center"/>
    </xf>
    <xf numFmtId="165" fontId="15" fillId="2" borderId="0" xfId="0" applyNumberFormat="1" applyFont="1" applyFill="1" applyAlignment="1">
      <alignment horizontal="center"/>
    </xf>
    <xf numFmtId="0" fontId="18" fillId="0" borderId="0" xfId="0" applyFont="1"/>
    <xf numFmtId="3" fontId="9" fillId="0" borderId="14" xfId="0" applyNumberFormat="1" applyFont="1" applyBorder="1" applyAlignment="1">
      <alignment horizontal="center"/>
    </xf>
    <xf numFmtId="9" fontId="9" fillId="0" borderId="0" xfId="0" applyNumberFormat="1" applyFont="1" applyAlignment="1">
      <alignment horizontal="center"/>
    </xf>
    <xf numFmtId="9" fontId="9" fillId="0" borderId="4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7" fillId="0" borderId="3" xfId="0" applyFont="1" applyBorder="1"/>
    <xf numFmtId="9" fontId="19" fillId="0" borderId="14" xfId="0" applyNumberFormat="1" applyFont="1" applyBorder="1" applyAlignment="1">
      <alignment horizontal="center"/>
    </xf>
    <xf numFmtId="9" fontId="19" fillId="0" borderId="0" xfId="0" applyNumberFormat="1" applyFont="1" applyAlignment="1">
      <alignment horizontal="center"/>
    </xf>
    <xf numFmtId="9" fontId="19" fillId="0" borderId="4" xfId="0" applyNumberFormat="1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9" fontId="9" fillId="2" borderId="5" xfId="0" applyNumberFormat="1" applyFont="1" applyFill="1" applyBorder="1" applyAlignment="1">
      <alignment horizontal="center"/>
    </xf>
    <xf numFmtId="165" fontId="9" fillId="0" borderId="5" xfId="0" applyNumberFormat="1" applyFont="1" applyBorder="1" applyAlignment="1">
      <alignment horizontal="center"/>
    </xf>
    <xf numFmtId="165" fontId="9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2" fillId="0" borderId="17" xfId="0" applyFont="1" applyBorder="1"/>
    <xf numFmtId="164" fontId="2" fillId="0" borderId="1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0" fillId="0" borderId="9" xfId="0" applyFont="1" applyBorder="1"/>
    <xf numFmtId="0" fontId="21" fillId="0" borderId="17" xfId="0" applyFont="1" applyBorder="1"/>
    <xf numFmtId="165" fontId="22" fillId="0" borderId="1" xfId="0" applyNumberFormat="1" applyFont="1" applyBorder="1"/>
    <xf numFmtId="165" fontId="22" fillId="0" borderId="18" xfId="0" applyNumberFormat="1" applyFont="1" applyBorder="1"/>
    <xf numFmtId="165" fontId="22" fillId="0" borderId="2" xfId="0" applyNumberFormat="1" applyFont="1" applyBorder="1"/>
    <xf numFmtId="0" fontId="22" fillId="0" borderId="0" xfId="0" applyFont="1"/>
    <xf numFmtId="0" fontId="2" fillId="0" borderId="14" xfId="0" applyFont="1" applyBorder="1"/>
    <xf numFmtId="0" fontId="13" fillId="0" borderId="4" xfId="0" applyFont="1" applyBorder="1"/>
    <xf numFmtId="165" fontId="7" fillId="0" borderId="14" xfId="0" applyNumberFormat="1" applyFont="1" applyBorder="1"/>
    <xf numFmtId="165" fontId="7" fillId="0" borderId="0" xfId="0" applyNumberFormat="1" applyFont="1"/>
    <xf numFmtId="165" fontId="7" fillId="0" borderId="4" xfId="0" applyNumberFormat="1" applyFont="1" applyBorder="1"/>
    <xf numFmtId="165" fontId="7" fillId="0" borderId="11" xfId="0" applyNumberFormat="1" applyFont="1" applyBorder="1"/>
    <xf numFmtId="165" fontId="7" fillId="0" borderId="12" xfId="0" applyNumberFormat="1" applyFont="1" applyBorder="1"/>
    <xf numFmtId="165" fontId="7" fillId="0" borderId="13" xfId="0" applyNumberFormat="1" applyFont="1" applyBorder="1"/>
    <xf numFmtId="0" fontId="12" fillId="2" borderId="4" xfId="0" applyFont="1" applyFill="1" applyBorder="1"/>
    <xf numFmtId="0" fontId="12" fillId="0" borderId="14" xfId="0" applyFont="1" applyBorder="1"/>
    <xf numFmtId="165" fontId="3" fillId="2" borderId="14" xfId="0" applyNumberFormat="1" applyFont="1" applyFill="1" applyBorder="1"/>
    <xf numFmtId="165" fontId="3" fillId="2" borderId="0" xfId="0" applyNumberFormat="1" applyFont="1" applyFill="1"/>
    <xf numFmtId="165" fontId="3" fillId="2" borderId="4" xfId="0" applyNumberFormat="1" applyFont="1" applyFill="1" applyBorder="1"/>
    <xf numFmtId="0" fontId="4" fillId="0" borderId="14" xfId="0" applyFont="1" applyBorder="1"/>
    <xf numFmtId="0" fontId="2" fillId="0" borderId="1" xfId="0" applyFont="1" applyBorder="1"/>
    <xf numFmtId="0" fontId="12" fillId="0" borderId="2" xfId="0" applyFont="1" applyBorder="1"/>
    <xf numFmtId="0" fontId="3" fillId="0" borderId="1" xfId="0" applyFont="1" applyBorder="1"/>
    <xf numFmtId="0" fontId="3" fillId="0" borderId="18" xfId="0" applyFont="1" applyBorder="1"/>
    <xf numFmtId="0" fontId="3" fillId="0" borderId="2" xfId="0" applyFont="1" applyBorder="1"/>
    <xf numFmtId="0" fontId="12" fillId="0" borderId="9" xfId="0" applyFont="1" applyBorder="1"/>
    <xf numFmtId="0" fontId="12" fillId="5" borderId="9" xfId="0" applyFont="1" applyFill="1" applyBorder="1"/>
    <xf numFmtId="0" fontId="12" fillId="5" borderId="7" xfId="0" applyFont="1" applyFill="1" applyBorder="1"/>
    <xf numFmtId="0" fontId="3" fillId="6" borderId="1" xfId="0" applyFont="1" applyFill="1" applyBorder="1"/>
    <xf numFmtId="0" fontId="3" fillId="6" borderId="18" xfId="0" applyFont="1" applyFill="1" applyBorder="1"/>
    <xf numFmtId="0" fontId="3" fillId="6" borderId="2" xfId="0" applyFont="1" applyFill="1" applyBorder="1"/>
    <xf numFmtId="0" fontId="3" fillId="6" borderId="0" xfId="0" applyFont="1" applyFill="1"/>
    <xf numFmtId="0" fontId="2" fillId="0" borderId="9" xfId="0" applyFont="1" applyBorder="1"/>
    <xf numFmtId="167" fontId="23" fillId="0" borderId="11" xfId="0" applyNumberFormat="1" applyFont="1" applyBorder="1"/>
    <xf numFmtId="167" fontId="23" fillId="0" borderId="12" xfId="0" applyNumberFormat="1" applyFont="1" applyBorder="1"/>
    <xf numFmtId="167" fontId="23" fillId="0" borderId="13" xfId="0" applyNumberFormat="1" applyFont="1" applyBorder="1"/>
    <xf numFmtId="167" fontId="23" fillId="0" borderId="1" xfId="0" applyNumberFormat="1" applyFont="1" applyBorder="1"/>
    <xf numFmtId="167" fontId="23" fillId="0" borderId="18" xfId="0" applyNumberFormat="1" applyFont="1" applyBorder="1"/>
    <xf numFmtId="167" fontId="23" fillId="0" borderId="2" xfId="0" applyNumberFormat="1" applyFont="1" applyBorder="1"/>
    <xf numFmtId="10" fontId="23" fillId="0" borderId="0" xfId="0" applyNumberFormat="1" applyFont="1"/>
    <xf numFmtId="0" fontId="24" fillId="0" borderId="11" xfId="0" applyFont="1" applyBorder="1"/>
    <xf numFmtId="0" fontId="25" fillId="0" borderId="12" xfId="0" applyFont="1" applyBorder="1"/>
    <xf numFmtId="167" fontId="26" fillId="0" borderId="19" xfId="0" applyNumberFormat="1" applyFont="1" applyBorder="1"/>
    <xf numFmtId="167" fontId="26" fillId="0" borderId="20" xfId="0" applyNumberFormat="1" applyFont="1" applyBorder="1"/>
    <xf numFmtId="167" fontId="26" fillId="0" borderId="21" xfId="0" applyNumberFormat="1" applyFont="1" applyBorder="1"/>
    <xf numFmtId="167" fontId="26" fillId="0" borderId="12" xfId="0" applyNumberFormat="1" applyFont="1" applyBorder="1"/>
    <xf numFmtId="167" fontId="26" fillId="0" borderId="0" xfId="0" applyNumberFormat="1" applyFont="1"/>
    <xf numFmtId="167" fontId="26" fillId="0" borderId="11" xfId="0" applyNumberFormat="1" applyFont="1" applyBorder="1"/>
    <xf numFmtId="167" fontId="26" fillId="0" borderId="13" xfId="0" applyNumberFormat="1" applyFont="1" applyBorder="1"/>
    <xf numFmtId="0" fontId="26" fillId="0" borderId="0" xfId="0" applyFont="1"/>
    <xf numFmtId="167" fontId="27" fillId="0" borderId="14" xfId="0" applyNumberFormat="1" applyFont="1" applyBorder="1"/>
    <xf numFmtId="167" fontId="28" fillId="0" borderId="0" xfId="0" applyNumberFormat="1" applyFont="1"/>
    <xf numFmtId="167" fontId="29" fillId="2" borderId="22" xfId="0" applyNumberFormat="1" applyFont="1" applyFill="1" applyBorder="1"/>
    <xf numFmtId="167" fontId="29" fillId="2" borderId="0" xfId="0" applyNumberFormat="1" applyFont="1" applyFill="1"/>
    <xf numFmtId="167" fontId="29" fillId="2" borderId="23" xfId="0" applyNumberFormat="1" applyFont="1" applyFill="1" applyBorder="1"/>
    <xf numFmtId="167" fontId="29" fillId="2" borderId="14" xfId="0" applyNumberFormat="1" applyFont="1" applyFill="1" applyBorder="1"/>
    <xf numFmtId="167" fontId="29" fillId="2" borderId="4" xfId="0" applyNumberFormat="1" applyFont="1" applyFill="1" applyBorder="1"/>
    <xf numFmtId="167" fontId="29" fillId="0" borderId="0" xfId="0" applyNumberFormat="1" applyFont="1"/>
    <xf numFmtId="0" fontId="27" fillId="0" borderId="14" xfId="0" applyFont="1" applyBorder="1"/>
    <xf numFmtId="1" fontId="9" fillId="2" borderId="22" xfId="0" applyNumberFormat="1" applyFont="1" applyFill="1" applyBorder="1"/>
    <xf numFmtId="167" fontId="15" fillId="2" borderId="0" xfId="0" applyNumberFormat="1" applyFont="1" applyFill="1"/>
    <xf numFmtId="167" fontId="15" fillId="2" borderId="23" xfId="0" applyNumberFormat="1" applyFont="1" applyFill="1" applyBorder="1"/>
    <xf numFmtId="167" fontId="15" fillId="2" borderId="22" xfId="0" applyNumberFormat="1" applyFont="1" applyFill="1" applyBorder="1"/>
    <xf numFmtId="167" fontId="15" fillId="2" borderId="14" xfId="0" applyNumberFormat="1" applyFont="1" applyFill="1" applyBorder="1"/>
    <xf numFmtId="167" fontId="15" fillId="2" borderId="4" xfId="0" applyNumberFormat="1" applyFont="1" applyFill="1" applyBorder="1"/>
    <xf numFmtId="1" fontId="15" fillId="0" borderId="0" xfId="0" applyNumberFormat="1" applyFont="1"/>
    <xf numFmtId="0" fontId="28" fillId="0" borderId="0" xfId="0" applyFont="1"/>
    <xf numFmtId="1" fontId="29" fillId="0" borderId="0" xfId="0" applyNumberFormat="1" applyFont="1"/>
    <xf numFmtId="0" fontId="27" fillId="2" borderId="14" xfId="0" applyFont="1" applyFill="1" applyBorder="1"/>
    <xf numFmtId="0" fontId="9" fillId="2" borderId="22" xfId="0" applyFont="1" applyFill="1" applyBorder="1"/>
    <xf numFmtId="167" fontId="12" fillId="0" borderId="0" xfId="0" applyNumberFormat="1" applyFont="1"/>
    <xf numFmtId="167" fontId="3" fillId="0" borderId="0" xfId="0" applyNumberFormat="1" applyFont="1"/>
    <xf numFmtId="167" fontId="4" fillId="2" borderId="14" xfId="0" applyNumberFormat="1" applyFont="1" applyFill="1" applyBorder="1"/>
    <xf numFmtId="167" fontId="3" fillId="0" borderId="22" xfId="0" applyNumberFormat="1" applyFont="1" applyBorder="1"/>
    <xf numFmtId="167" fontId="3" fillId="0" borderId="23" xfId="0" applyNumberFormat="1" applyFont="1" applyBorder="1"/>
    <xf numFmtId="167" fontId="3" fillId="0" borderId="14" xfId="0" applyNumberFormat="1" applyFont="1" applyBorder="1"/>
    <xf numFmtId="167" fontId="3" fillId="0" borderId="4" xfId="0" applyNumberFormat="1" applyFont="1" applyBorder="1"/>
    <xf numFmtId="0" fontId="3" fillId="0" borderId="22" xfId="0" applyFont="1" applyBorder="1"/>
    <xf numFmtId="0" fontId="3" fillId="0" borderId="23" xfId="0" applyFont="1" applyBorder="1"/>
    <xf numFmtId="0" fontId="24" fillId="2" borderId="14" xfId="0" applyFont="1" applyFill="1" applyBorder="1"/>
    <xf numFmtId="0" fontId="25" fillId="0" borderId="0" xfId="0" applyFont="1"/>
    <xf numFmtId="167" fontId="26" fillId="0" borderId="22" xfId="0" applyNumberFormat="1" applyFont="1" applyBorder="1"/>
    <xf numFmtId="167" fontId="26" fillId="0" borderId="23" xfId="0" applyNumberFormat="1" applyFont="1" applyBorder="1"/>
    <xf numFmtId="167" fontId="26" fillId="0" borderId="14" xfId="0" applyNumberFormat="1" applyFont="1" applyBorder="1"/>
    <xf numFmtId="167" fontId="26" fillId="0" borderId="4" xfId="0" applyNumberFormat="1" applyFont="1" applyBorder="1"/>
    <xf numFmtId="0" fontId="29" fillId="0" borderId="0" xfId="0" applyFont="1"/>
    <xf numFmtId="0" fontId="15" fillId="0" borderId="0" xfId="0" applyFont="1"/>
    <xf numFmtId="167" fontId="15" fillId="0" borderId="0" xfId="0" applyNumberFormat="1" applyFont="1"/>
    <xf numFmtId="167" fontId="15" fillId="0" borderId="23" xfId="0" applyNumberFormat="1" applyFont="1" applyBorder="1"/>
    <xf numFmtId="167" fontId="15" fillId="0" borderId="22" xfId="0" applyNumberFormat="1" applyFont="1" applyBorder="1"/>
    <xf numFmtId="167" fontId="15" fillId="0" borderId="14" xfId="0" applyNumberFormat="1" applyFont="1" applyBorder="1"/>
    <xf numFmtId="167" fontId="15" fillId="0" borderId="4" xfId="0" applyNumberFormat="1" applyFont="1" applyBorder="1"/>
    <xf numFmtId="167" fontId="27" fillId="2" borderId="14" xfId="0" applyNumberFormat="1" applyFont="1" applyFill="1" applyBorder="1"/>
    <xf numFmtId="167" fontId="30" fillId="2" borderId="22" xfId="0" applyNumberFormat="1" applyFont="1" applyFill="1" applyBorder="1"/>
    <xf numFmtId="0" fontId="2" fillId="3" borderId="14" xfId="0" applyFont="1" applyFill="1" applyBorder="1"/>
    <xf numFmtId="0" fontId="12" fillId="2" borderId="14" xfId="0" applyFont="1" applyFill="1" applyBorder="1"/>
    <xf numFmtId="0" fontId="12" fillId="2" borderId="9" xfId="0" applyFont="1" applyFill="1" applyBorder="1"/>
    <xf numFmtId="0" fontId="3" fillId="2" borderId="24" xfId="0" applyFont="1" applyFill="1" applyBorder="1"/>
    <xf numFmtId="0" fontId="3" fillId="2" borderId="25" xfId="0" applyFont="1" applyFill="1" applyBorder="1"/>
    <xf numFmtId="0" fontId="3" fillId="2" borderId="26" xfId="0" applyFont="1" applyFill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1" fillId="6" borderId="9" xfId="0" applyFont="1" applyFill="1" applyBorder="1"/>
    <xf numFmtId="0" fontId="31" fillId="6" borderId="7" xfId="0" applyFont="1" applyFill="1" applyBorder="1"/>
    <xf numFmtId="0" fontId="32" fillId="6" borderId="14" xfId="0" applyFont="1" applyFill="1" applyBorder="1"/>
    <xf numFmtId="0" fontId="32" fillId="6" borderId="0" xfId="0" applyFont="1" applyFill="1"/>
    <xf numFmtId="0" fontId="32" fillId="6" borderId="4" xfId="0" applyFont="1" applyFill="1" applyBorder="1"/>
    <xf numFmtId="3" fontId="3" fillId="0" borderId="1" xfId="0" applyNumberFormat="1" applyFont="1" applyBorder="1"/>
    <xf numFmtId="3" fontId="3" fillId="0" borderId="18" xfId="0" applyNumberFormat="1" applyFont="1" applyBorder="1"/>
    <xf numFmtId="3" fontId="3" fillId="0" borderId="2" xfId="0" applyNumberFormat="1" applyFont="1" applyBorder="1"/>
    <xf numFmtId="0" fontId="2" fillId="0" borderId="11" xfId="0" applyFont="1" applyBorder="1"/>
    <xf numFmtId="0" fontId="12" fillId="0" borderId="13" xfId="0" applyFont="1" applyBorder="1"/>
    <xf numFmtId="3" fontId="3" fillId="0" borderId="14" xfId="0" applyNumberFormat="1" applyFont="1" applyBorder="1"/>
    <xf numFmtId="3" fontId="3" fillId="0" borderId="0" xfId="0" applyNumberFormat="1" applyFont="1"/>
    <xf numFmtId="3" fontId="3" fillId="0" borderId="4" xfId="0" applyNumberFormat="1" applyFont="1" applyBorder="1"/>
    <xf numFmtId="3" fontId="27" fillId="0" borderId="14" xfId="0" applyNumberFormat="1" applyFont="1" applyBorder="1"/>
    <xf numFmtId="3" fontId="12" fillId="0" borderId="4" xfId="0" applyNumberFormat="1" applyFont="1" applyBorder="1"/>
    <xf numFmtId="3" fontId="15" fillId="0" borderId="14" xfId="0" applyNumberFormat="1" applyFont="1" applyBorder="1"/>
    <xf numFmtId="3" fontId="15" fillId="0" borderId="0" xfId="0" applyNumberFormat="1" applyFont="1"/>
    <xf numFmtId="3" fontId="15" fillId="0" borderId="4" xfId="0" applyNumberFormat="1" applyFont="1" applyBorder="1"/>
    <xf numFmtId="1" fontId="3" fillId="0" borderId="14" xfId="0" applyNumberFormat="1" applyFont="1" applyBorder="1"/>
    <xf numFmtId="1" fontId="3" fillId="0" borderId="4" xfId="0" applyNumberFormat="1" applyFont="1" applyBorder="1"/>
    <xf numFmtId="0" fontId="33" fillId="2" borderId="9" xfId="0" applyFont="1" applyFill="1" applyBorder="1"/>
    <xf numFmtId="0" fontId="12" fillId="2" borderId="7" xfId="0" applyFont="1" applyFill="1" applyBorder="1"/>
    <xf numFmtId="0" fontId="27" fillId="0" borderId="9" xfId="0" applyFont="1" applyBorder="1"/>
    <xf numFmtId="0" fontId="17" fillId="2" borderId="0" xfId="0" applyFont="1" applyFill="1"/>
    <xf numFmtId="0" fontId="9" fillId="0" borderId="0" xfId="0" applyFont="1"/>
    <xf numFmtId="0" fontId="34" fillId="7" borderId="0" xfId="0" applyFont="1" applyFill="1" applyAlignment="1">
      <alignment horizontal="left"/>
    </xf>
    <xf numFmtId="0" fontId="13" fillId="0" borderId="12" xfId="0" applyFont="1" applyBorder="1"/>
    <xf numFmtId="0" fontId="4" fillId="2" borderId="14" xfId="0" applyFont="1" applyFill="1" applyBorder="1"/>
    <xf numFmtId="0" fontId="12" fillId="2" borderId="0" xfId="0" applyFont="1" applyFill="1"/>
    <xf numFmtId="165" fontId="9" fillId="0" borderId="14" xfId="0" applyNumberFormat="1" applyFont="1" applyBorder="1"/>
    <xf numFmtId="165" fontId="9" fillId="0" borderId="0" xfId="0" applyNumberFormat="1" applyFont="1"/>
    <xf numFmtId="168" fontId="3" fillId="0" borderId="14" xfId="0" applyNumberFormat="1" applyFont="1" applyBorder="1"/>
    <xf numFmtId="168" fontId="3" fillId="0" borderId="0" xfId="0" applyNumberFormat="1" applyFont="1"/>
    <xf numFmtId="168" fontId="3" fillId="0" borderId="4" xfId="0" applyNumberFormat="1" applyFont="1" applyBorder="1"/>
    <xf numFmtId="9" fontId="9" fillId="0" borderId="8" xfId="0" applyNumberFormat="1" applyFont="1" applyBorder="1"/>
    <xf numFmtId="165" fontId="9" fillId="0" borderId="8" xfId="0" applyNumberFormat="1" applyFont="1" applyBorder="1"/>
    <xf numFmtId="165" fontId="15" fillId="2" borderId="8" xfId="0" applyNumberFormat="1" applyFont="1" applyFill="1" applyBorder="1"/>
    <xf numFmtId="168" fontId="9" fillId="0" borderId="8" xfId="0" applyNumberFormat="1" applyFont="1" applyBorder="1"/>
    <xf numFmtId="9" fontId="15" fillId="0" borderId="8" xfId="0" applyNumberFormat="1" applyFont="1" applyBorder="1"/>
    <xf numFmtId="165" fontId="3" fillId="0" borderId="8" xfId="0" applyNumberFormat="1" applyFont="1" applyBorder="1"/>
    <xf numFmtId="164" fontId="2" fillId="0" borderId="15" xfId="0" applyNumberFormat="1" applyFont="1" applyBorder="1" applyAlignment="1">
      <alignment horizontal="center"/>
    </xf>
    <xf numFmtId="164" fontId="2" fillId="0" borderId="27" xfId="0" applyNumberFormat="1" applyFont="1" applyBorder="1" applyAlignment="1">
      <alignment horizontal="center"/>
    </xf>
    <xf numFmtId="165" fontId="7" fillId="0" borderId="1" xfId="0" applyNumberFormat="1" applyFont="1" applyBorder="1"/>
    <xf numFmtId="165" fontId="7" fillId="0" borderId="18" xfId="0" applyNumberFormat="1" applyFont="1" applyBorder="1"/>
    <xf numFmtId="165" fontId="7" fillId="0" borderId="2" xfId="0" applyNumberFormat="1" applyFont="1" applyBorder="1"/>
    <xf numFmtId="0" fontId="12" fillId="0" borderId="12" xfId="0" applyFont="1" applyBorder="1"/>
    <xf numFmtId="165" fontId="17" fillId="0" borderId="11" xfId="0" applyNumberFormat="1" applyFont="1" applyBorder="1"/>
    <xf numFmtId="165" fontId="17" fillId="0" borderId="12" xfId="0" applyNumberFormat="1" applyFont="1" applyBorder="1"/>
    <xf numFmtId="165" fontId="17" fillId="0" borderId="13" xfId="0" applyNumberFormat="1" applyFont="1" applyBorder="1"/>
    <xf numFmtId="165" fontId="9" fillId="0" borderId="4" xfId="0" applyNumberFormat="1" applyFont="1" applyBorder="1"/>
    <xf numFmtId="165" fontId="15" fillId="0" borderId="0" xfId="0" applyNumberFormat="1" applyFont="1"/>
    <xf numFmtId="165" fontId="15" fillId="0" borderId="14" xfId="0" applyNumberFormat="1" applyFont="1" applyBorder="1"/>
    <xf numFmtId="165" fontId="15" fillId="0" borderId="4" xfId="0" applyNumberFormat="1" applyFont="1" applyBorder="1"/>
    <xf numFmtId="165" fontId="15" fillId="0" borderId="10" xfId="0" applyNumberFormat="1" applyFont="1" applyBorder="1"/>
    <xf numFmtId="165" fontId="9" fillId="2" borderId="0" xfId="0" applyNumberFormat="1" applyFont="1" applyFill="1"/>
    <xf numFmtId="165" fontId="15" fillId="2" borderId="0" xfId="0" applyNumberFormat="1" applyFont="1" applyFill="1"/>
    <xf numFmtId="165" fontId="15" fillId="2" borderId="4" xfId="0" applyNumberFormat="1" applyFont="1" applyFill="1" applyBorder="1"/>
    <xf numFmtId="165" fontId="15" fillId="2" borderId="14" xfId="0" applyNumberFormat="1" applyFont="1" applyFill="1" applyBorder="1"/>
    <xf numFmtId="165" fontId="3" fillId="0" borderId="9" xfId="0" applyNumberFormat="1" applyFont="1" applyBorder="1"/>
    <xf numFmtId="165" fontId="3" fillId="0" borderId="17" xfId="0" applyNumberFormat="1" applyFont="1" applyBorder="1"/>
    <xf numFmtId="165" fontId="3" fillId="0" borderId="7" xfId="0" applyNumberFormat="1" applyFont="1" applyBorder="1"/>
    <xf numFmtId="165" fontId="3" fillId="2" borderId="11" xfId="0" applyNumberFormat="1" applyFont="1" applyFill="1" applyBorder="1"/>
    <xf numFmtId="165" fontId="3" fillId="2" borderId="12" xfId="0" applyNumberFormat="1" applyFont="1" applyFill="1" applyBorder="1"/>
    <xf numFmtId="165" fontId="3" fillId="2" borderId="13" xfId="0" applyNumberFormat="1" applyFont="1" applyFill="1" applyBorder="1"/>
    <xf numFmtId="165" fontId="3" fillId="0" borderId="11" xfId="0" applyNumberFormat="1" applyFont="1" applyBorder="1"/>
    <xf numFmtId="165" fontId="3" fillId="0" borderId="12" xfId="0" applyNumberFormat="1" applyFont="1" applyBorder="1"/>
    <xf numFmtId="165" fontId="3" fillId="0" borderId="13" xfId="0" applyNumberFormat="1" applyFont="1" applyBorder="1"/>
    <xf numFmtId="165" fontId="9" fillId="2" borderId="14" xfId="0" applyNumberFormat="1" applyFont="1" applyFill="1" applyBorder="1"/>
    <xf numFmtId="0" fontId="3" fillId="2" borderId="4" xfId="0" applyFont="1" applyFill="1" applyBorder="1"/>
    <xf numFmtId="0" fontId="4" fillId="0" borderId="9" xfId="0" applyFont="1" applyBorder="1"/>
    <xf numFmtId="0" fontId="3" fillId="2" borderId="9" xfId="0" applyFont="1" applyFill="1" applyBorder="1"/>
    <xf numFmtId="0" fontId="3" fillId="2" borderId="17" xfId="0" applyFont="1" applyFill="1" applyBorder="1"/>
    <xf numFmtId="0" fontId="3" fillId="2" borderId="7" xfId="0" applyFont="1" applyFill="1" applyBorder="1"/>
    <xf numFmtId="0" fontId="7" fillId="2" borderId="11" xfId="0" applyFont="1" applyFill="1" applyBorder="1"/>
    <xf numFmtId="0" fontId="15" fillId="0" borderId="14" xfId="0" applyFont="1" applyBorder="1"/>
    <xf numFmtId="0" fontId="15" fillId="0" borderId="4" xfId="0" applyFont="1" applyBorder="1"/>
    <xf numFmtId="0" fontId="13" fillId="0" borderId="2" xfId="0" applyFont="1" applyBorder="1"/>
    <xf numFmtId="0" fontId="9" fillId="0" borderId="4" xfId="0" applyFont="1" applyBorder="1"/>
    <xf numFmtId="166" fontId="3" fillId="0" borderId="0" xfId="0" applyNumberFormat="1" applyFont="1"/>
    <xf numFmtId="166" fontId="3" fillId="0" borderId="4" xfId="0" applyNumberFormat="1" applyFont="1" applyBorder="1"/>
    <xf numFmtId="166" fontId="3" fillId="0" borderId="14" xfId="0" applyNumberFormat="1" applyFont="1" applyBorder="1"/>
    <xf numFmtId="0" fontId="2" fillId="2" borderId="14" xfId="0" applyFont="1" applyFill="1" applyBorder="1"/>
    <xf numFmtId="169" fontId="2" fillId="0" borderId="0" xfId="0" applyNumberFormat="1" applyFont="1" applyAlignment="1">
      <alignment horizontal="center"/>
    </xf>
    <xf numFmtId="169" fontId="2" fillId="0" borderId="1" xfId="0" applyNumberFormat="1" applyFont="1" applyBorder="1" applyAlignment="1">
      <alignment horizontal="center"/>
    </xf>
    <xf numFmtId="170" fontId="2" fillId="0" borderId="18" xfId="0" applyNumberFormat="1" applyFont="1" applyBorder="1" applyAlignment="1">
      <alignment horizontal="center"/>
    </xf>
    <xf numFmtId="170" fontId="2" fillId="0" borderId="2" xfId="0" applyNumberFormat="1" applyFont="1" applyBorder="1" applyAlignment="1">
      <alignment horizontal="center"/>
    </xf>
    <xf numFmtId="170" fontId="2" fillId="0" borderId="1" xfId="0" applyNumberFormat="1" applyFont="1" applyBorder="1" applyAlignment="1">
      <alignment horizontal="center"/>
    </xf>
    <xf numFmtId="170" fontId="2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68" fontId="38" fillId="0" borderId="9" xfId="0" applyNumberFormat="1" applyFont="1" applyBorder="1" applyAlignment="1">
      <alignment horizontal="center"/>
    </xf>
    <xf numFmtId="168" fontId="38" fillId="0" borderId="17" xfId="0" applyNumberFormat="1" applyFont="1" applyBorder="1" applyAlignment="1">
      <alignment horizontal="center"/>
    </xf>
    <xf numFmtId="168" fontId="38" fillId="0" borderId="7" xfId="0" applyNumberFormat="1" applyFont="1" applyBorder="1" applyAlignment="1">
      <alignment horizontal="center"/>
    </xf>
    <xf numFmtId="0" fontId="39" fillId="0" borderId="0" xfId="0" applyFont="1" applyAlignment="1">
      <alignment horizontal="center"/>
    </xf>
    <xf numFmtId="168" fontId="39" fillId="0" borderId="11" xfId="0" applyNumberFormat="1" applyFont="1" applyBorder="1" applyAlignment="1">
      <alignment horizontal="center"/>
    </xf>
    <xf numFmtId="168" fontId="39" fillId="0" borderId="12" xfId="0" applyNumberFormat="1" applyFont="1" applyBorder="1" applyAlignment="1">
      <alignment horizontal="center"/>
    </xf>
    <xf numFmtId="168" fontId="39" fillId="0" borderId="13" xfId="0" applyNumberFormat="1" applyFont="1" applyBorder="1" applyAlignment="1">
      <alignment horizontal="center"/>
    </xf>
    <xf numFmtId="168" fontId="39" fillId="0" borderId="0" xfId="0" applyNumberFormat="1" applyFont="1" applyAlignment="1">
      <alignment horizontal="center"/>
    </xf>
    <xf numFmtId="165" fontId="39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9" xfId="0" applyFont="1" applyBorder="1"/>
    <xf numFmtId="0" fontId="2" fillId="0" borderId="18" xfId="0" applyFont="1" applyBorder="1"/>
    <xf numFmtId="165" fontId="3" fillId="0" borderId="18" xfId="0" applyNumberFormat="1" applyFont="1" applyBorder="1"/>
    <xf numFmtId="165" fontId="3" fillId="0" borderId="2" xfId="0" applyNumberFormat="1" applyFont="1" applyBorder="1"/>
    <xf numFmtId="165" fontId="3" fillId="0" borderId="1" xfId="0" applyNumberFormat="1" applyFont="1" applyBorder="1"/>
    <xf numFmtId="0" fontId="4" fillId="0" borderId="30" xfId="0" applyFont="1" applyBorder="1"/>
    <xf numFmtId="0" fontId="2" fillId="0" borderId="8" xfId="0" applyFont="1" applyBorder="1"/>
    <xf numFmtId="0" fontId="4" fillId="0" borderId="31" xfId="0" applyFont="1" applyBorder="1"/>
    <xf numFmtId="0" fontId="4" fillId="0" borderId="17" xfId="0" applyFont="1" applyBorder="1"/>
    <xf numFmtId="165" fontId="9" fillId="0" borderId="9" xfId="0" applyNumberFormat="1" applyFont="1" applyBorder="1"/>
    <xf numFmtId="165" fontId="4" fillId="0" borderId="0" xfId="0" applyNumberFormat="1" applyFont="1"/>
    <xf numFmtId="165" fontId="5" fillId="0" borderId="0" xfId="0" applyNumberFormat="1" applyFont="1"/>
    <xf numFmtId="0" fontId="9" fillId="0" borderId="0" xfId="0" applyFont="1" applyAlignment="1">
      <alignment horizontal="center"/>
    </xf>
    <xf numFmtId="0" fontId="24" fillId="0" borderId="0" xfId="0" applyFont="1"/>
    <xf numFmtId="166" fontId="40" fillId="0" borderId="0" xfId="0" applyNumberFormat="1" applyFont="1"/>
    <xf numFmtId="0" fontId="40" fillId="0" borderId="0" xfId="0" applyFont="1"/>
    <xf numFmtId="2" fontId="3" fillId="0" borderId="0" xfId="0" applyNumberFormat="1" applyFont="1"/>
    <xf numFmtId="0" fontId="5" fillId="0" borderId="32" xfId="0" applyFont="1" applyBorder="1"/>
    <xf numFmtId="0" fontId="5" fillId="0" borderId="33" xfId="0" applyFont="1" applyBorder="1"/>
    <xf numFmtId="0" fontId="41" fillId="8" borderId="34" xfId="0" applyFont="1" applyFill="1" applyBorder="1" applyAlignment="1">
      <alignment horizontal="center" wrapText="1"/>
    </xf>
    <xf numFmtId="0" fontId="41" fillId="8" borderId="35" xfId="0" applyFont="1" applyFill="1" applyBorder="1" applyAlignment="1">
      <alignment horizontal="center" wrapText="1"/>
    </xf>
    <xf numFmtId="0" fontId="41" fillId="8" borderId="36" xfId="0" applyFont="1" applyFill="1" applyBorder="1" applyAlignment="1">
      <alignment horizontal="center" wrapText="1"/>
    </xf>
    <xf numFmtId="0" fontId="41" fillId="8" borderId="33" xfId="0" applyFont="1" applyFill="1" applyBorder="1" applyAlignment="1">
      <alignment horizontal="center" wrapText="1"/>
    </xf>
    <xf numFmtId="0" fontId="41" fillId="0" borderId="37" xfId="0" applyFont="1" applyBorder="1"/>
    <xf numFmtId="0" fontId="41" fillId="0" borderId="0" xfId="0" applyFont="1"/>
    <xf numFmtId="0" fontId="41" fillId="0" borderId="4" xfId="0" applyFont="1" applyBorder="1"/>
    <xf numFmtId="164" fontId="14" fillId="0" borderId="7" xfId="0" applyNumberFormat="1" applyFont="1" applyBorder="1" applyAlignment="1">
      <alignment horizontal="center"/>
    </xf>
    <xf numFmtId="0" fontId="5" fillId="0" borderId="37" xfId="0" applyFont="1" applyBorder="1"/>
    <xf numFmtId="0" fontId="42" fillId="0" borderId="37" xfId="0" applyFont="1" applyBorder="1" applyAlignment="1">
      <alignment horizontal="right"/>
    </xf>
    <xf numFmtId="168" fontId="43" fillId="0" borderId="0" xfId="0" applyNumberFormat="1" applyFont="1" applyAlignment="1">
      <alignment horizontal="right"/>
    </xf>
    <xf numFmtId="168" fontId="41" fillId="0" borderId="0" xfId="0" applyNumberFormat="1" applyFont="1" applyAlignment="1">
      <alignment horizontal="right"/>
    </xf>
    <xf numFmtId="9" fontId="43" fillId="0" borderId="4" xfId="0" applyNumberFormat="1" applyFont="1" applyBorder="1" applyAlignment="1">
      <alignment horizontal="right"/>
    </xf>
    <xf numFmtId="168" fontId="41" fillId="0" borderId="38" xfId="0" applyNumberFormat="1" applyFont="1" applyBorder="1" applyAlignment="1">
      <alignment horizontal="right"/>
    </xf>
    <xf numFmtId="168" fontId="41" fillId="0" borderId="13" xfId="0" applyNumberFormat="1" applyFont="1" applyBorder="1" applyAlignment="1">
      <alignment horizontal="right"/>
    </xf>
    <xf numFmtId="168" fontId="41" fillId="0" borderId="39" xfId="0" applyNumberFormat="1" applyFont="1" applyBorder="1" applyAlignment="1">
      <alignment horizontal="right"/>
    </xf>
    <xf numFmtId="14" fontId="41" fillId="0" borderId="0" xfId="0" applyNumberFormat="1" applyFont="1" applyAlignment="1">
      <alignment horizontal="right"/>
    </xf>
    <xf numFmtId="0" fontId="4" fillId="0" borderId="37" xfId="0" applyFont="1" applyBorder="1"/>
    <xf numFmtId="168" fontId="41" fillId="0" borderId="40" xfId="0" applyNumberFormat="1" applyFont="1" applyBorder="1" applyAlignment="1">
      <alignment horizontal="right"/>
    </xf>
    <xf numFmtId="168" fontId="41" fillId="0" borderId="4" xfId="0" applyNumberFormat="1" applyFont="1" applyBorder="1" applyAlignment="1">
      <alignment horizontal="right"/>
    </xf>
    <xf numFmtId="168" fontId="41" fillId="0" borderId="30" xfId="0" applyNumberFormat="1" applyFont="1" applyBorder="1" applyAlignment="1">
      <alignment horizontal="right"/>
    </xf>
    <xf numFmtId="0" fontId="4" fillId="0" borderId="37" xfId="0" applyFont="1" applyBorder="1" applyAlignment="1">
      <alignment horizontal="right"/>
    </xf>
    <xf numFmtId="0" fontId="42" fillId="0" borderId="41" xfId="0" applyFont="1" applyBorder="1" applyAlignment="1">
      <alignment horizontal="right"/>
    </xf>
    <xf numFmtId="0" fontId="4" fillId="0" borderId="4" xfId="0" applyFont="1" applyBorder="1"/>
    <xf numFmtId="0" fontId="5" fillId="0" borderId="4" xfId="0" applyFont="1" applyBorder="1"/>
    <xf numFmtId="164" fontId="4" fillId="0" borderId="7" xfId="0" applyNumberFormat="1" applyFont="1" applyBorder="1" applyAlignment="1">
      <alignment horizontal="center"/>
    </xf>
    <xf numFmtId="0" fontId="5" fillId="2" borderId="4" xfId="0" applyFont="1" applyFill="1" applyBorder="1"/>
    <xf numFmtId="168" fontId="41" fillId="0" borderId="36" xfId="0" applyNumberFormat="1" applyFont="1" applyBorder="1" applyAlignment="1">
      <alignment horizontal="right"/>
    </xf>
    <xf numFmtId="168" fontId="41" fillId="0" borderId="7" xfId="0" applyNumberFormat="1" applyFont="1" applyBorder="1" applyAlignment="1">
      <alignment horizontal="right"/>
    </xf>
    <xf numFmtId="168" fontId="41" fillId="0" borderId="31" xfId="0" applyNumberFormat="1" applyFont="1" applyBorder="1" applyAlignment="1">
      <alignment horizontal="right"/>
    </xf>
    <xf numFmtId="0" fontId="5" fillId="2" borderId="0" xfId="0" applyFont="1" applyFill="1"/>
    <xf numFmtId="0" fontId="20" fillId="9" borderId="0" xfId="0" applyFont="1" applyFill="1"/>
    <xf numFmtId="0" fontId="5" fillId="9" borderId="0" xfId="0" applyFont="1" applyFill="1"/>
    <xf numFmtId="168" fontId="41" fillId="0" borderId="0" xfId="0" applyNumberFormat="1" applyFont="1" applyAlignment="1">
      <alignment horizontal="center"/>
    </xf>
    <xf numFmtId="0" fontId="41" fillId="0" borderId="0" xfId="0" applyFont="1" applyAlignment="1">
      <alignment horizontal="center"/>
    </xf>
    <xf numFmtId="165" fontId="4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20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44" fillId="0" borderId="0" xfId="0" applyFont="1" applyAlignment="1">
      <alignment horizontal="center"/>
    </xf>
    <xf numFmtId="9" fontId="43" fillId="0" borderId="0" xfId="0" applyNumberFormat="1" applyFont="1" applyAlignment="1">
      <alignment horizontal="center"/>
    </xf>
    <xf numFmtId="0" fontId="5" fillId="0" borderId="17" xfId="0" applyFont="1" applyBorder="1"/>
    <xf numFmtId="0" fontId="5" fillId="0" borderId="7" xfId="0" applyFont="1" applyBorder="1"/>
    <xf numFmtId="0" fontId="4" fillId="0" borderId="14" xfId="0" applyFont="1" applyBorder="1" applyAlignment="1">
      <alignment horizontal="center"/>
    </xf>
    <xf numFmtId="167" fontId="5" fillId="0" borderId="11" xfId="0" applyNumberFormat="1" applyFont="1" applyBorder="1" applyAlignment="1">
      <alignment horizontal="center"/>
    </xf>
    <xf numFmtId="167" fontId="5" fillId="0" borderId="12" xfId="0" applyNumberFormat="1" applyFont="1" applyBorder="1" applyAlignment="1">
      <alignment horizontal="center"/>
    </xf>
    <xf numFmtId="167" fontId="5" fillId="0" borderId="13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67" fontId="5" fillId="2" borderId="9" xfId="0" applyNumberFormat="1" applyFont="1" applyFill="1" applyBorder="1" applyAlignment="1">
      <alignment horizontal="center"/>
    </xf>
    <xf numFmtId="167" fontId="5" fillId="2" borderId="17" xfId="0" applyNumberFormat="1" applyFont="1" applyFill="1" applyBorder="1" applyAlignment="1">
      <alignment horizontal="center"/>
    </xf>
    <xf numFmtId="167" fontId="5" fillId="2" borderId="7" xfId="0" applyNumberFormat="1" applyFont="1" applyFill="1" applyBorder="1" applyAlignment="1">
      <alignment horizontal="center"/>
    </xf>
    <xf numFmtId="1" fontId="5" fillId="2" borderId="17" xfId="0" applyNumberFormat="1" applyFont="1" applyFill="1" applyBorder="1" applyAlignment="1">
      <alignment horizontal="center"/>
    </xf>
    <xf numFmtId="3" fontId="5" fillId="2" borderId="9" xfId="0" applyNumberFormat="1" applyFont="1" applyFill="1" applyBorder="1" applyAlignment="1">
      <alignment horizontal="center"/>
    </xf>
    <xf numFmtId="3" fontId="5" fillId="2" borderId="17" xfId="0" applyNumberFormat="1" applyFont="1" applyFill="1" applyBorder="1" applyAlignment="1">
      <alignment horizontal="center"/>
    </xf>
    <xf numFmtId="3" fontId="5" fillId="2" borderId="7" xfId="0" applyNumberFormat="1" applyFont="1" applyFill="1" applyBorder="1" applyAlignment="1">
      <alignment horizontal="center"/>
    </xf>
    <xf numFmtId="9" fontId="3" fillId="0" borderId="0" xfId="0" applyNumberFormat="1" applyFont="1" applyAlignment="1">
      <alignment horizontal="center"/>
    </xf>
    <xf numFmtId="0" fontId="45" fillId="2" borderId="0" xfId="0" applyFont="1" applyFill="1"/>
    <xf numFmtId="0" fontId="41" fillId="8" borderId="11" xfId="0" applyFont="1" applyFill="1" applyBorder="1" applyAlignment="1">
      <alignment horizontal="center" wrapText="1"/>
    </xf>
    <xf numFmtId="0" fontId="41" fillId="8" borderId="13" xfId="0" applyFont="1" applyFill="1" applyBorder="1" applyAlignment="1">
      <alignment horizontal="center" wrapText="1"/>
    </xf>
    <xf numFmtId="0" fontId="43" fillId="2" borderId="15" xfId="0" applyFont="1" applyFill="1" applyBorder="1" applyAlignment="1">
      <alignment horizontal="center" wrapText="1"/>
    </xf>
    <xf numFmtId="0" fontId="43" fillId="2" borderId="42" xfId="0" applyFont="1" applyFill="1" applyBorder="1" applyAlignment="1">
      <alignment horizontal="center" wrapText="1"/>
    </xf>
    <xf numFmtId="0" fontId="43" fillId="2" borderId="10" xfId="0" applyFont="1" applyFill="1" applyBorder="1" applyAlignment="1">
      <alignment horizontal="center" wrapText="1"/>
    </xf>
    <xf numFmtId="0" fontId="43" fillId="2" borderId="40" xfId="0" applyFont="1" applyFill="1" applyBorder="1" applyAlignment="1">
      <alignment horizontal="center" wrapText="1"/>
    </xf>
    <xf numFmtId="0" fontId="43" fillId="2" borderId="43" xfId="0" applyFont="1" applyFill="1" applyBorder="1" applyAlignment="1">
      <alignment horizontal="center" wrapText="1"/>
    </xf>
    <xf numFmtId="0" fontId="43" fillId="2" borderId="35" xfId="0" applyFont="1" applyFill="1" applyBorder="1" applyAlignment="1">
      <alignment horizontal="center" wrapText="1"/>
    </xf>
    <xf numFmtId="0" fontId="41" fillId="8" borderId="1" xfId="0" applyFont="1" applyFill="1" applyBorder="1" applyAlignment="1">
      <alignment horizontal="center" wrapText="1"/>
    </xf>
    <xf numFmtId="0" fontId="41" fillId="8" borderId="12" xfId="0" applyFont="1" applyFill="1" applyBorder="1" applyAlignment="1">
      <alignment horizontal="center" wrapText="1"/>
    </xf>
    <xf numFmtId="0" fontId="41" fillId="8" borderId="2" xfId="0" applyFont="1" applyFill="1" applyBorder="1" applyAlignment="1">
      <alignment horizontal="center" wrapText="1"/>
    </xf>
    <xf numFmtId="0" fontId="41" fillId="8" borderId="18" xfId="0" applyFont="1" applyFill="1" applyBorder="1" applyAlignment="1">
      <alignment horizontal="center" wrapText="1"/>
    </xf>
    <xf numFmtId="0" fontId="41" fillId="2" borderId="14" xfId="0" applyFont="1" applyFill="1" applyBorder="1" applyAlignment="1">
      <alignment horizontal="center" wrapText="1"/>
    </xf>
    <xf numFmtId="0" fontId="43" fillId="0" borderId="11" xfId="0" applyFont="1" applyBorder="1"/>
    <xf numFmtId="0" fontId="43" fillId="0" borderId="12" xfId="0" applyFont="1" applyBorder="1"/>
    <xf numFmtId="0" fontId="43" fillId="0" borderId="13" xfId="0" applyFont="1" applyBorder="1"/>
    <xf numFmtId="0" fontId="14" fillId="0" borderId="11" xfId="0" applyFont="1" applyBorder="1" applyAlignment="1">
      <alignment horizontal="center"/>
    </xf>
    <xf numFmtId="165" fontId="14" fillId="0" borderId="13" xfId="0" applyNumberFormat="1" applyFont="1" applyBorder="1" applyAlignment="1">
      <alignment horizontal="center"/>
    </xf>
    <xf numFmtId="14" fontId="14" fillId="0" borderId="11" xfId="0" applyNumberFormat="1" applyFont="1" applyBorder="1" applyAlignment="1">
      <alignment horizontal="center"/>
    </xf>
    <xf numFmtId="14" fontId="14" fillId="0" borderId="12" xfId="0" applyNumberFormat="1" applyFont="1" applyBorder="1" applyAlignment="1">
      <alignment horizontal="center"/>
    </xf>
    <xf numFmtId="0" fontId="41" fillId="0" borderId="13" xfId="0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3" fillId="0" borderId="14" xfId="0" applyFont="1" applyBorder="1"/>
    <xf numFmtId="0" fontId="43" fillId="0" borderId="0" xfId="0" applyFont="1"/>
    <xf numFmtId="0" fontId="43" fillId="0" borderId="4" xfId="0" applyFont="1" applyBorder="1"/>
    <xf numFmtId="0" fontId="14" fillId="0" borderId="14" xfId="0" applyFont="1" applyBorder="1" applyAlignment="1">
      <alignment horizontal="center"/>
    </xf>
    <xf numFmtId="165" fontId="14" fillId="0" borderId="4" xfId="0" applyNumberFormat="1" applyFont="1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14" fontId="1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41" fillId="2" borderId="9" xfId="0" applyFont="1" applyFill="1" applyBorder="1" applyAlignment="1">
      <alignment horizontal="center" wrapText="1"/>
    </xf>
    <xf numFmtId="0" fontId="43" fillId="0" borderId="9" xfId="0" applyFont="1" applyBorder="1"/>
    <xf numFmtId="0" fontId="43" fillId="0" borderId="17" xfId="0" applyFont="1" applyBorder="1"/>
    <xf numFmtId="0" fontId="43" fillId="0" borderId="7" xfId="0" applyFont="1" applyBorder="1"/>
    <xf numFmtId="0" fontId="14" fillId="0" borderId="9" xfId="0" applyFont="1" applyBorder="1" applyAlignment="1">
      <alignment horizontal="center"/>
    </xf>
    <xf numFmtId="165" fontId="14" fillId="0" borderId="7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4" fontId="14" fillId="0" borderId="17" xfId="0" applyNumberFormat="1" applyFont="1" applyBorder="1" applyAlignment="1">
      <alignment horizontal="center"/>
    </xf>
    <xf numFmtId="0" fontId="41" fillId="0" borderId="7" xfId="0" applyFont="1" applyBorder="1"/>
    <xf numFmtId="0" fontId="4" fillId="0" borderId="1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3" fillId="2" borderId="14" xfId="0" applyFont="1" applyFill="1" applyBorder="1" applyAlignment="1">
      <alignment horizontal="center" wrapText="1"/>
    </xf>
    <xf numFmtId="0" fontId="43" fillId="2" borderId="4" xfId="0" applyFont="1" applyFill="1" applyBorder="1" applyAlignment="1">
      <alignment horizontal="center" wrapText="1"/>
    </xf>
    <xf numFmtId="0" fontId="43" fillId="2" borderId="9" xfId="0" applyFont="1" applyFill="1" applyBorder="1" applyAlignment="1">
      <alignment horizontal="center" wrapText="1"/>
    </xf>
    <xf numFmtId="0" fontId="43" fillId="2" borderId="7" xfId="0" applyFont="1" applyFill="1" applyBorder="1" applyAlignment="1">
      <alignment horizontal="center" wrapText="1"/>
    </xf>
    <xf numFmtId="165" fontId="14" fillId="0" borderId="4" xfId="0" applyNumberFormat="1" applyFont="1" applyBorder="1"/>
    <xf numFmtId="0" fontId="4" fillId="0" borderId="14" xfId="0" applyFont="1" applyBorder="1" applyAlignment="1">
      <alignment horizontal="right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right"/>
    </xf>
    <xf numFmtId="0" fontId="41" fillId="0" borderId="17" xfId="0" applyFont="1" applyBorder="1"/>
    <xf numFmtId="165" fontId="14" fillId="0" borderId="7" xfId="0" applyNumberFormat="1" applyFont="1" applyBorder="1"/>
    <xf numFmtId="14" fontId="4" fillId="0" borderId="17" xfId="0" applyNumberFormat="1" applyFont="1" applyBorder="1" applyAlignment="1">
      <alignment horizontal="center"/>
    </xf>
    <xf numFmtId="0" fontId="4" fillId="0" borderId="9" xfId="0" applyFont="1" applyBorder="1" applyAlignment="1">
      <alignment horizontal="right"/>
    </xf>
    <xf numFmtId="0" fontId="4" fillId="0" borderId="17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165" fontId="12" fillId="0" borderId="0" xfId="0" applyNumberFormat="1" applyFont="1"/>
    <xf numFmtId="10" fontId="12" fillId="0" borderId="0" xfId="0" applyNumberFormat="1" applyFont="1"/>
    <xf numFmtId="0" fontId="41" fillId="8" borderId="8" xfId="0" applyFont="1" applyFill="1" applyBorder="1" applyAlignment="1">
      <alignment horizontal="center" wrapText="1"/>
    </xf>
    <xf numFmtId="0" fontId="41" fillId="8" borderId="3" xfId="0" applyFont="1" applyFill="1" applyBorder="1" applyAlignment="1">
      <alignment horizontal="center" wrapText="1"/>
    </xf>
    <xf numFmtId="0" fontId="43" fillId="2" borderId="3" xfId="0" applyFont="1" applyFill="1" applyBorder="1" applyAlignment="1">
      <alignment horizontal="center" wrapText="1"/>
    </xf>
    <xf numFmtId="0" fontId="43" fillId="2" borderId="5" xfId="0" applyFont="1" applyFill="1" applyBorder="1" applyAlignment="1">
      <alignment horizontal="center" wrapText="1"/>
    </xf>
    <xf numFmtId="0" fontId="43" fillId="2" borderId="6" xfId="0" applyFont="1" applyFill="1" applyBorder="1" applyAlignment="1">
      <alignment horizontal="center" wrapText="1"/>
    </xf>
    <xf numFmtId="0" fontId="41" fillId="2" borderId="11" xfId="0" applyFont="1" applyFill="1" applyBorder="1" applyAlignment="1">
      <alignment horizontal="center" wrapText="1"/>
    </xf>
    <xf numFmtId="165" fontId="14" fillId="0" borderId="13" xfId="0" applyNumberFormat="1" applyFont="1" applyBorder="1"/>
    <xf numFmtId="14" fontId="4" fillId="0" borderId="11" xfId="0" applyNumberFormat="1" applyFont="1" applyBorder="1" applyAlignment="1">
      <alignment horizontal="center"/>
    </xf>
    <xf numFmtId="14" fontId="4" fillId="0" borderId="12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4" fillId="0" borderId="3" xfId="0" applyFont="1" applyBorder="1"/>
    <xf numFmtId="0" fontId="12" fillId="0" borderId="4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41" fillId="4" borderId="0" xfId="0" applyFont="1" applyFill="1" applyAlignment="1">
      <alignment horizontal="center" wrapText="1"/>
    </xf>
    <xf numFmtId="0" fontId="43" fillId="4" borderId="0" xfId="0" applyFont="1" applyFill="1" applyAlignment="1">
      <alignment horizontal="center" wrapText="1"/>
    </xf>
    <xf numFmtId="0" fontId="41" fillId="4" borderId="0" xfId="0" applyFont="1" applyFill="1"/>
    <xf numFmtId="168" fontId="4" fillId="4" borderId="0" xfId="0" applyNumberFormat="1" applyFont="1" applyFill="1" applyAlignment="1">
      <alignment horizontal="center"/>
    </xf>
    <xf numFmtId="14" fontId="1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right"/>
    </xf>
    <xf numFmtId="171" fontId="14" fillId="4" borderId="0" xfId="0" applyNumberFormat="1" applyFont="1" applyFill="1" applyAlignment="1">
      <alignment horizontal="center"/>
    </xf>
    <xf numFmtId="0" fontId="42" fillId="4" borderId="0" xfId="0" applyFont="1" applyFill="1" applyAlignment="1">
      <alignment horizontal="right"/>
    </xf>
    <xf numFmtId="0" fontId="46" fillId="4" borderId="0" xfId="0" applyFont="1" applyFill="1" applyAlignment="1">
      <alignment horizontal="right"/>
    </xf>
    <xf numFmtId="0" fontId="2" fillId="2" borderId="0" xfId="0" applyFont="1" applyFill="1"/>
    <xf numFmtId="167" fontId="2" fillId="2" borderId="15" xfId="0" applyNumberFormat="1" applyFont="1" applyFill="1" applyBorder="1" applyAlignment="1">
      <alignment horizontal="left"/>
    </xf>
    <xf numFmtId="167" fontId="38" fillId="2" borderId="14" xfId="0" applyNumberFormat="1" applyFont="1" applyFill="1" applyBorder="1" applyAlignment="1">
      <alignment horizontal="center"/>
    </xf>
    <xf numFmtId="167" fontId="38" fillId="2" borderId="0" xfId="0" applyNumberFormat="1" applyFont="1" applyFill="1" applyAlignment="1">
      <alignment horizontal="center"/>
    </xf>
    <xf numFmtId="167" fontId="38" fillId="2" borderId="4" xfId="0" applyNumberFormat="1" applyFont="1" applyFill="1" applyBorder="1" applyAlignment="1">
      <alignment horizontal="center"/>
    </xf>
    <xf numFmtId="167" fontId="38" fillId="2" borderId="11" xfId="0" applyNumberFormat="1" applyFont="1" applyFill="1" applyBorder="1" applyAlignment="1">
      <alignment horizontal="center"/>
    </xf>
    <xf numFmtId="167" fontId="38" fillId="2" borderId="12" xfId="0" applyNumberFormat="1" applyFont="1" applyFill="1" applyBorder="1" applyAlignment="1">
      <alignment horizontal="center"/>
    </xf>
    <xf numFmtId="167" fontId="38" fillId="2" borderId="13" xfId="0" applyNumberFormat="1" applyFont="1" applyFill="1" applyBorder="1" applyAlignment="1">
      <alignment horizontal="center"/>
    </xf>
    <xf numFmtId="167" fontId="6" fillId="2" borderId="15" xfId="0" applyNumberFormat="1" applyFont="1" applyFill="1" applyBorder="1"/>
    <xf numFmtId="167" fontId="5" fillId="2" borderId="14" xfId="0" applyNumberFormat="1" applyFont="1" applyFill="1" applyBorder="1" applyAlignment="1">
      <alignment horizontal="center"/>
    </xf>
    <xf numFmtId="167" fontId="5" fillId="2" borderId="0" xfId="0" applyNumberFormat="1" applyFont="1" applyFill="1" applyAlignment="1">
      <alignment horizontal="center"/>
    </xf>
    <xf numFmtId="167" fontId="5" fillId="2" borderId="4" xfId="0" applyNumberFormat="1" applyFont="1" applyFill="1" applyBorder="1" applyAlignment="1">
      <alignment horizontal="center"/>
    </xf>
    <xf numFmtId="167" fontId="47" fillId="2" borderId="10" xfId="0" applyNumberFormat="1" applyFont="1" applyFill="1" applyBorder="1"/>
    <xf numFmtId="167" fontId="4" fillId="2" borderId="14" xfId="0" applyNumberFormat="1" applyFont="1" applyFill="1" applyBorder="1" applyAlignment="1">
      <alignment horizontal="center"/>
    </xf>
    <xf numFmtId="167" fontId="2" fillId="2" borderId="10" xfId="0" applyNumberFormat="1" applyFont="1" applyFill="1" applyBorder="1"/>
    <xf numFmtId="167" fontId="2" fillId="2" borderId="14" xfId="0" applyNumberFormat="1" applyFont="1" applyFill="1" applyBorder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7" fontId="2" fillId="2" borderId="4" xfId="0" applyNumberFormat="1" applyFont="1" applyFill="1" applyBorder="1" applyAlignment="1">
      <alignment horizontal="center"/>
    </xf>
    <xf numFmtId="167" fontId="4" fillId="2" borderId="0" xfId="0" applyNumberFormat="1" applyFont="1" applyFill="1" applyAlignment="1">
      <alignment horizontal="center"/>
    </xf>
    <xf numFmtId="167" fontId="4" fillId="2" borderId="4" xfId="0" applyNumberFormat="1" applyFont="1" applyFill="1" applyBorder="1" applyAlignment="1">
      <alignment horizontal="center"/>
    </xf>
    <xf numFmtId="167" fontId="2" fillId="2" borderId="43" xfId="0" applyNumberFormat="1" applyFont="1" applyFill="1" applyBorder="1" applyAlignment="1">
      <alignment horizontal="left"/>
    </xf>
    <xf numFmtId="167" fontId="2" fillId="2" borderId="9" xfId="0" applyNumberFormat="1" applyFont="1" applyFill="1" applyBorder="1" applyAlignment="1">
      <alignment horizontal="center"/>
    </xf>
    <xf numFmtId="167" fontId="38" fillId="2" borderId="17" xfId="0" applyNumberFormat="1" applyFont="1" applyFill="1" applyBorder="1" applyAlignment="1">
      <alignment horizontal="center"/>
    </xf>
    <xf numFmtId="167" fontId="38" fillId="2" borderId="7" xfId="0" applyNumberFormat="1" applyFont="1" applyFill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167" fontId="38" fillId="0" borderId="0" xfId="0" applyNumberFormat="1" applyFont="1" applyAlignment="1">
      <alignment horizontal="center"/>
    </xf>
    <xf numFmtId="4" fontId="5" fillId="0" borderId="0" xfId="0" applyNumberFormat="1" applyFont="1"/>
    <xf numFmtId="0" fontId="48" fillId="2" borderId="0" xfId="0" applyFont="1" applyFill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67" fontId="5" fillId="0" borderId="39" xfId="0" applyNumberFormat="1" applyFont="1" applyBorder="1" applyAlignment="1">
      <alignment horizontal="center"/>
    </xf>
    <xf numFmtId="167" fontId="5" fillId="0" borderId="44" xfId="0" applyNumberFormat="1" applyFont="1" applyBorder="1" applyAlignment="1">
      <alignment horizontal="center"/>
    </xf>
    <xf numFmtId="167" fontId="5" fillId="0" borderId="45" xfId="0" applyNumberFormat="1" applyFont="1" applyBorder="1" applyAlignment="1">
      <alignment horizontal="center"/>
    </xf>
    <xf numFmtId="167" fontId="4" fillId="0" borderId="11" xfId="0" applyNumberFormat="1" applyFont="1" applyBorder="1" applyAlignment="1">
      <alignment horizontal="center"/>
    </xf>
    <xf numFmtId="167" fontId="4" fillId="0" borderId="14" xfId="0" applyNumberFormat="1" applyFont="1" applyBorder="1" applyAlignment="1">
      <alignment horizontal="center"/>
    </xf>
    <xf numFmtId="167" fontId="5" fillId="0" borderId="30" xfId="0" applyNumberFormat="1" applyFont="1" applyBorder="1" applyAlignment="1">
      <alignment horizontal="center"/>
    </xf>
    <xf numFmtId="167" fontId="5" fillId="2" borderId="46" xfId="0" applyNumberFormat="1" applyFont="1" applyFill="1" applyBorder="1" applyAlignment="1">
      <alignment horizontal="center"/>
    </xf>
    <xf numFmtId="167" fontId="5" fillId="2" borderId="47" xfId="0" applyNumberFormat="1" applyFont="1" applyFill="1" applyBorder="1" applyAlignment="1">
      <alignment horizontal="center"/>
    </xf>
    <xf numFmtId="167" fontId="5" fillId="0" borderId="14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46" xfId="0" applyNumberFormat="1" applyFont="1" applyBorder="1" applyAlignment="1">
      <alignment horizontal="center"/>
    </xf>
    <xf numFmtId="167" fontId="5" fillId="0" borderId="4" xfId="0" applyNumberFormat="1" applyFont="1" applyBorder="1" applyAlignment="1">
      <alignment horizontal="center"/>
    </xf>
    <xf numFmtId="167" fontId="5" fillId="0" borderId="47" xfId="0" applyNumberFormat="1" applyFont="1" applyBorder="1" applyAlignment="1">
      <alignment horizontal="center"/>
    </xf>
    <xf numFmtId="167" fontId="5" fillId="0" borderId="9" xfId="0" applyNumberFormat="1" applyFont="1" applyBorder="1" applyAlignment="1">
      <alignment horizontal="center"/>
    </xf>
    <xf numFmtId="167" fontId="5" fillId="0" borderId="31" xfId="0" applyNumberFormat="1" applyFont="1" applyBorder="1" applyAlignment="1">
      <alignment horizontal="center"/>
    </xf>
    <xf numFmtId="167" fontId="5" fillId="0" borderId="17" xfId="0" applyNumberFormat="1" applyFont="1" applyBorder="1" applyAlignment="1">
      <alignment horizontal="center"/>
    </xf>
    <xf numFmtId="167" fontId="5" fillId="0" borderId="48" xfId="0" applyNumberFormat="1" applyFont="1" applyBorder="1" applyAlignment="1">
      <alignment horizontal="center"/>
    </xf>
    <xf numFmtId="167" fontId="5" fillId="0" borderId="49" xfId="0" applyNumberFormat="1" applyFont="1" applyBorder="1" applyAlignment="1">
      <alignment horizontal="center"/>
    </xf>
    <xf numFmtId="167" fontId="5" fillId="0" borderId="7" xfId="0" applyNumberFormat="1" applyFont="1" applyBorder="1" applyAlignment="1">
      <alignment horizontal="center"/>
    </xf>
    <xf numFmtId="167" fontId="49" fillId="0" borderId="1" xfId="0" applyNumberFormat="1" applyFont="1" applyBorder="1" applyAlignment="1">
      <alignment horizontal="center"/>
    </xf>
    <xf numFmtId="167" fontId="49" fillId="0" borderId="29" xfId="0" applyNumberFormat="1" applyFont="1" applyBorder="1" applyAlignment="1">
      <alignment horizontal="center"/>
    </xf>
    <xf numFmtId="167" fontId="49" fillId="0" borderId="18" xfId="0" applyNumberFormat="1" applyFont="1" applyBorder="1" applyAlignment="1">
      <alignment horizontal="center"/>
    </xf>
    <xf numFmtId="167" fontId="49" fillId="0" borderId="50" xfId="0" applyNumberFormat="1" applyFont="1" applyBorder="1" applyAlignment="1">
      <alignment horizontal="center"/>
    </xf>
    <xf numFmtId="167" fontId="49" fillId="0" borderId="51" xfId="0" applyNumberFormat="1" applyFont="1" applyBorder="1" applyAlignment="1">
      <alignment horizontal="center"/>
    </xf>
    <xf numFmtId="167" fontId="49" fillId="0" borderId="2" xfId="0" applyNumberFormat="1" applyFont="1" applyBorder="1" applyAlignment="1">
      <alignment horizontal="center"/>
    </xf>
    <xf numFmtId="0" fontId="50" fillId="0" borderId="0" xfId="0" applyFont="1"/>
    <xf numFmtId="0" fontId="51" fillId="0" borderId="0" xfId="0" applyFont="1" applyAlignment="1">
      <alignment horizontal="center"/>
    </xf>
    <xf numFmtId="0" fontId="51" fillId="2" borderId="0" xfId="0" applyFont="1" applyFill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52" fillId="0" borderId="11" xfId="0" applyFont="1" applyBorder="1"/>
    <xf numFmtId="0" fontId="7" fillId="0" borderId="13" xfId="0" applyFont="1" applyBorder="1"/>
    <xf numFmtId="0" fontId="52" fillId="0" borderId="52" xfId="0" applyFont="1" applyBorder="1"/>
    <xf numFmtId="10" fontId="15" fillId="0" borderId="4" xfId="0" applyNumberFormat="1" applyFont="1" applyBorder="1" applyAlignment="1">
      <alignment horizontal="center"/>
    </xf>
    <xf numFmtId="14" fontId="53" fillId="0" borderId="13" xfId="0" applyNumberFormat="1" applyFont="1" applyBorder="1" applyAlignment="1">
      <alignment horizontal="center"/>
    </xf>
    <xf numFmtId="14" fontId="53" fillId="0" borderId="4" xfId="0" applyNumberFormat="1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52" fillId="0" borderId="9" xfId="0" applyFont="1" applyBorder="1"/>
    <xf numFmtId="14" fontId="53" fillId="0" borderId="7" xfId="0" applyNumberFormat="1" applyFont="1" applyBorder="1" applyAlignment="1">
      <alignment horizontal="center"/>
    </xf>
    <xf numFmtId="165" fontId="7" fillId="0" borderId="9" xfId="0" applyNumberFormat="1" applyFont="1" applyBorder="1"/>
    <xf numFmtId="165" fontId="7" fillId="0" borderId="17" xfId="0" applyNumberFormat="1" applyFont="1" applyBorder="1"/>
    <xf numFmtId="165" fontId="7" fillId="0" borderId="7" xfId="0" applyNumberFormat="1" applyFont="1" applyBorder="1"/>
    <xf numFmtId="0" fontId="52" fillId="0" borderId="53" xfId="0" applyFont="1" applyBorder="1"/>
    <xf numFmtId="14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7" fillId="6" borderId="14" xfId="0" applyFont="1" applyFill="1" applyBorder="1"/>
    <xf numFmtId="0" fontId="3" fillId="6" borderId="4" xfId="0" applyFont="1" applyFill="1" applyBorder="1"/>
    <xf numFmtId="165" fontId="7" fillId="6" borderId="0" xfId="0" applyNumberFormat="1" applyFont="1" applyFill="1"/>
    <xf numFmtId="165" fontId="7" fillId="6" borderId="14" xfId="0" applyNumberFormat="1" applyFont="1" applyFill="1" applyBorder="1"/>
    <xf numFmtId="165" fontId="7" fillId="6" borderId="4" xfId="0" applyNumberFormat="1" applyFont="1" applyFill="1" applyBorder="1"/>
    <xf numFmtId="0" fontId="7" fillId="10" borderId="14" xfId="0" applyFont="1" applyFill="1" applyBorder="1"/>
    <xf numFmtId="165" fontId="3" fillId="10" borderId="4" xfId="0" applyNumberFormat="1" applyFont="1" applyFill="1" applyBorder="1"/>
    <xf numFmtId="165" fontId="3" fillId="10" borderId="0" xfId="0" applyNumberFormat="1" applyFont="1" applyFill="1"/>
    <xf numFmtId="165" fontId="3" fillId="10" borderId="14" xfId="0" applyNumberFormat="1" applyFont="1" applyFill="1" applyBorder="1"/>
    <xf numFmtId="165" fontId="9" fillId="0" borderId="12" xfId="0" applyNumberFormat="1" applyFont="1" applyBorder="1"/>
    <xf numFmtId="165" fontId="9" fillId="2" borderId="11" xfId="0" applyNumberFormat="1" applyFont="1" applyFill="1" applyBorder="1"/>
    <xf numFmtId="0" fontId="3" fillId="0" borderId="54" xfId="0" applyFont="1" applyBorder="1"/>
    <xf numFmtId="0" fontId="3" fillId="0" borderId="33" xfId="0" applyFont="1" applyBorder="1"/>
    <xf numFmtId="165" fontId="9" fillId="2" borderId="54" xfId="0" applyNumberFormat="1" applyFont="1" applyFill="1" applyBorder="1"/>
    <xf numFmtId="165" fontId="3" fillId="0" borderId="32" xfId="0" applyNumberFormat="1" applyFont="1" applyBorder="1"/>
    <xf numFmtId="165" fontId="3" fillId="0" borderId="33" xfId="0" applyNumberFormat="1" applyFont="1" applyBorder="1"/>
    <xf numFmtId="165" fontId="3" fillId="0" borderId="54" xfId="0" applyNumberFormat="1" applyFont="1" applyBorder="1"/>
    <xf numFmtId="168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172" fontId="4" fillId="0" borderId="14" xfId="0" applyNumberFormat="1" applyFont="1" applyBorder="1"/>
    <xf numFmtId="172" fontId="4" fillId="0" borderId="0" xfId="0" applyNumberFormat="1" applyFont="1" applyAlignment="1">
      <alignment horizontal="center"/>
    </xf>
    <xf numFmtId="172" fontId="3" fillId="0" borderId="0" xfId="0" applyNumberFormat="1" applyFont="1"/>
    <xf numFmtId="9" fontId="2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172" fontId="14" fillId="0" borderId="0" xfId="0" applyNumberFormat="1" applyFont="1" applyAlignment="1">
      <alignment horizontal="center"/>
    </xf>
    <xf numFmtId="0" fontId="54" fillId="0" borderId="14" xfId="0" applyFont="1" applyBorder="1"/>
    <xf numFmtId="1" fontId="54" fillId="0" borderId="0" xfId="0" applyNumberFormat="1" applyFont="1" applyAlignment="1">
      <alignment horizontal="center"/>
    </xf>
    <xf numFmtId="167" fontId="3" fillId="2" borderId="0" xfId="0" applyNumberFormat="1" applyFont="1" applyFill="1" applyAlignment="1">
      <alignment horizontal="center"/>
    </xf>
    <xf numFmtId="0" fontId="55" fillId="0" borderId="0" xfId="0" applyFont="1" applyAlignment="1">
      <alignment horizontal="center"/>
    </xf>
    <xf numFmtId="172" fontId="3" fillId="0" borderId="0" xfId="0" applyNumberFormat="1" applyFont="1" applyAlignment="1">
      <alignment horizontal="center"/>
    </xf>
    <xf numFmtId="10" fontId="54" fillId="0" borderId="0" xfId="0" applyNumberFormat="1" applyFont="1" applyAlignment="1">
      <alignment horizontal="right"/>
    </xf>
    <xf numFmtId="0" fontId="54" fillId="0" borderId="0" xfId="0" applyFont="1" applyAlignment="1">
      <alignment horizontal="center"/>
    </xf>
    <xf numFmtId="165" fontId="54" fillId="0" borderId="0" xfId="0" applyNumberFormat="1" applyFont="1" applyAlignment="1">
      <alignment horizontal="center"/>
    </xf>
    <xf numFmtId="0" fontId="56" fillId="0" borderId="3" xfId="0" applyFont="1" applyBorder="1"/>
    <xf numFmtId="165" fontId="3" fillId="0" borderId="9" xfId="0" applyNumberFormat="1" applyFont="1" applyBorder="1" applyAlignment="1">
      <alignment horizontal="center"/>
    </xf>
    <xf numFmtId="165" fontId="3" fillId="2" borderId="17" xfId="0" applyNumberFormat="1" applyFont="1" applyFill="1" applyBorder="1" applyAlignment="1">
      <alignment horizontal="center"/>
    </xf>
    <xf numFmtId="165" fontId="3" fillId="0" borderId="17" xfId="0" applyNumberFormat="1" applyFont="1" applyBorder="1" applyAlignment="1">
      <alignment horizontal="center"/>
    </xf>
    <xf numFmtId="165" fontId="15" fillId="2" borderId="11" xfId="0" applyNumberFormat="1" applyFont="1" applyFill="1" applyBorder="1"/>
    <xf numFmtId="165" fontId="15" fillId="2" borderId="12" xfId="0" applyNumberFormat="1" applyFont="1" applyFill="1" applyBorder="1"/>
    <xf numFmtId="165" fontId="15" fillId="0" borderId="11" xfId="0" applyNumberFormat="1" applyFont="1" applyBorder="1"/>
    <xf numFmtId="165" fontId="15" fillId="0" borderId="12" xfId="0" applyNumberFormat="1" applyFont="1" applyBorder="1"/>
    <xf numFmtId="165" fontId="15" fillId="2" borderId="13" xfId="0" applyNumberFormat="1" applyFont="1" applyFill="1" applyBorder="1"/>
    <xf numFmtId="165" fontId="15" fillId="0" borderId="13" xfId="0" applyNumberFormat="1" applyFont="1" applyBorder="1"/>
    <xf numFmtId="165" fontId="3" fillId="2" borderId="9" xfId="0" applyNumberFormat="1" applyFont="1" applyFill="1" applyBorder="1"/>
    <xf numFmtId="165" fontId="3" fillId="2" borderId="17" xfId="0" applyNumberFormat="1" applyFont="1" applyFill="1" applyBorder="1"/>
    <xf numFmtId="0" fontId="20" fillId="0" borderId="1" xfId="0" applyFont="1" applyBorder="1"/>
    <xf numFmtId="0" fontId="21" fillId="0" borderId="2" xfId="0" applyFont="1" applyBorder="1"/>
    <xf numFmtId="167" fontId="7" fillId="0" borderId="14" xfId="0" applyNumberFormat="1" applyFont="1" applyBorder="1"/>
    <xf numFmtId="167" fontId="7" fillId="0" borderId="0" xfId="0" applyNumberFormat="1" applyFont="1"/>
    <xf numFmtId="167" fontId="7" fillId="0" borderId="4" xfId="0" applyNumberFormat="1" applyFont="1" applyBorder="1"/>
    <xf numFmtId="167" fontId="3" fillId="2" borderId="11" xfId="0" applyNumberFormat="1" applyFont="1" applyFill="1" applyBorder="1"/>
    <xf numFmtId="167" fontId="3" fillId="2" borderId="12" xfId="0" applyNumberFormat="1" applyFont="1" applyFill="1" applyBorder="1"/>
    <xf numFmtId="167" fontId="3" fillId="2" borderId="13" xfId="0" applyNumberFormat="1" applyFont="1" applyFill="1" applyBorder="1"/>
    <xf numFmtId="167" fontId="3" fillId="2" borderId="14" xfId="0" applyNumberFormat="1" applyFont="1" applyFill="1" applyBorder="1"/>
    <xf numFmtId="167" fontId="3" fillId="2" borderId="0" xfId="0" applyNumberFormat="1" applyFont="1" applyFill="1"/>
    <xf numFmtId="167" fontId="3" fillId="2" borderId="4" xfId="0" applyNumberFormat="1" applyFont="1" applyFill="1" applyBorder="1"/>
    <xf numFmtId="167" fontId="3" fillId="2" borderId="9" xfId="0" applyNumberFormat="1" applyFont="1" applyFill="1" applyBorder="1"/>
    <xf numFmtId="167" fontId="3" fillId="2" borderId="17" xfId="0" applyNumberFormat="1" applyFont="1" applyFill="1" applyBorder="1"/>
    <xf numFmtId="167" fontId="3" fillId="2" borderId="7" xfId="0" applyNumberFormat="1" applyFont="1" applyFill="1" applyBorder="1"/>
    <xf numFmtId="167" fontId="57" fillId="0" borderId="0" xfId="0" applyNumberFormat="1" applyFont="1"/>
    <xf numFmtId="1" fontId="57" fillId="0" borderId="0" xfId="0" applyNumberFormat="1" applyFont="1"/>
    <xf numFmtId="0" fontId="2" fillId="0" borderId="50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2" borderId="0" xfId="0" applyFont="1" applyFill="1"/>
    <xf numFmtId="14" fontId="3" fillId="0" borderId="0" xfId="0" applyNumberFormat="1" applyFont="1" applyAlignment="1">
      <alignment horizontal="center"/>
    </xf>
    <xf numFmtId="165" fontId="9" fillId="0" borderId="8" xfId="0" applyNumberFormat="1" applyFont="1" applyBorder="1" applyAlignment="1">
      <alignment horizontal="center"/>
    </xf>
    <xf numFmtId="0" fontId="3" fillId="11" borderId="0" xfId="0" applyFont="1" applyFill="1"/>
    <xf numFmtId="0" fontId="0" fillId="12" borderId="0" xfId="0" applyFill="1"/>
    <xf numFmtId="0" fontId="35" fillId="13" borderId="28" xfId="0" applyFont="1" applyFill="1" applyBorder="1"/>
    <xf numFmtId="0" fontId="36" fillId="14" borderId="28" xfId="0" applyFont="1" applyFill="1" applyBorder="1" applyAlignment="1">
      <alignment horizontal="right"/>
    </xf>
    <xf numFmtId="0" fontId="36" fillId="14" borderId="28" xfId="0" applyFont="1" applyFill="1" applyBorder="1"/>
    <xf numFmtId="0" fontId="35" fillId="14" borderId="28" xfId="0" applyFont="1" applyFill="1" applyBorder="1"/>
    <xf numFmtId="0" fontId="37" fillId="12" borderId="0" xfId="0" applyFont="1" applyFill="1"/>
    <xf numFmtId="0" fontId="37" fillId="12" borderId="0" xfId="0" applyFont="1" applyFill="1" applyAlignment="1">
      <alignment horizontal="right"/>
    </xf>
    <xf numFmtId="0" fontId="3" fillId="2" borderId="0" xfId="0" applyFont="1" applyFill="1" applyAlignment="1">
      <alignment horizontal="left" vertical="top"/>
    </xf>
    <xf numFmtId="0" fontId="0" fillId="0" borderId="0" xfId="0"/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1" xfId="0" applyFont="1" applyBorder="1" applyAlignment="1">
      <alignment horizontal="center"/>
    </xf>
    <xf numFmtId="0" fontId="8" fillId="0" borderId="2" xfId="0" applyFont="1" applyBorder="1"/>
    <xf numFmtId="0" fontId="2" fillId="0" borderId="17" xfId="0" applyFont="1" applyBorder="1" applyAlignment="1">
      <alignment horizontal="center"/>
    </xf>
    <xf numFmtId="0" fontId="8" fillId="0" borderId="17" xfId="0" applyFont="1" applyBorder="1"/>
    <xf numFmtId="0" fontId="7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8" fillId="0" borderId="18" xfId="0" applyFont="1" applyBorder="1"/>
    <xf numFmtId="0" fontId="13" fillId="0" borderId="1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11" xfId="0" applyFont="1" applyBorder="1" applyAlignment="1">
      <alignment horizontal="center"/>
    </xf>
    <xf numFmtId="0" fontId="8" fillId="0" borderId="12" xfId="0" applyFont="1" applyBorder="1"/>
    <xf numFmtId="0" fontId="8" fillId="0" borderId="13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btob-leaders.com/inbound-marketing-outbound-marketing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M58"/>
  <sheetViews>
    <sheetView topLeftCell="A14" workbookViewId="0">
      <selection activeCell="C43" sqref="C43"/>
    </sheetView>
  </sheetViews>
  <sheetFormatPr baseColWidth="10" defaultColWidth="12.6640625" defaultRowHeight="15.75" customHeight="1"/>
  <cols>
    <col min="1" max="1" width="20.6640625" customWidth="1"/>
    <col min="2" max="2" width="19.1640625" customWidth="1"/>
    <col min="3" max="3" width="16" customWidth="1"/>
    <col min="6" max="6" width="20.6640625" customWidth="1"/>
  </cols>
  <sheetData>
    <row r="2" spans="1:13" ht="20">
      <c r="A2" s="1" t="s">
        <v>0</v>
      </c>
    </row>
    <row r="5" spans="1:13" ht="15.75" customHeight="1">
      <c r="A5" s="2" t="s">
        <v>1</v>
      </c>
    </row>
    <row r="6" spans="1:13" ht="15.75" customHeight="1">
      <c r="A6" s="699" t="s">
        <v>2</v>
      </c>
      <c r="B6" s="700"/>
      <c r="C6" s="700"/>
      <c r="D6" s="700"/>
      <c r="E6" s="700"/>
      <c r="F6" s="700"/>
      <c r="G6" s="700"/>
      <c r="H6" s="700"/>
      <c r="I6" s="700"/>
      <c r="J6" s="700"/>
      <c r="K6" s="700"/>
      <c r="L6" s="700"/>
      <c r="M6" s="700"/>
    </row>
    <row r="7" spans="1:13" ht="15.75" customHeight="1">
      <c r="A7" s="700"/>
      <c r="B7" s="700"/>
      <c r="C7" s="700"/>
      <c r="D7" s="700"/>
      <c r="E7" s="700"/>
      <c r="F7" s="700"/>
      <c r="G7" s="700"/>
      <c r="H7" s="700"/>
      <c r="I7" s="700"/>
      <c r="J7" s="700"/>
      <c r="K7" s="700"/>
      <c r="L7" s="700"/>
      <c r="M7" s="700"/>
    </row>
    <row r="8" spans="1:13" ht="15.75" customHeight="1">
      <c r="A8" s="700"/>
      <c r="B8" s="700"/>
      <c r="C8" s="700"/>
      <c r="D8" s="700"/>
      <c r="E8" s="700"/>
      <c r="F8" s="700"/>
      <c r="G8" s="700"/>
      <c r="H8" s="700"/>
      <c r="I8" s="700"/>
      <c r="J8" s="700"/>
      <c r="K8" s="700"/>
      <c r="L8" s="700"/>
      <c r="M8" s="700"/>
    </row>
    <row r="9" spans="1:13" ht="15.75" customHeight="1">
      <c r="A9" s="700"/>
      <c r="B9" s="700"/>
      <c r="C9" s="700"/>
      <c r="D9" s="700"/>
      <c r="E9" s="700"/>
      <c r="F9" s="700"/>
      <c r="G9" s="700"/>
      <c r="H9" s="700"/>
      <c r="I9" s="700"/>
      <c r="J9" s="700"/>
      <c r="K9" s="700"/>
      <c r="L9" s="700"/>
      <c r="M9" s="700"/>
    </row>
    <row r="10" spans="1:13" ht="15.75" customHeight="1">
      <c r="A10" s="700"/>
      <c r="B10" s="700"/>
      <c r="C10" s="700"/>
      <c r="D10" s="700"/>
      <c r="E10" s="700"/>
      <c r="F10" s="700"/>
      <c r="G10" s="700"/>
      <c r="H10" s="700"/>
      <c r="I10" s="700"/>
      <c r="J10" s="700"/>
      <c r="K10" s="700"/>
      <c r="L10" s="700"/>
      <c r="M10" s="700"/>
    </row>
    <row r="11" spans="1:13" ht="15.75" customHeight="1">
      <c r="A11" s="2"/>
    </row>
    <row r="12" spans="1:13" ht="15.75" customHeight="1">
      <c r="A12" s="2" t="s">
        <v>3</v>
      </c>
    </row>
    <row r="13" spans="1:13" ht="15.75" customHeight="1">
      <c r="A13" s="701" t="s">
        <v>4</v>
      </c>
      <c r="B13" s="700"/>
      <c r="C13" s="700"/>
      <c r="D13" s="700"/>
      <c r="E13" s="700"/>
      <c r="F13" s="700"/>
      <c r="G13" s="700"/>
      <c r="H13" s="700"/>
      <c r="I13" s="700"/>
      <c r="J13" s="700"/>
      <c r="K13" s="700"/>
      <c r="L13" s="700"/>
      <c r="M13" s="700"/>
    </row>
    <row r="14" spans="1:13" ht="15.75" customHeight="1">
      <c r="A14" s="700"/>
      <c r="B14" s="700"/>
      <c r="C14" s="700"/>
      <c r="D14" s="700"/>
      <c r="E14" s="700"/>
      <c r="F14" s="700"/>
      <c r="G14" s="700"/>
      <c r="H14" s="700"/>
      <c r="I14" s="700"/>
      <c r="J14" s="700"/>
      <c r="K14" s="700"/>
      <c r="L14" s="700"/>
      <c r="M14" s="700"/>
    </row>
    <row r="15" spans="1:13" ht="15.75" customHeight="1">
      <c r="A15" s="700"/>
      <c r="B15" s="700"/>
      <c r="C15" s="700"/>
      <c r="D15" s="700"/>
      <c r="E15" s="700"/>
      <c r="F15" s="700"/>
      <c r="G15" s="700"/>
      <c r="H15" s="700"/>
      <c r="I15" s="700"/>
      <c r="J15" s="700"/>
      <c r="K15" s="700"/>
      <c r="L15" s="700"/>
      <c r="M15" s="700"/>
    </row>
    <row r="16" spans="1:13" ht="15.75" customHeight="1">
      <c r="A16" s="700"/>
      <c r="B16" s="700"/>
      <c r="C16" s="700"/>
      <c r="D16" s="700"/>
      <c r="E16" s="700"/>
      <c r="F16" s="700"/>
      <c r="G16" s="700"/>
      <c r="H16" s="700"/>
      <c r="I16" s="700"/>
      <c r="J16" s="700"/>
      <c r="K16" s="700"/>
      <c r="L16" s="700"/>
      <c r="M16" s="700"/>
    </row>
    <row r="17" spans="1:13" ht="15.75" customHeight="1">
      <c r="A17" s="700"/>
      <c r="B17" s="700"/>
      <c r="C17" s="700"/>
      <c r="D17" s="700"/>
      <c r="E17" s="700"/>
      <c r="F17" s="700"/>
      <c r="G17" s="700"/>
      <c r="H17" s="700"/>
      <c r="I17" s="700"/>
      <c r="J17" s="700"/>
      <c r="K17" s="700"/>
      <c r="L17" s="700"/>
      <c r="M17" s="700"/>
    </row>
    <row r="18" spans="1:13" ht="15.75" customHeight="1">
      <c r="A18" s="3"/>
      <c r="B18" s="4"/>
      <c r="C18" s="5"/>
    </row>
    <row r="19" spans="1:13" ht="15.75" customHeight="1">
      <c r="A19" s="2" t="s">
        <v>5</v>
      </c>
      <c r="B19" s="4"/>
      <c r="C19" s="6"/>
    </row>
    <row r="20" spans="1:13" ht="15.75" customHeight="1">
      <c r="A20" s="702" t="s">
        <v>6</v>
      </c>
      <c r="B20" s="700"/>
      <c r="C20" s="700"/>
      <c r="D20" s="700"/>
      <c r="E20" s="700"/>
      <c r="F20" s="700"/>
      <c r="G20" s="700"/>
      <c r="H20" s="700"/>
      <c r="I20" s="700"/>
      <c r="J20" s="700"/>
      <c r="K20" s="700"/>
      <c r="L20" s="700"/>
      <c r="M20" s="700"/>
    </row>
    <row r="21" spans="1:13" ht="15.75" customHeight="1">
      <c r="A21" s="700"/>
      <c r="B21" s="700"/>
      <c r="C21" s="700"/>
      <c r="D21" s="700"/>
      <c r="E21" s="700"/>
      <c r="F21" s="700"/>
      <c r="G21" s="700"/>
      <c r="H21" s="700"/>
      <c r="I21" s="700"/>
      <c r="J21" s="700"/>
      <c r="K21" s="700"/>
      <c r="L21" s="700"/>
      <c r="M21" s="700"/>
    </row>
    <row r="22" spans="1:13" ht="15.75" customHeight="1">
      <c r="A22" s="700"/>
      <c r="B22" s="700"/>
      <c r="C22" s="700"/>
      <c r="D22" s="700"/>
      <c r="E22" s="700"/>
      <c r="F22" s="700"/>
      <c r="G22" s="700"/>
      <c r="H22" s="700"/>
      <c r="I22" s="700"/>
      <c r="J22" s="700"/>
      <c r="K22" s="700"/>
      <c r="L22" s="700"/>
      <c r="M22" s="700"/>
    </row>
    <row r="23" spans="1:13" ht="15.75" customHeight="1">
      <c r="A23" s="700"/>
      <c r="B23" s="700"/>
      <c r="C23" s="700"/>
      <c r="D23" s="700"/>
      <c r="E23" s="700"/>
      <c r="F23" s="700"/>
      <c r="G23" s="700"/>
      <c r="H23" s="700"/>
      <c r="I23" s="700"/>
      <c r="J23" s="700"/>
      <c r="K23" s="700"/>
      <c r="L23" s="700"/>
      <c r="M23" s="700"/>
    </row>
    <row r="24" spans="1:13" ht="15.75" customHeight="1">
      <c r="A24" s="700"/>
      <c r="B24" s="700"/>
      <c r="C24" s="700"/>
      <c r="D24" s="700"/>
      <c r="E24" s="700"/>
      <c r="F24" s="700"/>
      <c r="G24" s="700"/>
      <c r="H24" s="700"/>
      <c r="I24" s="700"/>
      <c r="J24" s="700"/>
      <c r="K24" s="700"/>
      <c r="L24" s="700"/>
      <c r="M24" s="700"/>
    </row>
    <row r="25" spans="1:13" ht="15.75" customHeight="1">
      <c r="A25" s="700"/>
      <c r="B25" s="700"/>
      <c r="C25" s="700"/>
      <c r="D25" s="700"/>
      <c r="E25" s="700"/>
      <c r="F25" s="700"/>
      <c r="G25" s="700"/>
      <c r="H25" s="700"/>
      <c r="I25" s="700"/>
      <c r="J25" s="700"/>
      <c r="K25" s="700"/>
      <c r="L25" s="700"/>
      <c r="M25" s="700"/>
    </row>
    <row r="27" spans="1:13" ht="15.75" customHeight="1">
      <c r="A27" s="2" t="s">
        <v>7</v>
      </c>
    </row>
    <row r="28" spans="1:13" ht="15.75" customHeight="1">
      <c r="A28" s="701" t="s">
        <v>8</v>
      </c>
      <c r="B28" s="700"/>
      <c r="C28" s="700"/>
      <c r="D28" s="700"/>
      <c r="E28" s="700"/>
      <c r="F28" s="700"/>
      <c r="G28" s="700"/>
      <c r="H28" s="700"/>
      <c r="I28" s="700"/>
      <c r="J28" s="700"/>
      <c r="K28" s="700"/>
      <c r="L28" s="700"/>
      <c r="M28" s="700"/>
    </row>
    <row r="29" spans="1:13" ht="15.75" customHeight="1">
      <c r="A29" s="700"/>
      <c r="B29" s="700"/>
      <c r="C29" s="700"/>
      <c r="D29" s="700"/>
      <c r="E29" s="700"/>
      <c r="F29" s="700"/>
      <c r="G29" s="700"/>
      <c r="H29" s="700"/>
      <c r="I29" s="700"/>
      <c r="J29" s="700"/>
      <c r="K29" s="700"/>
      <c r="L29" s="700"/>
      <c r="M29" s="700"/>
    </row>
    <row r="30" spans="1:13" ht="15.75" customHeight="1">
      <c r="A30" s="700"/>
      <c r="B30" s="700"/>
      <c r="C30" s="700"/>
      <c r="D30" s="700"/>
      <c r="E30" s="700"/>
      <c r="F30" s="700"/>
      <c r="G30" s="700"/>
      <c r="H30" s="700"/>
      <c r="I30" s="700"/>
      <c r="J30" s="700"/>
      <c r="K30" s="700"/>
      <c r="L30" s="700"/>
      <c r="M30" s="700"/>
    </row>
    <row r="31" spans="1:13" ht="15.75" customHeight="1">
      <c r="A31" s="700"/>
      <c r="B31" s="700"/>
      <c r="C31" s="700"/>
      <c r="D31" s="700"/>
      <c r="E31" s="700"/>
      <c r="F31" s="700"/>
      <c r="G31" s="700"/>
      <c r="H31" s="700"/>
      <c r="I31" s="700"/>
      <c r="J31" s="700"/>
      <c r="K31" s="700"/>
      <c r="L31" s="700"/>
      <c r="M31" s="700"/>
    </row>
    <row r="32" spans="1:13" ht="15.75" customHeight="1">
      <c r="A32" s="700"/>
      <c r="B32" s="700"/>
      <c r="C32" s="700"/>
      <c r="D32" s="700"/>
      <c r="E32" s="700"/>
      <c r="F32" s="700"/>
      <c r="G32" s="700"/>
      <c r="H32" s="700"/>
      <c r="I32" s="700"/>
      <c r="J32" s="700"/>
      <c r="K32" s="700"/>
      <c r="L32" s="700"/>
      <c r="M32" s="700"/>
    </row>
    <row r="33" spans="1:13" ht="15.75" customHeight="1">
      <c r="A33" s="700"/>
      <c r="B33" s="700"/>
      <c r="C33" s="700"/>
      <c r="D33" s="700"/>
      <c r="E33" s="700"/>
      <c r="F33" s="700"/>
      <c r="G33" s="700"/>
      <c r="H33" s="700"/>
      <c r="I33" s="700"/>
      <c r="J33" s="700"/>
      <c r="K33" s="700"/>
      <c r="L33" s="700"/>
      <c r="M33" s="700"/>
    </row>
    <row r="34" spans="1:13" ht="15.75" customHeight="1">
      <c r="A34" s="700"/>
      <c r="B34" s="700"/>
      <c r="C34" s="700"/>
      <c r="D34" s="700"/>
      <c r="E34" s="700"/>
      <c r="F34" s="700"/>
      <c r="G34" s="700"/>
      <c r="H34" s="700"/>
      <c r="I34" s="700"/>
      <c r="J34" s="700"/>
      <c r="K34" s="700"/>
      <c r="L34" s="700"/>
      <c r="M34" s="700"/>
    </row>
    <row r="37" spans="1:13" ht="15.75" customHeight="1">
      <c r="B37" s="703" t="s">
        <v>9</v>
      </c>
      <c r="C37" s="704"/>
      <c r="E37" s="8"/>
      <c r="F37" s="703" t="s">
        <v>10</v>
      </c>
      <c r="G37" s="704"/>
    </row>
    <row r="38" spans="1:13" ht="15.75" customHeight="1">
      <c r="B38" s="9" t="s">
        <v>11</v>
      </c>
      <c r="C38" s="10" t="s">
        <v>12</v>
      </c>
      <c r="E38" s="11"/>
      <c r="F38" s="9" t="s">
        <v>13</v>
      </c>
      <c r="G38" s="12">
        <f>'Annexe E  Financement'!$B$20</f>
        <v>46082</v>
      </c>
    </row>
    <row r="39" spans="1:13" ht="15.75" customHeight="1">
      <c r="B39" s="13" t="s">
        <v>14</v>
      </c>
      <c r="C39" s="10" t="s">
        <v>15</v>
      </c>
      <c r="E39" s="11"/>
      <c r="F39" s="13" t="s">
        <v>16</v>
      </c>
      <c r="G39" s="12">
        <f>G43</f>
        <v>47515</v>
      </c>
    </row>
    <row r="40" spans="1:13" ht="15.75" customHeight="1">
      <c r="B40" s="13" t="s">
        <v>17</v>
      </c>
      <c r="C40" s="10" t="s">
        <v>12</v>
      </c>
      <c r="E40" s="11"/>
      <c r="F40" s="13" t="s">
        <v>18</v>
      </c>
      <c r="G40" s="12">
        <f t="shared" ref="G40:G42" si="0">G39+366</f>
        <v>47881</v>
      </c>
    </row>
    <row r="41" spans="1:13" ht="15.75" customHeight="1">
      <c r="B41" s="13" t="s">
        <v>19</v>
      </c>
      <c r="C41" s="10" t="s">
        <v>12</v>
      </c>
      <c r="E41" s="11"/>
      <c r="F41" s="13" t="s">
        <v>20</v>
      </c>
      <c r="G41" s="12">
        <f t="shared" si="0"/>
        <v>48247</v>
      </c>
    </row>
    <row r="42" spans="1:13" ht="15.75" customHeight="1">
      <c r="B42" s="13" t="s">
        <v>21</v>
      </c>
      <c r="C42" s="14">
        <v>0</v>
      </c>
      <c r="E42" s="11"/>
      <c r="F42" s="13" t="s">
        <v>22</v>
      </c>
      <c r="G42" s="12">
        <f t="shared" si="0"/>
        <v>48613</v>
      </c>
    </row>
    <row r="43" spans="1:13" ht="15.75" customHeight="1">
      <c r="B43" s="13" t="s">
        <v>23</v>
      </c>
      <c r="C43" s="15">
        <v>47515</v>
      </c>
      <c r="D43" s="11">
        <v>0</v>
      </c>
      <c r="F43" s="13" t="s">
        <v>24</v>
      </c>
      <c r="G43" s="12">
        <f>C43</f>
        <v>47515</v>
      </c>
    </row>
    <row r="44" spans="1:13" ht="15.75" customHeight="1">
      <c r="B44" s="13" t="s">
        <v>25</v>
      </c>
      <c r="C44" s="16">
        <f ca="1">'Prévisionnel annuel'!O10</f>
        <v>201756.46534462395</v>
      </c>
      <c r="F44" s="13"/>
      <c r="G44" s="13"/>
    </row>
    <row r="45" spans="1:13" ht="15.75" customHeight="1">
      <c r="B45" s="17" t="s">
        <v>26</v>
      </c>
      <c r="C45" s="18">
        <f ca="1">Trésorerie!D32</f>
        <v>46722</v>
      </c>
      <c r="F45" s="17"/>
      <c r="G45" s="17"/>
    </row>
    <row r="47" spans="1:13" ht="15.75" customHeight="1">
      <c r="B47" s="19" t="s">
        <v>27</v>
      </c>
      <c r="C47" s="20" t="str">
        <f ca="1">_xlfn.IFNA(Trésorerie!C33,"Pas avant 2032")</f>
        <v>Pas avant 2032</v>
      </c>
    </row>
    <row r="49" spans="3:4" ht="15.75" customHeight="1">
      <c r="D49" s="11" t="s">
        <v>28</v>
      </c>
    </row>
    <row r="58" spans="3:4" ht="13">
      <c r="C58" s="21"/>
    </row>
  </sheetData>
  <mergeCells count="6">
    <mergeCell ref="A6:M10"/>
    <mergeCell ref="A13:M17"/>
    <mergeCell ref="A20:M25"/>
    <mergeCell ref="A28:M34"/>
    <mergeCell ref="B37:C37"/>
    <mergeCell ref="F37:G37"/>
  </mergeCells>
  <dataValidations count="2">
    <dataValidation type="list" allowBlank="1" showErrorMessage="1" sqref="C38 C40:C41" xr:uid="{00000000-0002-0000-0000-000000000000}">
      <formula1>"Optimiste,Standard,Conservateur"</formula1>
    </dataValidation>
    <dataValidation type="list" allowBlank="1" showErrorMessage="1" sqref="C39" xr:uid="{00000000-0002-0000-0000-000002000000}">
      <formula1>"Simulation"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I18"/>
  <sheetViews>
    <sheetView tabSelected="1" workbookViewId="0"/>
  </sheetViews>
  <sheetFormatPr baseColWidth="10" defaultColWidth="12.6640625" defaultRowHeight="15.75" customHeight="1"/>
  <cols>
    <col min="2" max="2" width="24.1640625" customWidth="1"/>
    <col min="3" max="3" width="17.6640625" customWidth="1"/>
    <col min="4" max="4" width="14.1640625" customWidth="1"/>
    <col min="8" max="8" width="15.33203125" customWidth="1"/>
  </cols>
  <sheetData>
    <row r="3" spans="1:9" ht="13">
      <c r="C3" s="7" t="s">
        <v>29</v>
      </c>
      <c r="D3" s="22" t="s">
        <v>17</v>
      </c>
      <c r="E3" s="23" t="s">
        <v>19</v>
      </c>
      <c r="F3" s="24"/>
      <c r="G3" s="25" t="s">
        <v>30</v>
      </c>
      <c r="H3" s="22" t="s">
        <v>21</v>
      </c>
    </row>
    <row r="4" spans="1:9" ht="13">
      <c r="B4" s="11" t="s">
        <v>31</v>
      </c>
      <c r="C4" s="26" t="str">
        <f>'Prévisionnel annuel'!O3</f>
        <v>Standard</v>
      </c>
      <c r="D4" s="27" t="str">
        <f>'Prévisionnel annuel'!O5</f>
        <v>Standard</v>
      </c>
      <c r="E4" s="28" t="str">
        <f>'Prévisionnel annuel'!O6</f>
        <v>Standard</v>
      </c>
      <c r="F4" s="29"/>
      <c r="G4" s="26" t="str">
        <f>'Prévisionnel annuel'!O4</f>
        <v>Simulation</v>
      </c>
      <c r="H4" s="30">
        <f>'Prévisionnel annuel'!O7</f>
        <v>0</v>
      </c>
    </row>
    <row r="6" spans="1:9" ht="13">
      <c r="A6" s="31"/>
    </row>
    <row r="7" spans="1:9" ht="13">
      <c r="A7" s="31"/>
    </row>
    <row r="8" spans="1:9" ht="13">
      <c r="B8" s="32"/>
      <c r="C8" s="33">
        <v>2025</v>
      </c>
      <c r="D8" s="34">
        <v>2026</v>
      </c>
      <c r="E8" s="35">
        <v>2027</v>
      </c>
      <c r="F8" s="34">
        <v>2028</v>
      </c>
      <c r="G8" s="35">
        <v>2029</v>
      </c>
      <c r="H8" s="34">
        <v>2030</v>
      </c>
      <c r="I8" s="36">
        <v>2031</v>
      </c>
    </row>
    <row r="9" spans="1:9" ht="13">
      <c r="B9" s="37" t="s">
        <v>32</v>
      </c>
      <c r="C9" s="38">
        <f t="shared" ref="C9:I9" si="0">C10+C11</f>
        <v>660000</v>
      </c>
      <c r="D9" s="38">
        <f t="shared" ca="1" si="0"/>
        <v>836912.94231033197</v>
      </c>
      <c r="E9" s="38">
        <f t="shared" ca="1" si="0"/>
        <v>1213042.4669962563</v>
      </c>
      <c r="F9" s="39">
        <f t="shared" ca="1" si="0"/>
        <v>1704444.60705356</v>
      </c>
      <c r="G9" s="38">
        <f t="shared" ca="1" si="0"/>
        <v>2329801.846879153</v>
      </c>
      <c r="H9" s="39">
        <f t="shared" ca="1" si="0"/>
        <v>4016646.1461067344</v>
      </c>
      <c r="I9" s="39">
        <f t="shared" ca="1" si="0"/>
        <v>10524398.058184359</v>
      </c>
    </row>
    <row r="10" spans="1:9" ht="13">
      <c r="B10" s="40" t="s">
        <v>33</v>
      </c>
      <c r="C10" s="41">
        <f>'Prévisionnel annuel'!D6</f>
        <v>650000</v>
      </c>
      <c r="D10" s="41">
        <f ca="1">SUM(Ventes!J4:U4)</f>
        <v>810992.43894903548</v>
      </c>
      <c r="E10" s="42">
        <f ca="1">SUM(OFFSET(Ventes!$J4:$U4,0,12))</f>
        <v>1120863.3313108773</v>
      </c>
      <c r="F10" s="41">
        <f ca="1">SUM(OFFSET(Ventes!$J4:$U4,0,24))</f>
        <v>1435720.0711639493</v>
      </c>
      <c r="G10" s="42">
        <f ca="1">SUM(OFFSET(Ventes!$J4:$U4,0,36))</f>
        <v>1771593.7623708618</v>
      </c>
      <c r="H10" s="41">
        <f ca="1">SUM(OFFSET(Ventes!$J4:$U4,0,48))</f>
        <v>2782173.8221093118</v>
      </c>
      <c r="I10" s="41">
        <f ca="1">SUM(OFFSET(Ventes!$J4:$U4,0,60))</f>
        <v>6775578.9955379702</v>
      </c>
    </row>
    <row r="11" spans="1:9" ht="13">
      <c r="B11" s="43" t="s">
        <v>34</v>
      </c>
      <c r="C11" s="41">
        <f>'Prévisionnel annuel'!D7</f>
        <v>10000</v>
      </c>
      <c r="D11" s="41">
        <f ca="1">SUM(Ventes!J8:U8)</f>
        <v>25920.503361296505</v>
      </c>
      <c r="E11" s="42">
        <f ca="1">SUM(OFFSET(Ventes!$J8:$U8,0,12))</f>
        <v>92179.135685378875</v>
      </c>
      <c r="F11" s="44">
        <f ca="1">SUM(OFFSET(Ventes!$J8:$U8,0,24))</f>
        <v>268724.53588961065</v>
      </c>
      <c r="G11" s="42">
        <f ca="1">SUM(OFFSET(Ventes!$J8:$U8,0,36))</f>
        <v>558208.08450829121</v>
      </c>
      <c r="H11" s="44">
        <f ca="1">SUM(OFFSET(Ventes!$J8:$U8,0,48))</f>
        <v>1234472.3239974226</v>
      </c>
      <c r="I11" s="44">
        <f ca="1">SUM(OFFSET(Ventes!$J8:$U8,0,60))</f>
        <v>3748819.0626463881</v>
      </c>
    </row>
    <row r="12" spans="1:9" ht="13">
      <c r="B12" s="37" t="s">
        <v>35</v>
      </c>
      <c r="C12" s="45">
        <f t="shared" ref="C12:I12" si="1">C13</f>
        <v>177.65662834061996</v>
      </c>
      <c r="D12" s="45">
        <f t="shared" ca="1" si="1"/>
        <v>224.53008230862687</v>
      </c>
      <c r="E12" s="45">
        <f t="shared" ca="1" si="1"/>
        <v>284.65376406112449</v>
      </c>
      <c r="F12" s="45">
        <f t="shared" ca="1" si="1"/>
        <v>348.07281468626542</v>
      </c>
      <c r="G12" s="45">
        <f t="shared" ca="1" si="1"/>
        <v>416.7312120587128</v>
      </c>
      <c r="H12" s="45">
        <f t="shared" ca="1" si="1"/>
        <v>826.35105791968954</v>
      </c>
      <c r="I12" s="46">
        <f t="shared" ca="1" si="1"/>
        <v>2128.5564734016216</v>
      </c>
    </row>
    <row r="13" spans="1:9" ht="13" hidden="1">
      <c r="B13" s="40" t="s">
        <v>36</v>
      </c>
      <c r="C13" s="47">
        <f>Ventes!I19</f>
        <v>177.65662834061996</v>
      </c>
      <c r="D13" s="48">
        <f ca="1">Ventes!U19</f>
        <v>224.53008230862687</v>
      </c>
      <c r="E13" s="49">
        <f ca="1">OFFSET(Ventes!$U$19,0,12)</f>
        <v>284.65376406112449</v>
      </c>
      <c r="F13" s="48">
        <f ca="1">OFFSET(Ventes!$U$19,0,24)</f>
        <v>348.07281468626542</v>
      </c>
      <c r="G13" s="49">
        <f ca="1">OFFSET(Ventes!$U$19,0,36)</f>
        <v>416.7312120587128</v>
      </c>
      <c r="H13" s="48">
        <f ca="1">OFFSET(Ventes!$U$19,0,48)</f>
        <v>826.35105791968954</v>
      </c>
      <c r="I13" s="48">
        <f ca="1">OFFSET(Ventes!$U$19,0,60)</f>
        <v>2128.5564734016216</v>
      </c>
    </row>
    <row r="14" spans="1:9" ht="13">
      <c r="B14" s="40" t="s">
        <v>37</v>
      </c>
      <c r="C14" s="50">
        <f>Hypothèses!B71</f>
        <v>0.05</v>
      </c>
      <c r="D14" s="50">
        <f>Hypothèses!C71</f>
        <v>0.1</v>
      </c>
      <c r="E14" s="50">
        <f>Hypothèses!D71</f>
        <v>0.25</v>
      </c>
      <c r="F14" s="50">
        <f>Hypothèses!E71</f>
        <v>0.45</v>
      </c>
      <c r="G14" s="50">
        <f>Hypothèses!F71</f>
        <v>0.6</v>
      </c>
      <c r="H14" s="50">
        <f>Hypothèses!G71</f>
        <v>0.65</v>
      </c>
      <c r="I14" s="50">
        <f>Hypothèses!H71</f>
        <v>0.65</v>
      </c>
    </row>
    <row r="15" spans="1:9" ht="13">
      <c r="B15" s="43" t="s">
        <v>38</v>
      </c>
      <c r="C15" s="51">
        <f>Hypothèses!B72</f>
        <v>0.08</v>
      </c>
      <c r="D15" s="51">
        <f>Hypothèses!C72</f>
        <v>0.09</v>
      </c>
      <c r="E15" s="51">
        <f>Hypothèses!D72</f>
        <v>0.12</v>
      </c>
      <c r="F15" s="51">
        <f>Hypothèses!E72</f>
        <v>0.18</v>
      </c>
      <c r="G15" s="51">
        <f>Hypothèses!F72</f>
        <v>0.25</v>
      </c>
      <c r="H15" s="51">
        <f>Hypothèses!G72</f>
        <v>0.35</v>
      </c>
      <c r="I15" s="51">
        <f>Hypothèses!H72</f>
        <v>0.45</v>
      </c>
    </row>
    <row r="16" spans="1:9" ht="13">
      <c r="B16" s="52" t="s">
        <v>39</v>
      </c>
      <c r="C16" s="53">
        <f>'Prévisionnel annuel'!D14/'Prévisionnel annuel'!D5</f>
        <v>-6.2799999999999995E-2</v>
      </c>
      <c r="D16" s="53">
        <f ca="1">'Prévisionnel annuel'!E14/'Prévisionnel annuel'!E5</f>
        <v>-0.32722408166959022</v>
      </c>
      <c r="E16" s="53">
        <f ca="1">'Prévisionnel annuel'!F14/'Prévisionnel annuel'!F5</f>
        <v>-0.15925648331824793</v>
      </c>
      <c r="F16" s="53">
        <f ca="1">'Prévisionnel annuel'!G14/'Prévisionnel annuel'!G5</f>
        <v>9.0617986326645139E-2</v>
      </c>
      <c r="G16" s="53">
        <f ca="1">'Prévisionnel annuel'!H14/'Prévisionnel annuel'!H5</f>
        <v>0.2207140053375907</v>
      </c>
      <c r="H16" s="53">
        <f ca="1">'Prévisionnel annuel'!I14/'Prévisionnel annuel'!I5</f>
        <v>3.70051792893775E-2</v>
      </c>
      <c r="I16" s="54">
        <f ca="1">'Prévisionnel annuel'!J14/'Prévisionnel annuel'!J5</f>
        <v>0.25646798732553494</v>
      </c>
    </row>
    <row r="17" spans="2:9" ht="13">
      <c r="B17" s="55" t="s">
        <v>40</v>
      </c>
      <c r="C17" s="56">
        <f ca="1">Trésorerie!I15</f>
        <v>471063.09156012331</v>
      </c>
      <c r="D17" s="57">
        <f ca="1">OFFSET(Trésorerie!$I15,0,12)</f>
        <v>494393.50298922526</v>
      </c>
      <c r="E17" s="57">
        <f ca="1">OFFSET(Trésorerie!$I15,0,24)</f>
        <v>201756.46534462395</v>
      </c>
      <c r="F17" s="57">
        <f ca="1">OFFSET(Trésorerie!$I15,0,36)</f>
        <v>460489.32405479677</v>
      </c>
      <c r="G17" s="57">
        <f ca="1">OFFSET(Trésorerie!$I15,0,48)</f>
        <v>1044551.0413865101</v>
      </c>
      <c r="H17" s="57">
        <f ca="1">OFFSET(Trésorerie!$I15,0,60)</f>
        <v>1284612.4859304707</v>
      </c>
      <c r="I17" s="57">
        <f ca="1">OFFSET(Trésorerie!$I15,0,72)</f>
        <v>3945708.2903943411</v>
      </c>
    </row>
    <row r="18" spans="2:9" ht="13">
      <c r="B18" s="58" t="s">
        <v>41</v>
      </c>
      <c r="C18" s="26">
        <f>'Annexe A  Plan RH'!$W92</f>
        <v>11</v>
      </c>
      <c r="D18" s="26">
        <f ca="1">OFFSET('Annexe A  Plan RH'!$W92,0,12)</f>
        <v>15</v>
      </c>
      <c r="E18" s="26">
        <f ca="1">OFFSET('Annexe A  Plan RH'!$W92,0,24)</f>
        <v>15</v>
      </c>
      <c r="F18" s="26">
        <f ca="1">OFFSET('Annexe A  Plan RH'!$W92,0,36)</f>
        <v>15</v>
      </c>
      <c r="G18" s="26">
        <f ca="1">OFFSET('Annexe A  Plan RH'!$W92,0,48)</f>
        <v>18</v>
      </c>
      <c r="H18" s="26">
        <f ca="1">OFFSET('Annexe A  Plan RH'!$W92,0,60)</f>
        <v>42</v>
      </c>
      <c r="I18" s="59">
        <f ca="1">OFFSET('Annexe A  Plan RH'!$W92,0,72)</f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25"/>
  <sheetViews>
    <sheetView workbookViewId="0"/>
  </sheetViews>
  <sheetFormatPr baseColWidth="10" defaultColWidth="12.6640625" defaultRowHeight="15.75" customHeight="1" outlineLevelCol="1"/>
  <cols>
    <col min="2" max="2" width="31.33203125" customWidth="1"/>
    <col min="11" max="11" width="12.6640625" hidden="1"/>
    <col min="13" max="13" width="24.33203125" customWidth="1" collapsed="1"/>
    <col min="14" max="15" width="24.33203125" hidden="1" customWidth="1" outlineLevel="1"/>
    <col min="16" max="16" width="12.6640625" hidden="1" outlineLevel="1"/>
    <col min="17" max="18" width="22" hidden="1" customWidth="1" outlineLevel="1"/>
    <col min="19" max="19" width="20.1640625" hidden="1" customWidth="1" outlineLevel="1"/>
  </cols>
  <sheetData>
    <row r="1" spans="1:19" ht="13">
      <c r="A1" s="60"/>
    </row>
    <row r="2" spans="1:19" ht="13">
      <c r="M2" s="8"/>
      <c r="N2" s="703" t="s">
        <v>42</v>
      </c>
      <c r="O2" s="704"/>
      <c r="Q2" s="8"/>
      <c r="R2" s="703" t="s">
        <v>43</v>
      </c>
      <c r="S2" s="704"/>
    </row>
    <row r="3" spans="1:19" ht="14">
      <c r="A3" s="61"/>
      <c r="B3" s="62"/>
      <c r="C3" s="63" t="s">
        <v>44</v>
      </c>
      <c r="D3" s="64" t="s">
        <v>45</v>
      </c>
      <c r="E3" s="64" t="s">
        <v>46</v>
      </c>
      <c r="F3" s="64" t="s">
        <v>47</v>
      </c>
      <c r="G3" s="64" t="s">
        <v>48</v>
      </c>
      <c r="H3" s="64" t="s">
        <v>49</v>
      </c>
      <c r="I3" s="64" t="s">
        <v>50</v>
      </c>
      <c r="J3" s="64" t="s">
        <v>51</v>
      </c>
      <c r="K3" s="64" t="s">
        <v>52</v>
      </c>
      <c r="M3" s="11"/>
      <c r="N3" s="9" t="s">
        <v>11</v>
      </c>
      <c r="O3" s="65" t="str">
        <f>'Plan stratégique  likewatt'!C38</f>
        <v>Standard</v>
      </c>
      <c r="Q3" s="11"/>
      <c r="R3" s="9" t="str">
        <f>'Plan stratégique  likewatt'!F38</f>
        <v>Début WP 3 R&amp;D</v>
      </c>
      <c r="S3" s="66">
        <f>'Plan stratégique  likewatt'!G38</f>
        <v>46082</v>
      </c>
    </row>
    <row r="4" spans="1:19" ht="14">
      <c r="A4" s="61"/>
      <c r="B4" s="67"/>
      <c r="C4" s="68">
        <v>2024</v>
      </c>
      <c r="D4" s="69">
        <v>2025</v>
      </c>
      <c r="E4" s="68">
        <v>2026</v>
      </c>
      <c r="F4" s="68">
        <v>2027</v>
      </c>
      <c r="G4" s="68">
        <v>2028</v>
      </c>
      <c r="H4" s="68">
        <v>2029</v>
      </c>
      <c r="I4" s="68">
        <v>2030</v>
      </c>
      <c r="J4" s="68">
        <v>2031</v>
      </c>
      <c r="K4" s="68">
        <v>2032</v>
      </c>
      <c r="M4" s="11"/>
      <c r="N4" s="13" t="s">
        <v>14</v>
      </c>
      <c r="O4" s="65" t="str">
        <f>'Plan stratégique  likewatt'!C39</f>
        <v>Simulation</v>
      </c>
      <c r="Q4" s="11"/>
      <c r="R4" s="9" t="str">
        <f>'Plan stratégique  likewatt'!F39</f>
        <v>Début ES</v>
      </c>
      <c r="S4" s="66">
        <f>'Plan stratégique  likewatt'!G39</f>
        <v>47515</v>
      </c>
    </row>
    <row r="5" spans="1:19" ht="15">
      <c r="A5" s="70"/>
      <c r="B5" s="71" t="s">
        <v>53</v>
      </c>
      <c r="C5" s="72">
        <f t="shared" ref="C5:D5" si="0">SUM(C6:C8)</f>
        <v>643214</v>
      </c>
      <c r="D5" s="72">
        <f t="shared" si="0"/>
        <v>670000</v>
      </c>
      <c r="E5" s="73">
        <f ca="1">SUM(Ventes!J3:U3)</f>
        <v>850072.77451621345</v>
      </c>
      <c r="F5" s="73">
        <f ca="1">SUM(Ventes!V3:AG3)</f>
        <v>1237725.3209211263</v>
      </c>
      <c r="G5" s="73">
        <f ca="1">SUM(Ventes!AH3:AS3)</f>
        <v>1732141.6838331583</v>
      </c>
      <c r="H5" s="73">
        <f ca="1">SUM(Ventes!AT3:BE3)</f>
        <v>2351078.6853452092</v>
      </c>
      <c r="I5" s="73">
        <f ca="1">SUM(Ventes!BF3:BQ3)</f>
        <v>4096388.4828421199</v>
      </c>
      <c r="J5" s="73">
        <f ca="1">SUM(Ventes!BR3:CC3)</f>
        <v>10768417.46510338</v>
      </c>
      <c r="K5" s="74">
        <f ca="1">SUM(Ventes!BH3:BS3)</f>
        <v>4793848.6754620029</v>
      </c>
      <c r="M5" s="11"/>
      <c r="N5" s="13" t="s">
        <v>17</v>
      </c>
      <c r="O5" s="65" t="str">
        <f>'Plan stratégique  likewatt'!C40</f>
        <v>Standard</v>
      </c>
      <c r="Q5" s="11"/>
      <c r="R5" s="9" t="str">
        <f>'Plan stratégique  likewatt'!F40</f>
        <v>Début CH</v>
      </c>
      <c r="S5" s="66">
        <f>'Plan stratégique  likewatt'!G40</f>
        <v>47881</v>
      </c>
    </row>
    <row r="6" spans="1:19" ht="14">
      <c r="A6" s="3"/>
      <c r="B6" s="75" t="s">
        <v>54</v>
      </c>
      <c r="C6" s="76">
        <f>549325+7118</f>
        <v>556443</v>
      </c>
      <c r="D6" s="77">
        <v>650000</v>
      </c>
      <c r="E6" s="76">
        <f ca="1">SUM(Ventes!J4:U4)</f>
        <v>810992.43894903548</v>
      </c>
      <c r="F6" s="76">
        <f ca="1">SUM(Ventes!V4:AG4)</f>
        <v>1120863.3313108773</v>
      </c>
      <c r="G6" s="78">
        <f ca="1">SUM(Ventes!AH4:AS4)</f>
        <v>1435720.0711639493</v>
      </c>
      <c r="H6" s="76">
        <f ca="1">SUM(Ventes!AT4:BE4)</f>
        <v>1771593.7623708618</v>
      </c>
      <c r="I6" s="76">
        <f ca="1">SUM(Ventes!BF4:BQ4)</f>
        <v>2782173.8221093118</v>
      </c>
      <c r="J6" s="76">
        <f ca="1">SUM(Ventes!BR4:CC4)</f>
        <v>6775578.9955379702</v>
      </c>
      <c r="K6" s="79">
        <f ca="1">SUM(Ventes!BH4:BS4)</f>
        <v>3187995.2013592771</v>
      </c>
      <c r="M6" s="11"/>
      <c r="N6" s="13" t="s">
        <v>19</v>
      </c>
      <c r="O6" s="65" t="str">
        <f>'Plan stratégique  likewatt'!C41</f>
        <v>Standard</v>
      </c>
      <c r="Q6" s="11"/>
      <c r="R6" s="9" t="str">
        <f>'Plan stratégique  likewatt'!F41</f>
        <v>Début BE</v>
      </c>
      <c r="S6" s="66">
        <f>'Plan stratégique  likewatt'!G41</f>
        <v>48247</v>
      </c>
    </row>
    <row r="7" spans="1:19" ht="14">
      <c r="A7" s="3"/>
      <c r="B7" s="75" t="s">
        <v>55</v>
      </c>
      <c r="C7" s="76">
        <v>0</v>
      </c>
      <c r="D7" s="77">
        <v>10000</v>
      </c>
      <c r="E7" s="76">
        <f ca="1">SUM(Ventes!J8:U8)</f>
        <v>25920.503361296505</v>
      </c>
      <c r="F7" s="76">
        <f ca="1">SUM(Ventes!V8:AG8)</f>
        <v>92179.135685378875</v>
      </c>
      <c r="G7" s="80">
        <f ca="1">SUM(Ventes!AH8:AS8)</f>
        <v>268724.53588961065</v>
      </c>
      <c r="H7" s="76">
        <f ca="1">SUM(Ventes!AT8:BE8)</f>
        <v>558208.08450829121</v>
      </c>
      <c r="I7" s="76">
        <f ca="1">SUM(Ventes!BF8:BQ8)</f>
        <v>1234472.3239974226</v>
      </c>
      <c r="J7" s="76">
        <f ca="1">SUM(Ventes!BR8:CC8)</f>
        <v>3748819.0626463881</v>
      </c>
      <c r="K7" s="79">
        <f ca="1">SUM(Ventes!BH8:BS8)</f>
        <v>1506773.3297689862</v>
      </c>
      <c r="M7" s="11"/>
      <c r="N7" s="13" t="s">
        <v>21</v>
      </c>
      <c r="O7" s="81">
        <f>'Plan stratégique  likewatt'!C42</f>
        <v>0</v>
      </c>
      <c r="Q7" s="11"/>
      <c r="R7" s="9" t="str">
        <f>'Plan stratégique  likewatt'!F42</f>
        <v>Début DE</v>
      </c>
      <c r="S7" s="66">
        <f>'Plan stratégique  likewatt'!G42</f>
        <v>48613</v>
      </c>
    </row>
    <row r="8" spans="1:19" ht="14">
      <c r="A8" s="3"/>
      <c r="B8" s="82" t="s">
        <v>56</v>
      </c>
      <c r="C8" s="83">
        <f>73040+3923+1710+8098</f>
        <v>86771</v>
      </c>
      <c r="D8" s="84">
        <v>10000</v>
      </c>
      <c r="E8" s="83">
        <f ca="1">SUM(Ventes!J12:U12)</f>
        <v>13159.832205881488</v>
      </c>
      <c r="F8" s="83">
        <f ca="1">SUM(Ventes!V12:AG12)</f>
        <v>24682.853924869822</v>
      </c>
      <c r="G8" s="85">
        <f ca="1">SUM(Ventes!AH12:AS12)</f>
        <v>27697.076779598839</v>
      </c>
      <c r="H8" s="83">
        <f ca="1">SUM(Ventes!AT12:BE12)</f>
        <v>21276.838466056612</v>
      </c>
      <c r="I8" s="83">
        <f ca="1">SUM(Ventes!BF12:BQ12)</f>
        <v>79742.336735385179</v>
      </c>
      <c r="J8" s="83">
        <f ca="1">SUM(Ventes!BR12:CC12)</f>
        <v>244019.4069190216</v>
      </c>
      <c r="K8" s="86">
        <f ca="1">SUM(Ventes!BH12:BS12)</f>
        <v>99080.144333739416</v>
      </c>
      <c r="M8" s="11"/>
      <c r="N8" s="13" t="s">
        <v>23</v>
      </c>
      <c r="O8" s="87">
        <f>EOMONTH('Plan stratégique  likewatt'!C43,-1)+1</f>
        <v>47515</v>
      </c>
      <c r="R8" s="19" t="str">
        <f>'Plan stratégique  likewatt'!F43</f>
        <v>Début phase 2 FR</v>
      </c>
      <c r="S8" s="88">
        <f>'Plan stratégique  likewatt'!G43</f>
        <v>47515</v>
      </c>
    </row>
    <row r="9" spans="1:19" ht="14" hidden="1">
      <c r="A9" s="3"/>
      <c r="B9" s="82" t="s">
        <v>57</v>
      </c>
      <c r="C9" s="83">
        <v>0</v>
      </c>
      <c r="D9" s="89">
        <v>0</v>
      </c>
      <c r="E9" s="83">
        <v>0</v>
      </c>
      <c r="F9" s="83">
        <v>0</v>
      </c>
      <c r="G9" s="83">
        <v>0</v>
      </c>
      <c r="H9" s="83">
        <v>0</v>
      </c>
      <c r="I9" s="83">
        <v>0</v>
      </c>
      <c r="J9" s="89">
        <v>0</v>
      </c>
      <c r="K9" s="86">
        <v>0</v>
      </c>
      <c r="M9" s="11"/>
      <c r="N9" s="13" t="s">
        <v>58</v>
      </c>
      <c r="O9" s="90" t="e">
        <f ca="1">Trésorerie!C33</f>
        <v>#N/A</v>
      </c>
      <c r="R9" s="13"/>
      <c r="S9" s="13"/>
    </row>
    <row r="10" spans="1:19" ht="15">
      <c r="A10" s="2"/>
      <c r="B10" s="91" t="s">
        <v>59</v>
      </c>
      <c r="C10" s="73">
        <f t="shared" ref="C10:K10" si="1">C5+C11</f>
        <v>580814</v>
      </c>
      <c r="D10" s="73">
        <f t="shared" si="1"/>
        <v>667000</v>
      </c>
      <c r="E10" s="73">
        <f t="shared" ca="1" si="1"/>
        <v>703478.4982566114</v>
      </c>
      <c r="F10" s="73">
        <f t="shared" ca="1" si="1"/>
        <v>946974.52099281829</v>
      </c>
      <c r="G10" s="73">
        <f t="shared" ca="1" si="1"/>
        <v>1281943.4976714053</v>
      </c>
      <c r="H10" s="73">
        <f t="shared" ca="1" si="1"/>
        <v>1772549.5835063783</v>
      </c>
      <c r="I10" s="73">
        <f t="shared" ca="1" si="1"/>
        <v>3035994.0964541021</v>
      </c>
      <c r="J10" s="73">
        <f t="shared" ca="1" si="1"/>
        <v>8125642.953351615</v>
      </c>
      <c r="K10" s="74">
        <f t="shared" ca="1" si="1"/>
        <v>3568566.7030339176</v>
      </c>
      <c r="L10" s="92"/>
      <c r="M10" s="11"/>
      <c r="N10" s="17" t="s">
        <v>58</v>
      </c>
      <c r="O10" s="93">
        <f ca="1">Trésorerie!C32</f>
        <v>201756.46534462395</v>
      </c>
      <c r="P10" s="94">
        <f ca="1">Trésorerie!D32</f>
        <v>46722</v>
      </c>
      <c r="R10" s="17"/>
      <c r="S10" s="17"/>
    </row>
    <row r="11" spans="1:19" ht="14">
      <c r="A11" s="3"/>
      <c r="B11" s="82" t="s">
        <v>60</v>
      </c>
      <c r="C11" s="83">
        <v>-62400</v>
      </c>
      <c r="D11" s="84">
        <v>-3000</v>
      </c>
      <c r="E11" s="95">
        <f ca="1">SUM('Couts variables'!J3:U3)</f>
        <v>-146594.27625960208</v>
      </c>
      <c r="F11" s="96">
        <f ca="1">SUM('Couts variables'!V3:AG3)</f>
        <v>-290750.79992830794</v>
      </c>
      <c r="G11" s="96">
        <f ca="1">SUM('Couts variables'!AH3:AS3)</f>
        <v>-450198.18616175296</v>
      </c>
      <c r="H11" s="96">
        <f ca="1">SUM('Couts variables'!AT3:BE3)</f>
        <v>-578529.10183883086</v>
      </c>
      <c r="I11" s="96">
        <f ca="1">SUM('Couts variables'!BF3:BQ3)</f>
        <v>-1060394.3863880178</v>
      </c>
      <c r="J11" s="96">
        <f ca="1">SUM('Couts variables'!BR3:CC3)</f>
        <v>-2642774.5117517654</v>
      </c>
      <c r="K11" s="97">
        <f ca="1">SUM('Couts variables'!BH3:BS3)</f>
        <v>-1225281.9724280853</v>
      </c>
      <c r="L11" s="92"/>
    </row>
    <row r="12" spans="1:19" ht="15">
      <c r="A12" s="2"/>
      <c r="B12" s="91" t="s">
        <v>61</v>
      </c>
      <c r="C12" s="73">
        <f t="shared" ref="C12:K12" si="2">C10+C13</f>
        <v>493635</v>
      </c>
      <c r="D12" s="73">
        <f t="shared" si="2"/>
        <v>577000</v>
      </c>
      <c r="E12" s="73">
        <f t="shared" ca="1" si="2"/>
        <v>494572.3420066114</v>
      </c>
      <c r="F12" s="73">
        <f t="shared" ca="1" si="2"/>
        <v>762534.60390948493</v>
      </c>
      <c r="G12" s="73">
        <f t="shared" ca="1" si="2"/>
        <v>1097058.7914214053</v>
      </c>
      <c r="H12" s="73">
        <f t="shared" ca="1" si="2"/>
        <v>1553971.6510063782</v>
      </c>
      <c r="I12" s="73">
        <f t="shared" ca="1" si="2"/>
        <v>2469425.899721514</v>
      </c>
      <c r="J12" s="73">
        <f t="shared" ca="1" si="2"/>
        <v>6845274.9270467032</v>
      </c>
      <c r="K12" s="74">
        <f t="shared" ca="1" si="2"/>
        <v>2879470.1613977305</v>
      </c>
      <c r="L12" s="92"/>
      <c r="M12" s="98"/>
      <c r="N12" s="98"/>
      <c r="O12" s="98"/>
    </row>
    <row r="13" spans="1:19" ht="14">
      <c r="A13" s="3"/>
      <c r="B13" s="82" t="s">
        <v>62</v>
      </c>
      <c r="C13" s="83">
        <v>-87179</v>
      </c>
      <c r="D13" s="84">
        <v>-90000</v>
      </c>
      <c r="E13" s="96">
        <f>SUM('Couts fixes'!J2:U2)</f>
        <v>-208906.15625</v>
      </c>
      <c r="F13" s="96">
        <f>SUM('Couts fixes'!V2:AG2)</f>
        <v>-184439.91708333333</v>
      </c>
      <c r="G13" s="96">
        <f>SUM('Couts fixes'!AH2:AS2)</f>
        <v>-184884.70624999999</v>
      </c>
      <c r="H13" s="96">
        <f>SUM('Couts fixes'!AT2:BE2)</f>
        <v>-218577.93250000008</v>
      </c>
      <c r="I13" s="96">
        <f>SUM('Couts fixes'!BF2:BQ2)</f>
        <v>-566568.19673258811</v>
      </c>
      <c r="J13" s="96">
        <f>SUM('Couts fixes'!BR2:CC2)</f>
        <v>-1280368.0263049121</v>
      </c>
      <c r="K13" s="97">
        <f>SUM('Couts fixes'!BH2:BS2)</f>
        <v>-689096.54163618723</v>
      </c>
      <c r="L13" s="92"/>
    </row>
    <row r="14" spans="1:19" ht="15">
      <c r="A14" s="2"/>
      <c r="B14" s="91" t="s">
        <v>63</v>
      </c>
      <c r="C14" s="73">
        <f t="shared" ref="C14:J14" si="3">C12+C15+C16</f>
        <v>94334</v>
      </c>
      <c r="D14" s="73">
        <f t="shared" si="3"/>
        <v>-42076</v>
      </c>
      <c r="E14" s="73">
        <f t="shared" ca="1" si="3"/>
        <v>-278164.2829933886</v>
      </c>
      <c r="F14" s="73">
        <f t="shared" ca="1" si="3"/>
        <v>-197115.78192384841</v>
      </c>
      <c r="G14" s="73">
        <f t="shared" ca="1" si="3"/>
        <v>156963.19142140524</v>
      </c>
      <c r="H14" s="73">
        <f t="shared" ca="1" si="3"/>
        <v>518915.9935063782</v>
      </c>
      <c r="I14" s="73">
        <f t="shared" ca="1" si="3"/>
        <v>151587.59024651375</v>
      </c>
      <c r="J14" s="73">
        <f t="shared" ca="1" si="3"/>
        <v>2761754.353956203</v>
      </c>
      <c r="K14" s="74">
        <f ca="1">K12+K15</f>
        <v>151328.17150710523</v>
      </c>
      <c r="L14" s="92"/>
      <c r="M14" s="92"/>
      <c r="N14" s="92"/>
      <c r="O14" s="92"/>
    </row>
    <row r="15" spans="1:19" ht="14">
      <c r="A15" s="99"/>
      <c r="B15" s="100" t="s">
        <v>64</v>
      </c>
      <c r="C15" s="101">
        <f>-(343148+51982)</f>
        <v>-395130</v>
      </c>
      <c r="D15" s="102">
        <f>-53146*6-49200*6</f>
        <v>-614076</v>
      </c>
      <c r="E15" s="101">
        <f>SUM('Couts RH'!J4:U4)</f>
        <v>-767965.625</v>
      </c>
      <c r="F15" s="101">
        <f>SUM('Couts RH'!V4:AG4)</f>
        <v>-954730.875</v>
      </c>
      <c r="G15" s="101">
        <f>SUM('Couts RH'!AH4:AS4)</f>
        <v>-935031.3</v>
      </c>
      <c r="H15" s="101">
        <f>SUM('Couts RH'!AT4:BE4)</f>
        <v>-1029839.7375</v>
      </c>
      <c r="I15" s="101">
        <f>SUM('Couts RH'!BF4:BQ4)</f>
        <v>-2312465.9118750002</v>
      </c>
      <c r="J15" s="101">
        <f>SUM('Couts RH'!BR4:CC4)</f>
        <v>-4077987.0035625002</v>
      </c>
      <c r="K15" s="103">
        <f>SUM('Couts RH'!BH4:BS4)</f>
        <v>-2728141.9898906252</v>
      </c>
    </row>
    <row r="16" spans="1:19" ht="14">
      <c r="A16" s="3"/>
      <c r="B16" s="82" t="s">
        <v>65</v>
      </c>
      <c r="C16" s="83">
        <v>-4171</v>
      </c>
      <c r="D16" s="84">
        <v>-5000</v>
      </c>
      <c r="E16" s="104">
        <f>SUM('Couts fixes'!$J14:$U14)</f>
        <v>-4771</v>
      </c>
      <c r="F16" s="104">
        <f ca="1">SUM(OFFSET('Couts fixes'!$J14:$U14,0,12))</f>
        <v>-4919.5108333333337</v>
      </c>
      <c r="G16" s="104">
        <f ca="1">SUM(OFFSET('Couts fixes'!$J14:$U14,0,24))</f>
        <v>-5064.3</v>
      </c>
      <c r="H16" s="104">
        <f ca="1">SUM(OFFSET('Couts fixes'!$J14:$U14,0,36))</f>
        <v>-5215.9199999999992</v>
      </c>
      <c r="I16" s="104">
        <f ca="1">SUM(OFFSET('Couts fixes'!$J14:$U14,0,48))</f>
        <v>-5372.3976000000002</v>
      </c>
      <c r="J16" s="104">
        <f ca="1">SUM(OFFSET('Couts fixes'!$J14:$U14,0,60))</f>
        <v>-5533.569528</v>
      </c>
      <c r="K16" s="86"/>
    </row>
    <row r="17" spans="1:14" ht="15">
      <c r="A17" s="2"/>
      <c r="B17" s="91" t="s">
        <v>66</v>
      </c>
      <c r="C17" s="73">
        <f t="shared" ref="C17:J17" si="4">C14+C18+C19</f>
        <v>101127</v>
      </c>
      <c r="D17" s="73">
        <f t="shared" si="4"/>
        <v>-48591</v>
      </c>
      <c r="E17" s="105">
        <f t="shared" ca="1" si="4"/>
        <v>-287351.44966005528</v>
      </c>
      <c r="F17" s="105">
        <f t="shared" ca="1" si="4"/>
        <v>-207936.94859051509</v>
      </c>
      <c r="G17" s="105">
        <f t="shared" ca="1" si="4"/>
        <v>144508.02475473855</v>
      </c>
      <c r="H17" s="105">
        <f t="shared" ca="1" si="4"/>
        <v>499226.82683971152</v>
      </c>
      <c r="I17" s="105">
        <f t="shared" ca="1" si="4"/>
        <v>116264.42357984706</v>
      </c>
      <c r="J17" s="105">
        <f t="shared" ca="1" si="4"/>
        <v>2713397.1872895365</v>
      </c>
      <c r="K17" s="74"/>
    </row>
    <row r="18" spans="1:14" ht="14">
      <c r="A18" s="3"/>
      <c r="B18" s="75" t="s">
        <v>67</v>
      </c>
      <c r="C18" s="76">
        <v>-6515</v>
      </c>
      <c r="D18" s="77">
        <v>-6515</v>
      </c>
      <c r="E18" s="101">
        <f>SUM(CAPEX!$C3:U3)/5</f>
        <v>-9187.1666666666715</v>
      </c>
      <c r="F18" s="101">
        <f>SUM(CAPEX!$C3:AG3)/5</f>
        <v>-10821.166666666677</v>
      </c>
      <c r="G18" s="101">
        <f>SUM(CAPEX!$C3:AS3)/5</f>
        <v>-12455.166666666682</v>
      </c>
      <c r="H18" s="101">
        <f>SUM(CAPEX!$C3:BE3)/5</f>
        <v>-19689.166666666672</v>
      </c>
      <c r="I18" s="101">
        <f>SUM(CAPEX!$C3:BQ3)/5</f>
        <v>-35323.166666666693</v>
      </c>
      <c r="J18" s="101">
        <f>SUM(CAPEX!$C3:CC3)/5</f>
        <v>-48357.166666666715</v>
      </c>
      <c r="K18" s="103"/>
    </row>
    <row r="19" spans="1:14" ht="14">
      <c r="A19" s="3"/>
      <c r="B19" s="82" t="s">
        <v>68</v>
      </c>
      <c r="C19" s="96">
        <f>12980+367-39</f>
        <v>13308</v>
      </c>
      <c r="D19" s="84">
        <v>0</v>
      </c>
      <c r="E19" s="83">
        <v>0</v>
      </c>
      <c r="F19" s="83">
        <v>0</v>
      </c>
      <c r="G19" s="83">
        <v>0</v>
      </c>
      <c r="H19" s="83">
        <v>0</v>
      </c>
      <c r="I19" s="83">
        <v>0</v>
      </c>
      <c r="J19" s="83">
        <v>0</v>
      </c>
      <c r="K19" s="106"/>
    </row>
    <row r="20" spans="1:14" ht="15">
      <c r="A20" s="2"/>
      <c r="B20" s="91" t="s">
        <v>69</v>
      </c>
      <c r="C20" s="73">
        <f t="shared" ref="C20:J20" si="5">C17+C21</f>
        <v>95410</v>
      </c>
      <c r="D20" s="73">
        <f t="shared" si="5"/>
        <v>-54091</v>
      </c>
      <c r="E20" s="105">
        <f t="shared" ca="1" si="5"/>
        <v>-289526.44966005528</v>
      </c>
      <c r="F20" s="105">
        <f t="shared" ca="1" si="5"/>
        <v>-209194.94859051509</v>
      </c>
      <c r="G20" s="105">
        <f t="shared" ca="1" si="5"/>
        <v>144166.02475473855</v>
      </c>
      <c r="H20" s="105">
        <f t="shared" ca="1" si="5"/>
        <v>499226.82683971152</v>
      </c>
      <c r="I20" s="105">
        <f t="shared" ca="1" si="5"/>
        <v>116264.42357984706</v>
      </c>
      <c r="J20" s="105">
        <f t="shared" ca="1" si="5"/>
        <v>2713397.1872895365</v>
      </c>
      <c r="K20" s="74"/>
    </row>
    <row r="21" spans="1:14" ht="14">
      <c r="A21" s="3"/>
      <c r="B21" s="82" t="s">
        <v>70</v>
      </c>
      <c r="C21" s="83">
        <f>-8717+3000</f>
        <v>-5717</v>
      </c>
      <c r="D21" s="84">
        <v>-5500</v>
      </c>
      <c r="E21" s="83">
        <f ca="1">SUM(OFFSET('Annexe E  Financement'!$J11:$U11,0,0))</f>
        <v>-2175</v>
      </c>
      <c r="F21" s="83">
        <f ca="1">SUM(OFFSET('Annexe E  Financement'!$J11:$U11,0,12))</f>
        <v>-1258</v>
      </c>
      <c r="G21" s="83">
        <f ca="1">SUM(OFFSET('Annexe E  Financement'!$J11:$U11,0,24))</f>
        <v>-342</v>
      </c>
      <c r="H21" s="83">
        <f ca="1">SUM(OFFSET('Annexe E  Financement'!$J11:$U11,0,36))</f>
        <v>0</v>
      </c>
      <c r="I21" s="83">
        <f ca="1">SUM(OFFSET('Annexe E  Financement'!$J11:$U11,0,49))</f>
        <v>0</v>
      </c>
      <c r="J21" s="83">
        <f ca="1">SUM(OFFSET('Annexe E  Financement'!$J11:$U11,0,60))</f>
        <v>0</v>
      </c>
      <c r="K21" s="107"/>
      <c r="M21" s="108"/>
      <c r="N21" s="108"/>
    </row>
    <row r="22" spans="1:14" ht="15">
      <c r="A22" s="2"/>
      <c r="B22" s="91" t="s">
        <v>71</v>
      </c>
      <c r="C22" s="73">
        <f t="shared" ref="C22:J22" si="6">C20+C23+C24</f>
        <v>232614</v>
      </c>
      <c r="D22" s="73">
        <f t="shared" si="6"/>
        <v>65909</v>
      </c>
      <c r="E22" s="73">
        <f t="shared" ca="1" si="6"/>
        <v>-196765.51216005528</v>
      </c>
      <c r="F22" s="73">
        <f t="shared" ca="1" si="6"/>
        <v>-95105.886090515094</v>
      </c>
      <c r="G22" s="73">
        <f t="shared" ca="1" si="6"/>
        <v>258255.08725473855</v>
      </c>
      <c r="H22" s="73">
        <f t="shared" ca="1" si="6"/>
        <v>590615.47617064777</v>
      </c>
      <c r="I22" s="73">
        <f t="shared" ca="1" si="6"/>
        <v>187256.66837899221</v>
      </c>
      <c r="J22" s="73">
        <f t="shared" ca="1" si="6"/>
        <v>2988081.3019222496</v>
      </c>
      <c r="K22" s="74"/>
      <c r="M22" s="108"/>
      <c r="N22" s="108"/>
    </row>
    <row r="23" spans="1:14" ht="14">
      <c r="A23" s="3"/>
      <c r="B23" s="82" t="s">
        <v>72</v>
      </c>
      <c r="C23" s="83">
        <f>137233</f>
        <v>137233</v>
      </c>
      <c r="D23" s="84">
        <v>120000</v>
      </c>
      <c r="E23" s="109">
        <f>'Annexe E  Financement'!L39-IF(D20&gt;0,D20*33%,0)</f>
        <v>92760.9375</v>
      </c>
      <c r="F23" s="109">
        <f ca="1">'Annexe E  Financement'!X39-IF(E20&gt;0,E20*33%,0)</f>
        <v>114089.0625</v>
      </c>
      <c r="G23" s="109">
        <f ca="1">'Annexe E  Financement'!AJ39-IF(F20&gt;0,F20*33%,0)</f>
        <v>114089.0625</v>
      </c>
      <c r="H23" s="109">
        <f ca="1">'Annexe E  Financement'!AV39-IF(G20&gt;0,G20*33%,0)</f>
        <v>91388.649330936285</v>
      </c>
      <c r="I23" s="109">
        <f ca="1">'Annexe E  Financement'!BH39-IF(H20&gt;0,H20*33%,0)</f>
        <v>70992.244799145148</v>
      </c>
      <c r="J23" s="109">
        <f ca="1">'Annexe E  Financement'!BT39-IF(I20&gt;0,I20*33%,0)</f>
        <v>274684.11463271297</v>
      </c>
      <c r="K23" s="97"/>
      <c r="M23" s="108"/>
      <c r="N23" s="108"/>
    </row>
    <row r="24" spans="1:14" ht="15">
      <c r="A24" s="2"/>
      <c r="B24" s="82" t="s">
        <v>73</v>
      </c>
      <c r="C24" s="83">
        <v>-29</v>
      </c>
      <c r="D24" s="84">
        <v>0</v>
      </c>
      <c r="E24" s="83">
        <v>0</v>
      </c>
      <c r="F24" s="83">
        <v>0</v>
      </c>
      <c r="G24" s="83">
        <v>0</v>
      </c>
      <c r="H24" s="83">
        <v>0</v>
      </c>
      <c r="I24" s="83">
        <v>0</v>
      </c>
      <c r="J24" s="83">
        <v>0</v>
      </c>
      <c r="K24" s="74"/>
      <c r="M24" s="108"/>
      <c r="N24" s="108"/>
    </row>
    <row r="25" spans="1:14" ht="15">
      <c r="A25" s="2"/>
      <c r="B25" s="91" t="s">
        <v>74</v>
      </c>
      <c r="C25" s="73">
        <f t="shared" ref="C25:J25" si="7">C22-C18-C19</f>
        <v>225821</v>
      </c>
      <c r="D25" s="73">
        <f t="shared" si="7"/>
        <v>72424</v>
      </c>
      <c r="E25" s="73">
        <f t="shared" ca="1" si="7"/>
        <v>-187578.3454933886</v>
      </c>
      <c r="F25" s="73">
        <f t="shared" ca="1" si="7"/>
        <v>-84284.719423848423</v>
      </c>
      <c r="G25" s="73">
        <f t="shared" ca="1" si="7"/>
        <v>270710.25392140524</v>
      </c>
      <c r="H25" s="73">
        <f t="shared" ca="1" si="7"/>
        <v>610304.6428373144</v>
      </c>
      <c r="I25" s="73">
        <f t="shared" ca="1" si="7"/>
        <v>222579.8350456589</v>
      </c>
      <c r="J25" s="73">
        <f t="shared" ca="1" si="7"/>
        <v>3036438.4685889161</v>
      </c>
      <c r="K25" s="74"/>
      <c r="M25" s="108"/>
      <c r="N25" s="108"/>
    </row>
  </sheetData>
  <mergeCells count="2">
    <mergeCell ref="N2:O2"/>
    <mergeCell ref="R2:S2"/>
  </mergeCells>
  <dataValidations count="1">
    <dataValidation type="list" allowBlank="1" showErrorMessage="1" sqref="O3 O5:O6" xr:uid="{00000000-0002-0000-0200-000000000000}">
      <formula1>"Optimiste,Standard,Conservateur"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L99"/>
  <sheetViews>
    <sheetView workbookViewId="0">
      <selection activeCell="G28" sqref="G28"/>
    </sheetView>
  </sheetViews>
  <sheetFormatPr baseColWidth="10" defaultColWidth="12.6640625" defaultRowHeight="15.75" customHeight="1"/>
  <cols>
    <col min="1" max="1" width="49.83203125" customWidth="1"/>
  </cols>
  <sheetData>
    <row r="2" spans="1:9" ht="13">
      <c r="A2" s="110" t="s">
        <v>75</v>
      </c>
    </row>
    <row r="3" spans="1:9" ht="13">
      <c r="A3" s="11" t="s">
        <v>76</v>
      </c>
      <c r="B3" s="111">
        <v>0.12</v>
      </c>
    </row>
    <row r="4" spans="1:9" ht="13">
      <c r="A4" s="11" t="s">
        <v>77</v>
      </c>
      <c r="B4" s="111">
        <v>0.12</v>
      </c>
    </row>
    <row r="5" spans="1:9" ht="13">
      <c r="A5" s="11" t="s">
        <v>78</v>
      </c>
      <c r="B5" s="111">
        <v>0.12</v>
      </c>
    </row>
    <row r="6" spans="1:9" ht="13">
      <c r="A6" s="11" t="s">
        <v>79</v>
      </c>
      <c r="B6" s="111">
        <v>0.12</v>
      </c>
      <c r="C6" s="8"/>
      <c r="D6" s="8"/>
      <c r="E6" s="8"/>
      <c r="F6" s="8"/>
      <c r="G6" s="8"/>
      <c r="H6" s="8"/>
    </row>
    <row r="7" spans="1:9" ht="13">
      <c r="A7" s="11" t="s">
        <v>80</v>
      </c>
      <c r="B7" s="111">
        <v>0.12</v>
      </c>
      <c r="C7" s="8"/>
      <c r="D7" s="8"/>
      <c r="E7" s="8"/>
      <c r="F7" s="8"/>
      <c r="G7" s="8"/>
      <c r="H7" s="8"/>
    </row>
    <row r="8" spans="1:9" ht="13">
      <c r="A8" s="11"/>
      <c r="B8" s="8"/>
      <c r="C8" s="8"/>
      <c r="D8" s="8"/>
      <c r="E8" s="8"/>
      <c r="F8" s="8"/>
      <c r="G8" s="8"/>
      <c r="H8" s="8"/>
    </row>
    <row r="9" spans="1:9" ht="13">
      <c r="A9" s="9"/>
      <c r="B9" s="35">
        <v>2025</v>
      </c>
      <c r="C9" s="35">
        <v>2026</v>
      </c>
      <c r="D9" s="35">
        <v>2027</v>
      </c>
      <c r="E9" s="35">
        <v>2028</v>
      </c>
      <c r="F9" s="35">
        <v>2029</v>
      </c>
      <c r="G9" s="35">
        <v>2030</v>
      </c>
      <c r="H9" s="36">
        <v>2031</v>
      </c>
    </row>
    <row r="10" spans="1:9" ht="13">
      <c r="A10" s="112" t="s">
        <v>81</v>
      </c>
      <c r="B10" s="32"/>
      <c r="C10" s="113"/>
      <c r="D10" s="113"/>
      <c r="E10" s="113"/>
      <c r="F10" s="113"/>
      <c r="G10" s="113"/>
      <c r="H10" s="114"/>
    </row>
    <row r="11" spans="1:9" ht="13">
      <c r="A11" s="115" t="s">
        <v>82</v>
      </c>
      <c r="B11" s="116"/>
      <c r="H11" s="10"/>
    </row>
    <row r="12" spans="1:9" ht="13">
      <c r="A12" s="115" t="s">
        <v>83</v>
      </c>
      <c r="B12" s="117">
        <v>300</v>
      </c>
      <c r="C12" s="118">
        <f t="shared" ref="C12:H12" si="0">B12*(1+$B3/2)</f>
        <v>318</v>
      </c>
      <c r="D12" s="118">
        <f t="shared" si="0"/>
        <v>337.08000000000004</v>
      </c>
      <c r="E12" s="118">
        <f t="shared" si="0"/>
        <v>357.30480000000006</v>
      </c>
      <c r="F12" s="118">
        <f t="shared" si="0"/>
        <v>378.74308800000006</v>
      </c>
      <c r="G12" s="118">
        <f t="shared" si="0"/>
        <v>401.4676732800001</v>
      </c>
      <c r="H12" s="119">
        <f t="shared" si="0"/>
        <v>425.55573367680012</v>
      </c>
      <c r="I12" s="108"/>
    </row>
    <row r="13" spans="1:9" ht="13">
      <c r="A13" s="115" t="s">
        <v>84</v>
      </c>
      <c r="B13" s="117">
        <v>300</v>
      </c>
      <c r="C13" s="118">
        <f t="shared" ref="C13:H13" si="1">B13*(1+$B4/2)</f>
        <v>318</v>
      </c>
      <c r="D13" s="118">
        <f t="shared" si="1"/>
        <v>337.08000000000004</v>
      </c>
      <c r="E13" s="118">
        <f t="shared" si="1"/>
        <v>357.30480000000006</v>
      </c>
      <c r="F13" s="118">
        <f t="shared" si="1"/>
        <v>378.74308800000006</v>
      </c>
      <c r="G13" s="118">
        <f t="shared" si="1"/>
        <v>401.4676732800001</v>
      </c>
      <c r="H13" s="119">
        <f t="shared" si="1"/>
        <v>425.55573367680012</v>
      </c>
    </row>
    <row r="14" spans="1:9" ht="13">
      <c r="A14" s="40" t="s">
        <v>85</v>
      </c>
      <c r="B14" s="117">
        <v>300</v>
      </c>
      <c r="C14" s="118">
        <f t="shared" ref="C14:H14" si="2">B14*(1+$B5/2)</f>
        <v>318</v>
      </c>
      <c r="D14" s="118">
        <f t="shared" si="2"/>
        <v>337.08000000000004</v>
      </c>
      <c r="E14" s="118">
        <f t="shared" si="2"/>
        <v>357.30480000000006</v>
      </c>
      <c r="F14" s="118">
        <f t="shared" si="2"/>
        <v>378.74308800000006</v>
      </c>
      <c r="G14" s="118">
        <f t="shared" si="2"/>
        <v>401.4676732800001</v>
      </c>
      <c r="H14" s="119">
        <f t="shared" si="2"/>
        <v>425.55573367680012</v>
      </c>
    </row>
    <row r="15" spans="1:9" ht="13">
      <c r="A15" s="40" t="s">
        <v>86</v>
      </c>
      <c r="B15" s="117">
        <v>300</v>
      </c>
      <c r="C15" s="118">
        <f t="shared" ref="C15:H15" si="3">B15*(1+$B6/2)</f>
        <v>318</v>
      </c>
      <c r="D15" s="118">
        <f t="shared" si="3"/>
        <v>337.08000000000004</v>
      </c>
      <c r="E15" s="118">
        <f t="shared" si="3"/>
        <v>357.30480000000006</v>
      </c>
      <c r="F15" s="118">
        <f t="shared" si="3"/>
        <v>378.74308800000006</v>
      </c>
      <c r="G15" s="118">
        <f t="shared" si="3"/>
        <v>401.4676732800001</v>
      </c>
      <c r="H15" s="119">
        <f t="shared" si="3"/>
        <v>425.55573367680012</v>
      </c>
    </row>
    <row r="16" spans="1:9" ht="13">
      <c r="A16" s="40" t="s">
        <v>87</v>
      </c>
      <c r="B16" s="117">
        <v>300</v>
      </c>
      <c r="C16" s="118">
        <f t="shared" ref="C16:H16" si="4">B16*(1+$B7/2)</f>
        <v>318</v>
      </c>
      <c r="D16" s="118">
        <f t="shared" si="4"/>
        <v>337.08000000000004</v>
      </c>
      <c r="E16" s="118">
        <f t="shared" si="4"/>
        <v>357.30480000000006</v>
      </c>
      <c r="F16" s="118">
        <f t="shared" si="4"/>
        <v>378.74308800000006</v>
      </c>
      <c r="G16" s="118">
        <f t="shared" si="4"/>
        <v>401.4676732800001</v>
      </c>
      <c r="H16" s="119">
        <f t="shared" si="4"/>
        <v>425.55573367680012</v>
      </c>
    </row>
    <row r="17" spans="1:8" ht="13">
      <c r="A17" s="43"/>
      <c r="B17" s="43"/>
      <c r="C17" s="120"/>
      <c r="D17" s="120"/>
      <c r="E17" s="120"/>
      <c r="F17" s="120"/>
      <c r="G17" s="120"/>
      <c r="H17" s="121"/>
    </row>
    <row r="18" spans="1:8" ht="13">
      <c r="A18" s="24"/>
    </row>
    <row r="19" spans="1:8" ht="13">
      <c r="A19" s="37" t="s">
        <v>88</v>
      </c>
      <c r="B19" s="32"/>
      <c r="C19" s="113"/>
      <c r="D19" s="113"/>
      <c r="E19" s="113"/>
      <c r="F19" s="113"/>
      <c r="G19" s="113"/>
      <c r="H19" s="114"/>
    </row>
    <row r="20" spans="1:8" ht="13">
      <c r="A20" s="40" t="s">
        <v>89</v>
      </c>
      <c r="B20" s="122">
        <f>'Annexe G  Evolution Portefeuill'!C$81/12</f>
        <v>329.71080696955715</v>
      </c>
      <c r="C20" s="123">
        <f ca="1">'Annexe G  Evolution Portefeuill'!D$81/12</f>
        <v>336.79556953391324</v>
      </c>
      <c r="D20" s="123">
        <f ca="1">'Annexe G  Evolution Portefeuill'!E$81/12</f>
        <v>363.71812700862466</v>
      </c>
      <c r="E20" s="123">
        <f ca="1">'Annexe G  Evolution Portefeuill'!F$81/12</f>
        <v>374.41909991978008</v>
      </c>
      <c r="F20" s="123">
        <f ca="1">'Annexe G  Evolution Portefeuill'!G$81/12</f>
        <v>385.19246680183591</v>
      </c>
      <c r="G20" s="123">
        <f ca="1">'Annexe G  Evolution Portefeuill'!H$81/12</f>
        <v>410.53171688463226</v>
      </c>
      <c r="H20" s="81">
        <f ca="1">'Annexe G  Evolution Portefeuill'!I$81/12</f>
        <v>412.85084835932383</v>
      </c>
    </row>
    <row r="21" spans="1:8" ht="13">
      <c r="A21" s="115" t="s">
        <v>83</v>
      </c>
      <c r="B21" s="124">
        <f t="shared" ref="B21:H21" si="5">B20</f>
        <v>329.71080696955715</v>
      </c>
      <c r="C21" s="125">
        <f t="shared" ca="1" si="5"/>
        <v>336.79556953391324</v>
      </c>
      <c r="D21" s="125">
        <f t="shared" ca="1" si="5"/>
        <v>363.71812700862466</v>
      </c>
      <c r="E21" s="125">
        <f t="shared" ca="1" si="5"/>
        <v>374.41909991978008</v>
      </c>
      <c r="F21" s="125">
        <f t="shared" ca="1" si="5"/>
        <v>385.19246680183591</v>
      </c>
      <c r="G21" s="125">
        <f t="shared" ca="1" si="5"/>
        <v>410.53171688463226</v>
      </c>
      <c r="H21" s="126">
        <f t="shared" ca="1" si="5"/>
        <v>412.85084835932383</v>
      </c>
    </row>
    <row r="22" spans="1:8" ht="13">
      <c r="A22" s="115" t="s">
        <v>84</v>
      </c>
      <c r="B22" s="124">
        <f t="shared" ref="B22:H22" si="6">B21</f>
        <v>329.71080696955715</v>
      </c>
      <c r="C22" s="125">
        <f t="shared" ca="1" si="6"/>
        <v>336.79556953391324</v>
      </c>
      <c r="D22" s="125">
        <f t="shared" ca="1" si="6"/>
        <v>363.71812700862466</v>
      </c>
      <c r="E22" s="125">
        <f t="shared" ca="1" si="6"/>
        <v>374.41909991978008</v>
      </c>
      <c r="F22" s="125">
        <f t="shared" ca="1" si="6"/>
        <v>385.19246680183591</v>
      </c>
      <c r="G22" s="125">
        <f t="shared" ca="1" si="6"/>
        <v>410.53171688463226</v>
      </c>
      <c r="H22" s="126">
        <f t="shared" ca="1" si="6"/>
        <v>412.85084835932383</v>
      </c>
    </row>
    <row r="23" spans="1:8" ht="13">
      <c r="A23" s="40" t="s">
        <v>85</v>
      </c>
      <c r="B23" s="124">
        <f t="shared" ref="B23:H23" si="7">B22</f>
        <v>329.71080696955715</v>
      </c>
      <c r="C23" s="125">
        <f t="shared" ca="1" si="7"/>
        <v>336.79556953391324</v>
      </c>
      <c r="D23" s="125">
        <f t="shared" ca="1" si="7"/>
        <v>363.71812700862466</v>
      </c>
      <c r="E23" s="125">
        <f t="shared" ca="1" si="7"/>
        <v>374.41909991978008</v>
      </c>
      <c r="F23" s="125">
        <f t="shared" ca="1" si="7"/>
        <v>385.19246680183591</v>
      </c>
      <c r="G23" s="125">
        <f t="shared" ca="1" si="7"/>
        <v>410.53171688463226</v>
      </c>
      <c r="H23" s="126">
        <f t="shared" ca="1" si="7"/>
        <v>412.85084835932383</v>
      </c>
    </row>
    <row r="24" spans="1:8" ht="13">
      <c r="A24" s="40" t="s">
        <v>86</v>
      </c>
      <c r="B24" s="124">
        <f t="shared" ref="B24:H24" si="8">B23</f>
        <v>329.71080696955715</v>
      </c>
      <c r="C24" s="125">
        <f t="shared" ca="1" si="8"/>
        <v>336.79556953391324</v>
      </c>
      <c r="D24" s="125">
        <f t="shared" ca="1" si="8"/>
        <v>363.71812700862466</v>
      </c>
      <c r="E24" s="125">
        <f t="shared" ca="1" si="8"/>
        <v>374.41909991978008</v>
      </c>
      <c r="F24" s="125">
        <f t="shared" ca="1" si="8"/>
        <v>385.19246680183591</v>
      </c>
      <c r="G24" s="125">
        <f t="shared" ca="1" si="8"/>
        <v>410.53171688463226</v>
      </c>
      <c r="H24" s="126">
        <f t="shared" ca="1" si="8"/>
        <v>412.85084835932383</v>
      </c>
    </row>
    <row r="25" spans="1:8" ht="13">
      <c r="A25" s="40" t="s">
        <v>87</v>
      </c>
      <c r="B25" s="124">
        <f t="shared" ref="B25:H25" si="9">B24</f>
        <v>329.71080696955715</v>
      </c>
      <c r="C25" s="125">
        <f t="shared" ca="1" si="9"/>
        <v>336.79556953391324</v>
      </c>
      <c r="D25" s="125">
        <f t="shared" ca="1" si="9"/>
        <v>363.71812700862466</v>
      </c>
      <c r="E25" s="125">
        <f t="shared" ca="1" si="9"/>
        <v>374.41909991978008</v>
      </c>
      <c r="F25" s="125">
        <f t="shared" ca="1" si="9"/>
        <v>385.19246680183591</v>
      </c>
      <c r="G25" s="125">
        <f t="shared" ca="1" si="9"/>
        <v>410.53171688463226</v>
      </c>
      <c r="H25" s="126">
        <f t="shared" ca="1" si="9"/>
        <v>412.85084835932383</v>
      </c>
    </row>
    <row r="26" spans="1:8" ht="13">
      <c r="A26" s="40"/>
      <c r="B26" s="40"/>
      <c r="H26" s="10"/>
    </row>
    <row r="27" spans="1:8" ht="13">
      <c r="A27" s="40" t="s">
        <v>90</v>
      </c>
      <c r="B27" s="40"/>
      <c r="H27" s="10"/>
    </row>
    <row r="28" spans="1:8" ht="13">
      <c r="A28" s="115" t="s">
        <v>83</v>
      </c>
      <c r="B28" s="127" cm="1">
        <f t="array" ref="B28">_xlfn.IFS('Prévisionnel annuel'!$O$4="Simulation",B35,'Prévisionnel annuel'!$O$4="Succes",B42*$B$48*$B$47)</f>
        <v>35</v>
      </c>
      <c r="C28" s="42" cm="1">
        <f t="array" ref="C28">_xlfn.IFS('Prévisionnel annuel'!$O$4="Simulation",C35,'Prévisionnel annuel'!$O$4="Succes",C42*$B$48*$B$47)</f>
        <v>35</v>
      </c>
      <c r="D28" s="42" cm="1">
        <f t="array" ref="D28">_xlfn.IFS('Prévisionnel annuel'!$O$4="Simulation",D35,'Prévisionnel annuel'!$O$4="Succes",D42*$B$48*$B$47)</f>
        <v>35</v>
      </c>
      <c r="E28" s="42" cm="1">
        <f t="array" ref="E28">_xlfn.IFS('Prévisionnel annuel'!$O$4="Simulation",E35,'Prévisionnel annuel'!$O$4="Succes",E42*$B$48*$B$47)</f>
        <v>35</v>
      </c>
      <c r="F28" s="42" cm="1">
        <f t="array" ref="F28">_xlfn.IFS('Prévisionnel annuel'!$O$4="Simulation",F35,'Prévisionnel annuel'!$O$4="Succes",F42*$B$48*$B$47)</f>
        <v>35</v>
      </c>
      <c r="G28" s="42" cm="1">
        <f t="array" ref="G28">_xlfn.IFS('Prévisionnel annuel'!$O$4="Simulation",G35,'Prévisionnel annuel'!$O$4="Succes",G42*$B$48*$B$47)</f>
        <v>35</v>
      </c>
      <c r="H28" s="128" cm="1">
        <f t="array" ref="H28">_xlfn.IFS('Prévisionnel annuel'!$O$4="Simulation",H35,'Prévisionnel annuel'!$O$4="Succes",H42*$B$48*$B$47)</f>
        <v>35</v>
      </c>
    </row>
    <row r="29" spans="1:8" ht="13">
      <c r="A29" s="115" t="s">
        <v>84</v>
      </c>
      <c r="B29" s="127" cm="1">
        <f t="array" ref="B29">_xlfn.IFS('Prévisionnel annuel'!$O$4="Simulation",B36,'Prévisionnel annuel'!$O$4="Succes",B43*$B$48*$B$47)</f>
        <v>35</v>
      </c>
      <c r="C29" s="42" cm="1">
        <f t="array" ref="C29">_xlfn.IFS('Prévisionnel annuel'!$O$4="Simulation",C36,'Prévisionnel annuel'!$O$4="Succes",C43*$B$48*$B$47)</f>
        <v>35</v>
      </c>
      <c r="D29" s="42" cm="1">
        <f t="array" ref="D29">_xlfn.IFS('Prévisionnel annuel'!$O$4="Simulation",D36,'Prévisionnel annuel'!$O$4="Succes",D43*$B$48*$B$47)</f>
        <v>35</v>
      </c>
      <c r="E29" s="42" cm="1">
        <f t="array" ref="E29">_xlfn.IFS('Prévisionnel annuel'!$O$4="Simulation",E36,'Prévisionnel annuel'!$O$4="Succes",E43*$B$48*$B$47)</f>
        <v>35</v>
      </c>
      <c r="F29" s="42" cm="1">
        <f t="array" ref="F29">_xlfn.IFS('Prévisionnel annuel'!$O$4="Simulation",F36,'Prévisionnel annuel'!$O$4="Succes",F43*$B$48*$B$47)</f>
        <v>35</v>
      </c>
      <c r="G29" s="42" cm="1">
        <f t="array" ref="G29">_xlfn.IFS('Prévisionnel annuel'!$O$4="Simulation",G36,'Prévisionnel annuel'!$O$4="Succes",G43*$B$48*$B$47)</f>
        <v>35</v>
      </c>
      <c r="H29" s="128" cm="1">
        <f t="array" ref="H29">_xlfn.IFS('Prévisionnel annuel'!$O$4="Simulation",H36,'Prévisionnel annuel'!$O$4="Succes",H43*$B$48*$B$47)</f>
        <v>35</v>
      </c>
    </row>
    <row r="30" spans="1:8" ht="13">
      <c r="A30" s="40" t="s">
        <v>85</v>
      </c>
      <c r="B30" s="127" cm="1">
        <f t="array" ref="B30">_xlfn.IFS('Prévisionnel annuel'!$O$4="Simulation",B37,'Prévisionnel annuel'!$O$4="Succes",B44*$B$48*$B$47)</f>
        <v>35</v>
      </c>
      <c r="C30" s="42" cm="1">
        <f t="array" ref="C30">_xlfn.IFS('Prévisionnel annuel'!$O$4="Simulation",C37,'Prévisionnel annuel'!$O$4="Succes",C44*$B$48*$B$47)</f>
        <v>35</v>
      </c>
      <c r="D30" s="42" cm="1">
        <f t="array" ref="D30">_xlfn.IFS('Prévisionnel annuel'!$O$4="Simulation",D37,'Prévisionnel annuel'!$O$4="Succes",D44*$B$48*$B$47)</f>
        <v>35</v>
      </c>
      <c r="E30" s="42" cm="1">
        <f t="array" ref="E30">_xlfn.IFS('Prévisionnel annuel'!$O$4="Simulation",E37,'Prévisionnel annuel'!$O$4="Succes",E44*$B$48*$B$47)</f>
        <v>35</v>
      </c>
      <c r="F30" s="42" cm="1">
        <f t="array" ref="F30">_xlfn.IFS('Prévisionnel annuel'!$O$4="Simulation",F37,'Prévisionnel annuel'!$O$4="Succes",F44*$B$48*$B$47)</f>
        <v>35</v>
      </c>
      <c r="G30" s="42" cm="1">
        <f t="array" ref="G30">_xlfn.IFS('Prévisionnel annuel'!$O$4="Simulation",G37,'Prévisionnel annuel'!$O$4="Succes",G44*$B$48*$B$47)</f>
        <v>35</v>
      </c>
      <c r="H30" s="128" cm="1">
        <f t="array" ref="H30">_xlfn.IFS('Prévisionnel annuel'!$O$4="Simulation",H37,'Prévisionnel annuel'!$O$4="Succes",H44*$B$48*$B$47)</f>
        <v>35</v>
      </c>
    </row>
    <row r="31" spans="1:8" ht="13">
      <c r="A31" s="40" t="s">
        <v>86</v>
      </c>
      <c r="B31" s="127" cm="1">
        <f t="array" ref="B31">_xlfn.IFS('Prévisionnel annuel'!$O$4="Simulation",B38,'Prévisionnel annuel'!$O$4="Succes",B45*$B$48*$B$47)</f>
        <v>35</v>
      </c>
      <c r="C31" s="42" cm="1">
        <f t="array" ref="C31">_xlfn.IFS('Prévisionnel annuel'!$O$4="Simulation",C38,'Prévisionnel annuel'!$O$4="Succes",C45*$B$48*$B$47)</f>
        <v>35</v>
      </c>
      <c r="D31" s="42" cm="1">
        <f t="array" ref="D31">_xlfn.IFS('Prévisionnel annuel'!$O$4="Simulation",D38,'Prévisionnel annuel'!$O$4="Succes",D45*$B$48*$B$47)</f>
        <v>35</v>
      </c>
      <c r="E31" s="42" cm="1">
        <f t="array" ref="E31">_xlfn.IFS('Prévisionnel annuel'!$O$4="Simulation",E38,'Prévisionnel annuel'!$O$4="Succes",E45*$B$48*$B$47)</f>
        <v>35</v>
      </c>
      <c r="F31" s="42" cm="1">
        <f t="array" ref="F31">_xlfn.IFS('Prévisionnel annuel'!$O$4="Simulation",F38,'Prévisionnel annuel'!$O$4="Succes",F45*$B$48*$B$47)</f>
        <v>35</v>
      </c>
      <c r="G31" s="42" cm="1">
        <f t="array" ref="G31">_xlfn.IFS('Prévisionnel annuel'!$O$4="Simulation",G38,'Prévisionnel annuel'!$O$4="Succes",G45*$B$48*$B$47)</f>
        <v>35</v>
      </c>
      <c r="H31" s="128" cm="1">
        <f t="array" ref="H31">_xlfn.IFS('Prévisionnel annuel'!$O$4="Simulation",H38,'Prévisionnel annuel'!$O$4="Succes",H45*$B$48*$B$47)</f>
        <v>35</v>
      </c>
    </row>
    <row r="32" spans="1:8" ht="13">
      <c r="A32" s="40" t="s">
        <v>87</v>
      </c>
      <c r="B32" s="127" cm="1">
        <f t="array" ref="B32">_xlfn.IFS('Prévisionnel annuel'!$O$4="Simulation",B39,'Prévisionnel annuel'!$O$4="Succes",B46*$B$48*$B$47)</f>
        <v>35</v>
      </c>
      <c r="C32" s="42" cm="1">
        <f t="array" ref="C32">_xlfn.IFS('Prévisionnel annuel'!$O$4="Simulation",C39,'Prévisionnel annuel'!$O$4="Succes",C46*$B$48*$B$47)</f>
        <v>35</v>
      </c>
      <c r="D32" s="42" cm="1">
        <f t="array" ref="D32">_xlfn.IFS('Prévisionnel annuel'!$O$4="Simulation",D39,'Prévisionnel annuel'!$O$4="Succes",D46*$B$48*$B$47)</f>
        <v>35</v>
      </c>
      <c r="E32" s="42" cm="1">
        <f t="array" ref="E32">_xlfn.IFS('Prévisionnel annuel'!$O$4="Simulation",E39,'Prévisionnel annuel'!$O$4="Succes",E46*$B$48*$B$47)</f>
        <v>35</v>
      </c>
      <c r="F32" s="42" cm="1">
        <f t="array" ref="F32">_xlfn.IFS('Prévisionnel annuel'!$O$4="Simulation",F39,'Prévisionnel annuel'!$O$4="Succes",F46*$B$48*$B$47)</f>
        <v>35</v>
      </c>
      <c r="G32" s="42" cm="1">
        <f t="array" ref="G32">_xlfn.IFS('Prévisionnel annuel'!$O$4="Simulation",G39,'Prévisionnel annuel'!$O$4="Succes",G46*$B$48*$B$47)</f>
        <v>35</v>
      </c>
      <c r="H32" s="128" cm="1">
        <f t="array" ref="H32">_xlfn.IFS('Prévisionnel annuel'!$O$4="Simulation",H39,'Prévisionnel annuel'!$O$4="Succes",H46*$B$48*$B$47)</f>
        <v>35</v>
      </c>
    </row>
    <row r="33" spans="1:8" ht="13">
      <c r="A33" s="40"/>
      <c r="B33" s="129"/>
      <c r="C33" s="130"/>
      <c r="D33" s="130"/>
      <c r="E33" s="130"/>
      <c r="F33" s="130"/>
      <c r="G33" s="130"/>
      <c r="H33" s="131"/>
    </row>
    <row r="34" spans="1:8" ht="13">
      <c r="A34" s="40" t="s">
        <v>91</v>
      </c>
      <c r="B34" s="40"/>
      <c r="H34" s="10"/>
    </row>
    <row r="35" spans="1:8" ht="13">
      <c r="A35" s="115" t="s">
        <v>83</v>
      </c>
      <c r="B35" s="132">
        <v>35</v>
      </c>
      <c r="C35" s="133">
        <v>35</v>
      </c>
      <c r="D35" s="133">
        <v>35</v>
      </c>
      <c r="E35" s="133">
        <v>35</v>
      </c>
      <c r="F35" s="133">
        <v>35</v>
      </c>
      <c r="G35" s="133">
        <v>35</v>
      </c>
      <c r="H35" s="14">
        <v>35</v>
      </c>
    </row>
    <row r="36" spans="1:8" ht="13">
      <c r="A36" s="115" t="s">
        <v>84</v>
      </c>
      <c r="B36" s="132">
        <v>35</v>
      </c>
      <c r="C36" s="133">
        <v>35</v>
      </c>
      <c r="D36" s="133">
        <v>35</v>
      </c>
      <c r="E36" s="133">
        <v>35</v>
      </c>
      <c r="F36" s="133">
        <v>35</v>
      </c>
      <c r="G36" s="133">
        <v>35</v>
      </c>
      <c r="H36" s="14">
        <v>35</v>
      </c>
    </row>
    <row r="37" spans="1:8" ht="13">
      <c r="A37" s="40" t="s">
        <v>85</v>
      </c>
      <c r="B37" s="132">
        <v>35</v>
      </c>
      <c r="C37" s="133">
        <v>35</v>
      </c>
      <c r="D37" s="133">
        <v>35</v>
      </c>
      <c r="E37" s="133">
        <v>35</v>
      </c>
      <c r="F37" s="133">
        <v>35</v>
      </c>
      <c r="G37" s="133">
        <v>35</v>
      </c>
      <c r="H37" s="14">
        <v>35</v>
      </c>
    </row>
    <row r="38" spans="1:8" ht="13">
      <c r="A38" s="40" t="s">
        <v>86</v>
      </c>
      <c r="B38" s="132">
        <v>35</v>
      </c>
      <c r="C38" s="133">
        <v>35</v>
      </c>
      <c r="D38" s="133">
        <v>35</v>
      </c>
      <c r="E38" s="133">
        <v>35</v>
      </c>
      <c r="F38" s="133">
        <v>35</v>
      </c>
      <c r="G38" s="133">
        <v>35</v>
      </c>
      <c r="H38" s="14">
        <v>35</v>
      </c>
    </row>
    <row r="39" spans="1:8" ht="13">
      <c r="A39" s="40" t="s">
        <v>87</v>
      </c>
      <c r="B39" s="132">
        <v>35</v>
      </c>
      <c r="C39" s="133">
        <v>35</v>
      </c>
      <c r="D39" s="133">
        <v>35</v>
      </c>
      <c r="E39" s="133">
        <v>35</v>
      </c>
      <c r="F39" s="133">
        <v>35</v>
      </c>
      <c r="G39" s="133">
        <v>35</v>
      </c>
      <c r="H39" s="14">
        <v>35</v>
      </c>
    </row>
    <row r="40" spans="1:8" ht="13">
      <c r="A40" s="40"/>
      <c r="B40" s="40"/>
      <c r="H40" s="10"/>
    </row>
    <row r="41" spans="1:8" ht="13" hidden="1">
      <c r="A41" s="40" t="s">
        <v>92</v>
      </c>
      <c r="B41" s="40"/>
      <c r="H41" s="10"/>
    </row>
    <row r="42" spans="1:8" ht="13" hidden="1">
      <c r="A42" s="115" t="s">
        <v>83</v>
      </c>
      <c r="B42" s="132">
        <v>6000</v>
      </c>
      <c r="C42" s="123">
        <f t="shared" ref="C42:H42" si="10">B42*102%</f>
        <v>6120</v>
      </c>
      <c r="D42" s="123">
        <f t="shared" si="10"/>
        <v>6242.4000000000005</v>
      </c>
      <c r="E42" s="123">
        <f t="shared" si="10"/>
        <v>6367.2480000000005</v>
      </c>
      <c r="F42" s="123">
        <f t="shared" si="10"/>
        <v>6494.5929600000009</v>
      </c>
      <c r="G42" s="123">
        <f t="shared" si="10"/>
        <v>6624.4848192000009</v>
      </c>
      <c r="H42" s="81">
        <f t="shared" si="10"/>
        <v>6756.974515584001</v>
      </c>
    </row>
    <row r="43" spans="1:8" ht="13" hidden="1">
      <c r="A43" s="115" t="s">
        <v>84</v>
      </c>
      <c r="B43" s="132">
        <v>5000</v>
      </c>
      <c r="C43" s="123">
        <f t="shared" ref="C43:H43" si="11">B43*102%</f>
        <v>5100</v>
      </c>
      <c r="D43" s="123">
        <f t="shared" si="11"/>
        <v>5202</v>
      </c>
      <c r="E43" s="123">
        <f t="shared" si="11"/>
        <v>5306.04</v>
      </c>
      <c r="F43" s="123">
        <f t="shared" si="11"/>
        <v>5412.1607999999997</v>
      </c>
      <c r="G43" s="123">
        <f t="shared" si="11"/>
        <v>5520.4040159999995</v>
      </c>
      <c r="H43" s="81">
        <f t="shared" si="11"/>
        <v>5630.8120963199999</v>
      </c>
    </row>
    <row r="44" spans="1:8" ht="13" hidden="1">
      <c r="A44" s="40" t="s">
        <v>85</v>
      </c>
      <c r="B44" s="132">
        <v>15000</v>
      </c>
      <c r="C44" s="123">
        <f t="shared" ref="C44:H44" si="12">B44*102%</f>
        <v>15300</v>
      </c>
      <c r="D44" s="123">
        <f t="shared" si="12"/>
        <v>15606</v>
      </c>
      <c r="E44" s="123">
        <f t="shared" si="12"/>
        <v>15918.12</v>
      </c>
      <c r="F44" s="123">
        <f t="shared" si="12"/>
        <v>16236.482400000001</v>
      </c>
      <c r="G44" s="123">
        <f t="shared" si="12"/>
        <v>16561.212048000001</v>
      </c>
      <c r="H44" s="81">
        <f t="shared" si="12"/>
        <v>16892.436288960002</v>
      </c>
    </row>
    <row r="45" spans="1:8" ht="13" hidden="1">
      <c r="A45" s="40" t="s">
        <v>86</v>
      </c>
      <c r="B45" s="132">
        <v>6000</v>
      </c>
      <c r="C45" s="123">
        <f t="shared" ref="C45:H45" si="13">B45*102%</f>
        <v>6120</v>
      </c>
      <c r="D45" s="123">
        <f t="shared" si="13"/>
        <v>6242.4000000000005</v>
      </c>
      <c r="E45" s="123">
        <f t="shared" si="13"/>
        <v>6367.2480000000005</v>
      </c>
      <c r="F45" s="123">
        <f t="shared" si="13"/>
        <v>6494.5929600000009</v>
      </c>
      <c r="G45" s="123">
        <f t="shared" si="13"/>
        <v>6624.4848192000009</v>
      </c>
      <c r="H45" s="81">
        <f t="shared" si="13"/>
        <v>6756.974515584001</v>
      </c>
    </row>
    <row r="46" spans="1:8" ht="13" hidden="1">
      <c r="A46" s="40" t="s">
        <v>87</v>
      </c>
      <c r="B46" s="132">
        <v>6000</v>
      </c>
      <c r="C46" s="123">
        <f t="shared" ref="C46:H46" si="14">B46*102%</f>
        <v>6120</v>
      </c>
      <c r="D46" s="123">
        <f t="shared" si="14"/>
        <v>6242.4000000000005</v>
      </c>
      <c r="E46" s="123">
        <f t="shared" si="14"/>
        <v>6367.2480000000005</v>
      </c>
      <c r="F46" s="123">
        <f t="shared" si="14"/>
        <v>6494.5929600000009</v>
      </c>
      <c r="G46" s="123">
        <f t="shared" si="14"/>
        <v>6624.4848192000009</v>
      </c>
      <c r="H46" s="81">
        <f t="shared" si="14"/>
        <v>6756.974515584001</v>
      </c>
    </row>
    <row r="47" spans="1:8" ht="13" hidden="1">
      <c r="A47" s="115" t="s">
        <v>93</v>
      </c>
      <c r="B47" s="134">
        <v>0.05</v>
      </c>
      <c r="C47" s="135"/>
      <c r="D47" s="135"/>
      <c r="E47" s="135"/>
      <c r="F47" s="135"/>
      <c r="G47" s="135"/>
      <c r="H47" s="136"/>
    </row>
    <row r="48" spans="1:8" ht="13" hidden="1">
      <c r="A48" s="40" t="s">
        <v>94</v>
      </c>
      <c r="B48" s="134">
        <v>0.33</v>
      </c>
      <c r="C48" s="135"/>
      <c r="D48" s="135"/>
      <c r="E48" s="135"/>
      <c r="F48" s="135"/>
      <c r="G48" s="135"/>
      <c r="H48" s="136"/>
    </row>
    <row r="49" spans="1:12" ht="13">
      <c r="A49" s="115"/>
      <c r="B49" s="117"/>
      <c r="C49" s="135"/>
      <c r="D49" s="135"/>
      <c r="E49" s="135"/>
      <c r="F49" s="135"/>
      <c r="G49" s="135"/>
      <c r="H49" s="136"/>
    </row>
    <row r="50" spans="1:12" ht="13">
      <c r="A50" s="115" t="s">
        <v>95</v>
      </c>
      <c r="B50" s="117">
        <v>12</v>
      </c>
      <c r="C50" s="135">
        <f t="shared" ref="C50:H50" si="15">B50</f>
        <v>12</v>
      </c>
      <c r="D50" s="135">
        <f t="shared" si="15"/>
        <v>12</v>
      </c>
      <c r="E50" s="135">
        <f t="shared" si="15"/>
        <v>12</v>
      </c>
      <c r="F50" s="135">
        <f t="shared" si="15"/>
        <v>12</v>
      </c>
      <c r="G50" s="135">
        <f t="shared" si="15"/>
        <v>12</v>
      </c>
      <c r="H50" s="136">
        <f t="shared" si="15"/>
        <v>12</v>
      </c>
    </row>
    <row r="51" spans="1:12" ht="13">
      <c r="A51" s="115" t="s">
        <v>96</v>
      </c>
      <c r="B51" s="117">
        <v>40</v>
      </c>
      <c r="C51" s="135">
        <f t="shared" ref="C51:H51" si="16">B51</f>
        <v>40</v>
      </c>
      <c r="D51" s="135">
        <f t="shared" si="16"/>
        <v>40</v>
      </c>
      <c r="E51" s="135">
        <f t="shared" si="16"/>
        <v>40</v>
      </c>
      <c r="F51" s="135">
        <f t="shared" si="16"/>
        <v>40</v>
      </c>
      <c r="G51" s="135">
        <f t="shared" si="16"/>
        <v>40</v>
      </c>
      <c r="H51" s="136">
        <f t="shared" si="16"/>
        <v>40</v>
      </c>
    </row>
    <row r="52" spans="1:12" ht="13">
      <c r="A52" s="115"/>
      <c r="B52" s="40"/>
      <c r="C52" s="111"/>
      <c r="D52" s="111"/>
      <c r="E52" s="111"/>
      <c r="F52" s="111"/>
      <c r="G52" s="111"/>
      <c r="H52" s="137"/>
      <c r="L52" s="138"/>
    </row>
    <row r="53" spans="1:12" ht="13">
      <c r="A53" s="115" t="s">
        <v>97</v>
      </c>
      <c r="B53" s="40"/>
      <c r="C53" s="111"/>
      <c r="D53" s="111"/>
      <c r="E53" s="111"/>
      <c r="F53" s="111"/>
      <c r="G53" s="111"/>
      <c r="H53" s="137"/>
    </row>
    <row r="54" spans="1:12" ht="13">
      <c r="A54" s="115" t="s">
        <v>83</v>
      </c>
      <c r="B54" s="139">
        <v>0.25</v>
      </c>
      <c r="C54" s="140" cm="1">
        <f t="array" ref="C54">_xlfn.IFS('Prévisionnel annuel'!$O$3="Standard",25%,'Prévisionnel annuel'!$O$3="Optimiste",30%,'Prévisionnel annuel'!$O$3="Conservateur",20%)</f>
        <v>0.25</v>
      </c>
      <c r="D54" s="140" cm="1">
        <f t="array" ref="D54">_xlfn.IFS('Prévisionnel annuel'!$O$3="Standard",25%,'Prévisionnel annuel'!$O$3="Optimiste",30%,'Prévisionnel annuel'!$O$3="Conservateur",20%)</f>
        <v>0.25</v>
      </c>
      <c r="E54" s="140" cm="1">
        <f t="array" ref="E54">_xlfn.IFS('Prévisionnel annuel'!$O$3="Standard",25%,'Prévisionnel annuel'!$O$3="Optimiste",30%,'Prévisionnel annuel'!$O$3="Conservateur",20%)</f>
        <v>0.25</v>
      </c>
      <c r="F54" s="140" cm="1">
        <f t="array" ref="F54">_xlfn.IFS('Prévisionnel annuel'!$O$3="Standard",25%,'Prévisionnel annuel'!$O$3="Optimiste",30%,'Prévisionnel annuel'!$O$3="Conservateur",20%)</f>
        <v>0.25</v>
      </c>
      <c r="G54" s="140" cm="1">
        <f t="array" ref="G54">_xlfn.IFS('Prévisionnel annuel'!$O$3="Standard",25%,'Prévisionnel annuel'!$O$3="Optimiste",30%,'Prévisionnel annuel'!$O$3="Conservateur",20%)</f>
        <v>0.25</v>
      </c>
      <c r="H54" s="141" cm="1">
        <f t="array" ref="H54">_xlfn.IFS('Prévisionnel annuel'!$O$3="Standard",25%,'Prévisionnel annuel'!$O$3="Optimiste",30%,'Prévisionnel annuel'!$O$3="Conservateur",20%)</f>
        <v>0.25</v>
      </c>
    </row>
    <row r="55" spans="1:12" ht="13">
      <c r="A55" s="115" t="s">
        <v>84</v>
      </c>
      <c r="B55" s="139">
        <v>0</v>
      </c>
      <c r="C55" s="140">
        <v>0</v>
      </c>
      <c r="D55" s="140" cm="1">
        <f t="array" ref="D55">_xlfn.IFS('Prévisionnel annuel'!$O$3="Standard",25%,'Prévisionnel annuel'!$O$3="Optimiste",30%,'Prévisionnel annuel'!$O$3="Conservateur",20%)</f>
        <v>0.25</v>
      </c>
      <c r="E55" s="140" cm="1">
        <f t="array" ref="E55">_xlfn.IFS('Prévisionnel annuel'!$O$3="Standard",25%,'Prévisionnel annuel'!$O$3="Optimiste",30%,'Prévisionnel annuel'!$O$3="Conservateur",20%)</f>
        <v>0.25</v>
      </c>
      <c r="F55" s="140" cm="1">
        <f t="array" ref="F55">_xlfn.IFS('Prévisionnel annuel'!$O$3="Standard",25%,'Prévisionnel annuel'!$O$3="Optimiste",30%,'Prévisionnel annuel'!$O$3="Conservateur",20%)</f>
        <v>0.25</v>
      </c>
      <c r="G55" s="140" cm="1">
        <f t="array" ref="G55">_xlfn.IFS('Prévisionnel annuel'!$O$3="Standard",25%,'Prévisionnel annuel'!$O$3="Optimiste",30%,'Prévisionnel annuel'!$O$3="Conservateur",20%)</f>
        <v>0.25</v>
      </c>
      <c r="H55" s="141" cm="1">
        <f t="array" ref="H55">_xlfn.IFS('Prévisionnel annuel'!$O$3="Standard",25%,'Prévisionnel annuel'!$O$3="Optimiste",30%,'Prévisionnel annuel'!$O$3="Conservateur",20%)</f>
        <v>0.25</v>
      </c>
    </row>
    <row r="56" spans="1:12" ht="13">
      <c r="A56" s="40" t="s">
        <v>85</v>
      </c>
      <c r="B56" s="139">
        <v>0</v>
      </c>
      <c r="C56" s="140">
        <v>0</v>
      </c>
      <c r="D56" s="140">
        <v>0</v>
      </c>
      <c r="E56" s="140" cm="1">
        <f t="array" ref="E56">_xlfn.IFS('Prévisionnel annuel'!$O$3="Standard",25%,'Prévisionnel annuel'!$O$3="Optimiste",30%,'Prévisionnel annuel'!$O$3="Conservateur",20%)</f>
        <v>0.25</v>
      </c>
      <c r="F56" s="140" cm="1">
        <f t="array" ref="F56">_xlfn.IFS('Prévisionnel annuel'!$O$3="Standard",25%,'Prévisionnel annuel'!$O$3="Optimiste",30%,'Prévisionnel annuel'!$O$3="Conservateur",20%)</f>
        <v>0.25</v>
      </c>
      <c r="G56" s="140" cm="1">
        <f t="array" ref="G56">_xlfn.IFS('Prévisionnel annuel'!$O$3="Standard",25%,'Prévisionnel annuel'!$O$3="Optimiste",30%,'Prévisionnel annuel'!$O$3="Conservateur",20%)</f>
        <v>0.25</v>
      </c>
      <c r="H56" s="141" cm="1">
        <f t="array" ref="H56">_xlfn.IFS('Prévisionnel annuel'!$O$3="Standard",25%,'Prévisionnel annuel'!$O$3="Optimiste",30%,'Prévisionnel annuel'!$O$3="Conservateur",20%)</f>
        <v>0.25</v>
      </c>
    </row>
    <row r="57" spans="1:12" ht="13">
      <c r="A57" s="40" t="s">
        <v>86</v>
      </c>
      <c r="B57" s="139">
        <v>0</v>
      </c>
      <c r="C57" s="140">
        <v>0</v>
      </c>
      <c r="D57" s="140">
        <v>0</v>
      </c>
      <c r="E57" s="140" cm="1">
        <f t="array" ref="E57">_xlfn.IFS('Prévisionnel annuel'!$O$3="Standard",25%,'Prévisionnel annuel'!$O$3="Optimiste",30%,'Prévisionnel annuel'!$O$3="Conservateur",20%)</f>
        <v>0.25</v>
      </c>
      <c r="F57" s="140" cm="1">
        <f t="array" ref="F57">_xlfn.IFS('Prévisionnel annuel'!$O$3="Standard",25%,'Prévisionnel annuel'!$O$3="Optimiste",30%,'Prévisionnel annuel'!$O$3="Conservateur",20%)</f>
        <v>0.25</v>
      </c>
      <c r="G57" s="140" cm="1">
        <f t="array" ref="G57">_xlfn.IFS('Prévisionnel annuel'!$O$3="Standard",25%,'Prévisionnel annuel'!$O$3="Optimiste",30%,'Prévisionnel annuel'!$O$3="Conservateur",20%)</f>
        <v>0.25</v>
      </c>
      <c r="H57" s="141" cm="1">
        <f t="array" ref="H57">_xlfn.IFS('Prévisionnel annuel'!$O$3="Standard",25%,'Prévisionnel annuel'!$O$3="Optimiste",30%,'Prévisionnel annuel'!$O$3="Conservateur",20%)</f>
        <v>0.25</v>
      </c>
    </row>
    <row r="58" spans="1:12" ht="13">
      <c r="A58" s="40" t="s">
        <v>87</v>
      </c>
      <c r="B58" s="139">
        <v>0</v>
      </c>
      <c r="C58" s="140">
        <v>0</v>
      </c>
      <c r="D58" s="140">
        <v>0</v>
      </c>
      <c r="E58" s="140" cm="1">
        <f t="array" ref="E58">_xlfn.IFS('Prévisionnel annuel'!$O$3="Standard",25%,'Prévisionnel annuel'!$O$3="Optimiste",30%,'Prévisionnel annuel'!$O$3="Conservateur",20%)</f>
        <v>0.25</v>
      </c>
      <c r="F58" s="140" cm="1">
        <f t="array" ref="F58">_xlfn.IFS('Prévisionnel annuel'!$O$3="Standard",25%,'Prévisionnel annuel'!$O$3="Optimiste",30%,'Prévisionnel annuel'!$O$3="Conservateur",20%)</f>
        <v>0.25</v>
      </c>
      <c r="G58" s="140" cm="1">
        <f t="array" ref="G58">_xlfn.IFS('Prévisionnel annuel'!$O$3="Standard",25%,'Prévisionnel annuel'!$O$3="Optimiste",30%,'Prévisionnel annuel'!$O$3="Conservateur",20%)</f>
        <v>0.25</v>
      </c>
      <c r="H58" s="141" cm="1">
        <f t="array" ref="H58">_xlfn.IFS('Prévisionnel annuel'!$O$3="Standard",25%,'Prévisionnel annuel'!$O$3="Optimiste",30%,'Prévisionnel annuel'!$O$3="Conservateur",20%)</f>
        <v>0.25</v>
      </c>
    </row>
    <row r="59" spans="1:12" ht="13">
      <c r="A59" s="40"/>
      <c r="B59" s="142"/>
      <c r="C59" s="29"/>
      <c r="D59" s="29"/>
      <c r="E59" s="29"/>
      <c r="F59" s="29"/>
      <c r="G59" s="29"/>
      <c r="H59" s="65"/>
    </row>
    <row r="60" spans="1:12" ht="13">
      <c r="A60" s="40" t="s">
        <v>98</v>
      </c>
      <c r="B60" s="127">
        <f t="shared" ref="B60:H60" si="17">SUM(B61:B63)</f>
        <v>20000</v>
      </c>
      <c r="C60" s="42">
        <f t="shared" si="17"/>
        <v>40000</v>
      </c>
      <c r="D60" s="42">
        <f t="shared" si="17"/>
        <v>50000</v>
      </c>
      <c r="E60" s="42">
        <f t="shared" si="17"/>
        <v>50000</v>
      </c>
      <c r="F60" s="42">
        <f t="shared" si="17"/>
        <v>75000</v>
      </c>
      <c r="G60" s="42">
        <f t="shared" si="17"/>
        <v>277500</v>
      </c>
      <c r="H60" s="128">
        <f t="shared" si="17"/>
        <v>1261111.111111111</v>
      </c>
    </row>
    <row r="61" spans="1:12" ht="13">
      <c r="A61" s="143" t="s">
        <v>83</v>
      </c>
      <c r="B61" s="132">
        <v>20000</v>
      </c>
      <c r="C61" s="133">
        <v>40000</v>
      </c>
      <c r="D61" s="123">
        <f>IF(YEAR('Plan stratégique  likewatt'!$G43)&lt;D$9,'Annexe I  Scénario investisseme'!E$39,IF(YEAR('Plan stratégique  likewatt'!$G39)&gt;D$9,50000,DATEDIF('Plan stratégique  likewatt'!$G39,"31/12/2027","D")/360*'Annexe I  Scénario investisseme'!E$39))</f>
        <v>50000</v>
      </c>
      <c r="E61" s="123">
        <f>IF(YEAR('Plan stratégique  likewatt'!$G43)&lt;E$9,'Annexe I  Scénario investisseme'!F$39,IF(YEAR('Plan stratégique  likewatt'!$G39)&gt;E$9,50000,DATEDIF('Plan stratégique  likewatt'!$G39,"31/12/2028","D")/360*'Annexe I  Scénario investisseme'!EF$39))</f>
        <v>50000</v>
      </c>
      <c r="F61" s="123">
        <f>IF(YEAR('Plan stratégique  likewatt'!$G43)&lt;F$9,'Annexe I  Scénario investisseme'!G$39,IF(YEAR('Plan stratégique  likewatt'!$G39)&gt;F$9,75000,DATEDIF('Plan stratégique  likewatt'!$G39,"31/12/2029","D")/360*'Annexe I  Scénario investisseme'!EG$39))</f>
        <v>75000</v>
      </c>
      <c r="G61" s="123">
        <f>IF(YEAR('Plan stratégique  likewatt'!$G43)&lt;G$9,'Annexe I  Scénario investisseme'!H$39,IF(YEAR('Plan stratégique  likewatt'!$G39)&gt;G$9,'Annexe I  Scénario investisseme'!H$39*0.5,DATEDIF('Plan stratégique  likewatt'!$G39,"31/12/2030","D")/360*'Annexe I  Scénario investisseme'!EH$39))</f>
        <v>0</v>
      </c>
      <c r="H61" s="123">
        <f>IF(YEAR('Plan stratégique  likewatt'!$G43)&lt;H$9,'Annexe I  Scénario investisseme'!I$39,IF(YEAR('Plan stratégique  likewatt'!$G39)&gt;H$9,'Annexe I  Scénario investisseme'!I$39*0.5,DATEDIF('Plan stratégique  likewatt'!$G39,"31/12/2031","D")/360*'Annexe I  Scénario investisseme'!EI$39))</f>
        <v>400000</v>
      </c>
      <c r="J61" s="11"/>
    </row>
    <row r="62" spans="1:12" ht="13">
      <c r="A62" s="143" t="s">
        <v>84</v>
      </c>
      <c r="B62" s="132"/>
      <c r="C62" s="133"/>
      <c r="D62" s="123">
        <f>IF(YEAR('Plan stratégique  likewatt'!$G39)&lt;D$9,'Annexe I  Scénario investisseme'!E$39,IF(YEAR('Plan stratégique  likewatt'!$G39)&gt;D$9,0,DATEDIF('Plan stratégique  likewatt'!$G39,"31/12/2027","D")/360*'Annexe I  Scénario investisseme'!E$39))</f>
        <v>0</v>
      </c>
      <c r="E62" s="123">
        <f>IF(YEAR('Plan stratégique  likewatt'!$G39)&lt;E$9,'Annexe I  Scénario investisseme'!F$39,IF(YEAR('Plan stratégique  likewatt'!$G39)&gt;E$9,0,DATEDIF('Plan stratégique  likewatt'!$G39,"31/12/2028","D")/360*'Annexe I  Scénario investisseme'!F$39))</f>
        <v>0</v>
      </c>
      <c r="F62" s="123">
        <f>IF(YEAR('Plan stratégique  likewatt'!$G39)&lt;F$9,'Annexe I  Scénario investisseme'!G$39,IF(YEAR('Plan stratégique  likewatt'!$G39)&gt;F$9,0,DATEDIF('Plan stratégique  likewatt'!$G39,"31/12/2029","D")/360*'Annexe I  Scénario investisseme'!G$39))</f>
        <v>0</v>
      </c>
      <c r="G62" s="123">
        <f>IF(YEAR('Plan stratégique  likewatt'!$G39)&lt;G$9,'Annexe I  Scénario investisseme'!H$39,IF(YEAR('Plan stratégique  likewatt'!$G39)&gt;G$9,0,DATEDIF('Plan stratégique  likewatt'!$G39,"31/12/2030","D")/360*'Annexe I  Scénario investisseme'!H$39))</f>
        <v>277500</v>
      </c>
      <c r="H62" s="81">
        <f>IF(YEAR('Plan stratégique  likewatt'!$G39)&lt;H$9,'Annexe I  Scénario investisseme'!I$39,IF(YEAR('Plan stratégique  likewatt'!$G39)&gt;H$9,0,DATEDIF('Plan stratégique  likewatt'!$G39,"31/12/2031","D")/360*'Annexe I  Scénario investisseme'!I$39))</f>
        <v>400000</v>
      </c>
      <c r="J62" s="11"/>
    </row>
    <row r="63" spans="1:12" ht="13">
      <c r="A63" s="144" t="s">
        <v>85</v>
      </c>
      <c r="B63" s="132"/>
      <c r="C63" s="133"/>
      <c r="D63" s="123">
        <f>IF(YEAR('Plan stratégique  likewatt'!$G40)&lt;D$9,'Annexe I  Scénario investisseme'!E$66,IF(YEAR('Plan stratégique  likewatt'!$G40)&gt;D$9,0,DATEDIF('Plan stratégique  likewatt'!$G40,"31/12/2027","D")/360*'Annexe I  Scénario investisseme'!E$66))</f>
        <v>0</v>
      </c>
      <c r="E63" s="123">
        <f>IF(YEAR('Plan stratégique  likewatt'!$G40)&lt;E$9,'Annexe I  Scénario investisseme'!F$66,IF(YEAR('Plan stratégique  likewatt'!$G40)&gt;E$9,0,DATEDIF('Plan stratégique  likewatt'!$G40,"31/12/2028","D")/360*'Annexe I  Scénario investisseme'!F$66))</f>
        <v>0</v>
      </c>
      <c r="F63" s="123">
        <f>IF(YEAR('Plan stratégique  likewatt'!$G40)&lt;F$9,'Annexe I  Scénario investisseme'!G$66,IF(YEAR('Plan stratégique  likewatt'!$G40)&gt;F$9,0,DATEDIF('Plan stratégique  likewatt'!$G40,"31/12/2029","D")/360*'Annexe I  Scénario investisseme'!G$66))</f>
        <v>0</v>
      </c>
      <c r="G63" s="123">
        <f>IF(YEAR('Plan stratégique  likewatt'!$G40)&lt;G$9,'Annexe I  Scénario investisseme'!H$66,IF(YEAR('Plan stratégique  likewatt'!$G40)&gt;G$9,0,DATEDIF('Plan stratégique  likewatt'!$G40,"31/12/2030","D")/360*'Annexe I  Scénario investisseme'!H$66))</f>
        <v>0</v>
      </c>
      <c r="H63" s="81">
        <f>IF(YEAR('Plan stratégique  likewatt'!$G40)&lt;H$9,'Annexe I  Scénario investisseme'!I$66,IF(YEAR('Plan stratégique  likewatt'!$G40)&gt;H$9,0,DATEDIF('Plan stratégique  likewatt'!$G40,"31/12/2031","D")/360*'Annexe I  Scénario investisseme'!I$66))</f>
        <v>461111.11111111112</v>
      </c>
      <c r="J63" s="11"/>
    </row>
    <row r="64" spans="1:12" ht="13">
      <c r="A64" s="144" t="s">
        <v>86</v>
      </c>
      <c r="B64" s="145"/>
      <c r="C64" s="146"/>
      <c r="D64" s="123">
        <f>IF(YEAR('Plan stratégique  likewatt'!$G41)&lt;D$9,'Annexe I  Scénario investisseme'!E$90,IF(YEAR('Plan stratégique  likewatt'!$G41)&gt;D$9,0,DATEDIF('Plan stratégique  likewatt'!$G41,"31/12/2027","D")/360*'Annexe I  Scénario investisseme'!E$90))</f>
        <v>0</v>
      </c>
      <c r="E64" s="123">
        <f>IF(YEAR('Plan stratégique  likewatt'!$G41)&lt;E$9,'Annexe I  Scénario investisseme'!F$90,IF(YEAR('Plan stratégique  likewatt'!$G41)&gt;E$9,0,DATEDIF('Plan stratégique  likewatt'!$G41,"31/12/2028","D")/360*'Annexe I  Scénario investisseme'!F$90))</f>
        <v>0</v>
      </c>
      <c r="F64" s="123">
        <f>IF(YEAR('Plan stratégique  likewatt'!$G41)&lt;F$9,'Annexe I  Scénario investisseme'!G$90,IF(YEAR('Plan stratégique  likewatt'!$G41)&gt;F$9,0,DATEDIF('Plan stratégique  likewatt'!$G41,"31/12/2029","D")/360*'Annexe I  Scénario investisseme'!G$90))</f>
        <v>0</v>
      </c>
      <c r="G64" s="123">
        <f>IF(YEAR('Plan stratégique  likewatt'!$G41)&lt;G$9,'Annexe I  Scénario investisseme'!H$90,IF(YEAR('Plan stratégique  likewatt'!$G41)&gt;G$9,0,DATEDIF('Plan stratégique  likewatt'!$G41,"31/12/2030","D")/360*'Annexe I  Scénario investisseme'!H$90))</f>
        <v>0</v>
      </c>
      <c r="H64" s="81">
        <f>IF(YEAR('Plan stratégique  likewatt'!$G41)&lt;H$9,'Annexe I  Scénario investisseme'!I$90,IF(YEAR('Plan stratégique  likewatt'!$G41)&gt;H$9,0,DATEDIF('Plan stratégique  likewatt'!$G41,"31/12/2031","D")/360*'Annexe I  Scénario investisseme'!I$90))</f>
        <v>0</v>
      </c>
      <c r="J64" s="11"/>
    </row>
    <row r="65" spans="1:10" ht="13">
      <c r="A65" s="144" t="s">
        <v>87</v>
      </c>
      <c r="B65" s="145"/>
      <c r="C65" s="147"/>
      <c r="D65" s="123">
        <f>IF(YEAR('Plan stratégique  likewatt'!$G42)&lt;D$9,'Annexe I  Scénario investisseme'!E$114,IF(YEAR('Plan stratégique  likewatt'!$G42)&gt;D$9,0,DATEDIF('Plan stratégique  likewatt'!$G42,"31/12/2027","D")/360*'Annexe I  Scénario investisseme'!E$114))</f>
        <v>0</v>
      </c>
      <c r="E65" s="123">
        <f>IF(YEAR('Plan stratégique  likewatt'!$G42)&lt;E$9,'Annexe I  Scénario investisseme'!F$114,IF(YEAR('Plan stratégique  likewatt'!$G42)&gt;E$9,0,DATEDIF('Plan stratégique  likewatt'!$G42,"31/12/2028","D")/360*'Annexe I  Scénario investisseme'!F$114))</f>
        <v>0</v>
      </c>
      <c r="F65" s="123">
        <f>IF(YEAR('Plan stratégique  likewatt'!$G42)&lt;F$9,'Annexe I  Scénario investisseme'!G$114,IF(YEAR('Plan stratégique  likewatt'!$G42)&gt;F$9,0,DATEDIF('Plan stratégique  likewatt'!$G42,"31/12/2029","D")/360*'Annexe I  Scénario investisseme'!G$114))</f>
        <v>0</v>
      </c>
      <c r="G65" s="123">
        <f>IF(YEAR('Plan stratégique  likewatt'!$G42)&lt;G$9,'Annexe I  Scénario investisseme'!H$114,IF(YEAR('Plan stratégique  likewatt'!$G42)&gt;G$9,0,DATEDIF('Plan stratégique  likewatt'!$G42,"31/12/2030","D")/360*'Annexe I  Scénario investisseme'!H$114))</f>
        <v>0</v>
      </c>
      <c r="H65" s="81">
        <f>IF(YEAR('Plan stratégique  likewatt'!$G42)&lt;H$9,'Annexe I  Scénario investisseme'!I$114,IF(YEAR('Plan stratégique  likewatt'!$G42)&gt;H$9,0,DATEDIF('Plan stratégique  likewatt'!$G42,"31/12/2031","D")/360*'Annexe I  Scénario investisseme'!I$114))</f>
        <v>0</v>
      </c>
      <c r="J65" s="11"/>
    </row>
    <row r="66" spans="1:10" ht="13">
      <c r="A66" s="40"/>
      <c r="B66" s="132"/>
      <c r="C66" s="123"/>
      <c r="D66" s="123"/>
      <c r="E66" s="123"/>
      <c r="F66" s="123"/>
      <c r="G66" s="123"/>
      <c r="H66" s="81"/>
      <c r="J66" s="11"/>
    </row>
    <row r="67" spans="1:10" ht="13">
      <c r="A67" s="40" t="s">
        <v>99</v>
      </c>
      <c r="B67" s="132">
        <f>250*794/637</f>
        <v>311.61695447409733</v>
      </c>
      <c r="C67" s="123">
        <f t="shared" ref="C67:H67" si="18">B67</f>
        <v>311.61695447409733</v>
      </c>
      <c r="D67" s="123">
        <f t="shared" si="18"/>
        <v>311.61695447409733</v>
      </c>
      <c r="E67" s="123">
        <f t="shared" si="18"/>
        <v>311.61695447409733</v>
      </c>
      <c r="F67" s="123">
        <f t="shared" si="18"/>
        <v>311.61695447409733</v>
      </c>
      <c r="G67" s="123">
        <f t="shared" si="18"/>
        <v>311.61695447409733</v>
      </c>
      <c r="H67" s="81">
        <f t="shared" si="18"/>
        <v>311.61695447409733</v>
      </c>
      <c r="J67" s="148" t="s">
        <v>100</v>
      </c>
    </row>
    <row r="68" spans="1:10" ht="13">
      <c r="A68" s="11" t="s">
        <v>101</v>
      </c>
      <c r="B68" s="149">
        <v>6</v>
      </c>
      <c r="C68" s="111"/>
      <c r="D68" s="111"/>
      <c r="E68" s="111"/>
      <c r="F68" s="111"/>
      <c r="G68" s="111"/>
      <c r="H68" s="137"/>
      <c r="I68" s="108"/>
    </row>
    <row r="69" spans="1:10" ht="13">
      <c r="A69" s="11" t="s">
        <v>102</v>
      </c>
      <c r="B69" s="132">
        <v>50000</v>
      </c>
      <c r="C69" s="150"/>
      <c r="D69" s="150"/>
      <c r="E69" s="150"/>
      <c r="F69" s="150"/>
      <c r="G69" s="150"/>
      <c r="H69" s="151"/>
      <c r="I69" s="108"/>
    </row>
    <row r="70" spans="1:10" ht="13">
      <c r="A70" s="40"/>
      <c r="B70" s="134"/>
      <c r="C70" s="150"/>
      <c r="D70" s="150"/>
      <c r="E70" s="150"/>
      <c r="F70" s="150"/>
      <c r="G70" s="150"/>
      <c r="H70" s="151"/>
      <c r="I70" s="108"/>
    </row>
    <row r="71" spans="1:10" ht="13">
      <c r="A71" s="40" t="s">
        <v>103</v>
      </c>
      <c r="B71" s="139">
        <v>0.05</v>
      </c>
      <c r="C71" s="140" cm="1">
        <f t="array" ref="C71">_xlfn.IFS('Prévisionnel annuel'!$O$5="Standard",10%,'Prévisionnel annuel'!$O$5="Optimiste",13%,'Prévisionnel annuel'!$O$5="Conservateur",7%)</f>
        <v>0.1</v>
      </c>
      <c r="D71" s="140" cm="1">
        <f t="array" ref="D71">_xlfn.IFS('Prévisionnel annuel'!$O$5="Standard",25%,'Prévisionnel annuel'!$O$5="Optimiste",30%,'Prévisionnel annuel'!$O$5="Conservateur",20%)</f>
        <v>0.25</v>
      </c>
      <c r="E71" s="140" cm="1">
        <f t="array" ref="E71">_xlfn.IFS('Prévisionnel annuel'!$O$5="Standard",45%,'Prévisionnel annuel'!$O$5="Optimiste",50%,'Prévisionnel annuel'!$O$5="Conservateur",40%)</f>
        <v>0.45</v>
      </c>
      <c r="F71" s="140">
        <f>_xlfn.IFS('Prévisionnel annuel'!$O$5="Standard",60%,'Prévisionnel annuel'!$O$5="Optimiste",70%,'Prévisionnel annuel'!$O$5="Conservateur",50%)</f>
        <v>0.6</v>
      </c>
      <c r="G71" s="140" cm="1">
        <f t="array" ref="G71">_xlfn.IFS('Prévisionnel annuel'!$O$5="Standard",65%,'Prévisionnel annuel'!$O$5="Optimiste",75%,'Prévisionnel annuel'!$O$5="Conservateur",50%)</f>
        <v>0.65</v>
      </c>
      <c r="H71" s="141" cm="1">
        <f t="array" ref="H71">_xlfn.IFS('Prévisionnel annuel'!$O$5="Standard",65%,'Prévisionnel annuel'!$O$5="Optimiste",80%,'Prévisionnel annuel'!$O$5="Conservateur",50%)</f>
        <v>0.65</v>
      </c>
      <c r="I71" s="108"/>
    </row>
    <row r="72" spans="1:10" ht="13">
      <c r="A72" s="40" t="s">
        <v>104</v>
      </c>
      <c r="B72" s="139">
        <v>0.08</v>
      </c>
      <c r="C72" s="140" cm="1">
        <f t="array" ref="C72">_xlfn.IFS('Prévisionnel annuel'!$O$5="Standard",9%,'Prévisionnel annuel'!$O$5="Optimiste",10%,'Prévisionnel annuel'!$O$5="Conservateur",8%)</f>
        <v>0.09</v>
      </c>
      <c r="D72" s="140" cm="1">
        <f t="array" ref="D72">_xlfn.IFS('Prévisionnel annuel'!$O$5="Standard",12%,'Prévisionnel annuel'!$O$5="Optimiste",15%,'Prévisionnel annuel'!$O$5="Conservateur",9%)</f>
        <v>0.12</v>
      </c>
      <c r="E72" s="140" cm="1">
        <f t="array" ref="E72">_xlfn.IFS('Prévisionnel annuel'!$O$5="Standard",18%,'Prévisionnel annuel'!$O$5="Optimiste",25%,'Prévisionnel annuel'!$O$5="Conservateur",11%)</f>
        <v>0.18</v>
      </c>
      <c r="F72" s="140" cm="1">
        <f t="array" ref="F72">_xlfn.IFS('Prévisionnel annuel'!$O$5="Standard",25%,'Prévisionnel annuel'!$O$5="Optimiste",35%,'Prévisionnel annuel'!$O$5="Conservateur",15%)</f>
        <v>0.25</v>
      </c>
      <c r="G72" s="140" cm="1">
        <f t="array" ref="G72">_xlfn.IFS('Prévisionnel annuel'!$O$5="Standard",35%,'Prévisionnel annuel'!$O$5="Optimiste",45%,'Prévisionnel annuel'!$O$5="Conservateur",20%)</f>
        <v>0.35</v>
      </c>
      <c r="H72" s="141" cm="1">
        <f t="array" ref="H72">_xlfn.IFS('Prévisionnel annuel'!$O$5="Standard",45%,'Prévisionnel annuel'!$O$5="Optimiste",60%,'Prévisionnel annuel'!$O$5="Conservateur",20%)</f>
        <v>0.45</v>
      </c>
      <c r="I72" s="108"/>
    </row>
    <row r="73" spans="1:10" ht="13">
      <c r="A73" s="40"/>
      <c r="B73" s="40"/>
      <c r="H73" s="10"/>
      <c r="I73" s="108"/>
    </row>
    <row r="74" spans="1:10" ht="13">
      <c r="A74" s="40" t="s">
        <v>105</v>
      </c>
      <c r="B74" s="132">
        <v>0</v>
      </c>
      <c r="H74" s="10"/>
      <c r="I74" s="108"/>
    </row>
    <row r="75" spans="1:10" ht="13">
      <c r="A75" s="40" t="s">
        <v>106</v>
      </c>
      <c r="B75" s="132">
        <v>490</v>
      </c>
      <c r="H75" s="10"/>
      <c r="I75" s="108"/>
    </row>
    <row r="76" spans="1:10" ht="13">
      <c r="A76" s="43"/>
      <c r="B76" s="152"/>
      <c r="C76" s="153"/>
      <c r="D76" s="153"/>
      <c r="E76" s="153"/>
      <c r="F76" s="153"/>
      <c r="G76" s="153"/>
      <c r="H76" s="154"/>
      <c r="I76" s="108"/>
    </row>
    <row r="77" spans="1:10" ht="13">
      <c r="A77" s="24"/>
    </row>
    <row r="78" spans="1:10" ht="13">
      <c r="A78" s="155" t="s">
        <v>107</v>
      </c>
      <c r="B78" s="32"/>
      <c r="C78" s="113"/>
      <c r="D78" s="113"/>
      <c r="E78" s="113"/>
      <c r="F78" s="113"/>
      <c r="G78" s="113"/>
      <c r="H78" s="114"/>
    </row>
    <row r="79" spans="1:10" ht="13">
      <c r="A79" s="13" t="s">
        <v>108</v>
      </c>
      <c r="B79" s="156">
        <f>'Annexe G  Evolution Portefeuill'!C6</f>
        <v>0.10466174574128359</v>
      </c>
      <c r="C79" s="157">
        <f>'Annexe G  Evolution Portefeuill'!D6</f>
        <v>8.4563143338394722E-2</v>
      </c>
      <c r="D79" s="157">
        <f>'Annexe G  Evolution Portefeuill'!E6</f>
        <v>6.4055215891049067E-2</v>
      </c>
      <c r="E79" s="157">
        <f>'Annexe G  Evolution Portefeuill'!F6</f>
        <v>5.3645420186557116E-2</v>
      </c>
      <c r="F79" s="157">
        <f>'Annexe G  Evolution Portefeuill'!G6</f>
        <v>5.3645420186557116E-2</v>
      </c>
      <c r="G79" s="157">
        <f>'Annexe G  Evolution Portefeuill'!H6</f>
        <v>5.3645420186557116E-2</v>
      </c>
      <c r="H79" s="158">
        <f>'Annexe G  Evolution Portefeuill'!I6</f>
        <v>5.3645420186557116E-2</v>
      </c>
    </row>
    <row r="80" spans="1:10" ht="13">
      <c r="A80" s="13" t="s">
        <v>109</v>
      </c>
      <c r="B80" s="156">
        <f>'Annexe G  Evolution Portefeuill'!C7</f>
        <v>0.23919697156069106</v>
      </c>
      <c r="C80" s="157">
        <f>'Annexe G  Evolution Portefeuill'!D7</f>
        <v>0.17651034166339671</v>
      </c>
      <c r="D80" s="157">
        <f>'Annexe G  Evolution Portefeuill'!E7</f>
        <v>0.15316551437474402</v>
      </c>
      <c r="E80" s="157">
        <f>'Annexe G  Evolution Portefeuill'!F7</f>
        <v>0.13405824919795337</v>
      </c>
      <c r="F80" s="157">
        <f>'Annexe G  Evolution Portefeuill'!G7</f>
        <v>0.12435839071261355</v>
      </c>
      <c r="G80" s="157">
        <f>'Annexe G  Evolution Portefeuill'!H7</f>
        <v>0.11455985706349622</v>
      </c>
      <c r="H80" s="158">
        <f>'Annexe G  Evolution Portefeuill'!I7</f>
        <v>0.12435839071261355</v>
      </c>
    </row>
    <row r="81" spans="1:8" ht="13">
      <c r="A81" s="13" t="s">
        <v>110</v>
      </c>
      <c r="B81" s="156">
        <f>'Annexe G  Evolution Portefeuill'!C8</f>
        <v>0.41913340363833024</v>
      </c>
      <c r="C81" s="157">
        <f>'Annexe G  Evolution Portefeuill'!D8</f>
        <v>0.35910133890419332</v>
      </c>
      <c r="D81" s="157">
        <f>'Annexe G  Evolution Portefeuill'!E8</f>
        <v>0.33050480340064964</v>
      </c>
      <c r="E81" s="157">
        <f>'Annexe G  Evolution Portefeuill'!F8</f>
        <v>0.31436174457055743</v>
      </c>
      <c r="F81" s="157">
        <f>'Annexe G  Evolution Portefeuill'!G8</f>
        <v>0.41308270992622942</v>
      </c>
      <c r="G81" s="157">
        <f>'Annexe G  Evolution Portefeuill'!H8</f>
        <v>0.28911929371106099</v>
      </c>
      <c r="H81" s="158">
        <f>'Annexe G  Evolution Portefeuill'!I8</f>
        <v>0.27879920389676033</v>
      </c>
    </row>
    <row r="82" spans="1:8" ht="13">
      <c r="A82" s="13" t="s">
        <v>111</v>
      </c>
      <c r="B82" s="142"/>
      <c r="H82" s="10"/>
    </row>
    <row r="83" spans="1:8" ht="13">
      <c r="A83" s="13" t="s">
        <v>112</v>
      </c>
      <c r="B83" s="142"/>
      <c r="H83" s="10"/>
    </row>
    <row r="84" spans="1:8" ht="13">
      <c r="A84" s="13" t="s">
        <v>113</v>
      </c>
      <c r="B84" s="117">
        <v>1</v>
      </c>
      <c r="H84" s="10"/>
    </row>
    <row r="85" spans="1:8" ht="13">
      <c r="A85" s="13" t="s">
        <v>114</v>
      </c>
      <c r="B85" s="159">
        <f>B84/10</f>
        <v>0.1</v>
      </c>
      <c r="H85" s="10"/>
    </row>
    <row r="86" spans="1:8" ht="13">
      <c r="A86" s="13" t="s">
        <v>115</v>
      </c>
      <c r="B86" s="117">
        <v>4</v>
      </c>
      <c r="H86" s="10"/>
    </row>
    <row r="87" spans="1:8" ht="13">
      <c r="A87" s="17" t="s">
        <v>116</v>
      </c>
      <c r="B87" s="160">
        <v>4</v>
      </c>
      <c r="C87" s="120"/>
      <c r="D87" s="120"/>
      <c r="E87" s="120"/>
      <c r="F87" s="120"/>
      <c r="G87" s="120"/>
      <c r="H87" s="121"/>
    </row>
    <row r="88" spans="1:8" ht="13">
      <c r="A88" s="11"/>
    </row>
    <row r="89" spans="1:8" ht="13">
      <c r="A89" s="11"/>
    </row>
    <row r="90" spans="1:8" ht="13">
      <c r="A90" s="25" t="s">
        <v>117</v>
      </c>
    </row>
    <row r="91" spans="1:8" ht="13">
      <c r="A91" s="32" t="s">
        <v>118</v>
      </c>
      <c r="B91" s="161">
        <v>6</v>
      </c>
    </row>
    <row r="92" spans="1:8" ht="13">
      <c r="A92" s="40" t="s">
        <v>119</v>
      </c>
      <c r="B92" s="162">
        <v>3</v>
      </c>
    </row>
    <row r="93" spans="1:8" ht="13">
      <c r="A93" s="40" t="s">
        <v>120</v>
      </c>
      <c r="B93" s="163">
        <v>0.1</v>
      </c>
    </row>
    <row r="94" spans="1:8" ht="13">
      <c r="A94" s="40" t="s">
        <v>121</v>
      </c>
      <c r="B94" s="164">
        <v>1000</v>
      </c>
    </row>
    <row r="95" spans="1:8" ht="13">
      <c r="A95" s="40" t="s">
        <v>122</v>
      </c>
      <c r="B95" s="164">
        <v>160</v>
      </c>
    </row>
    <row r="96" spans="1:8" ht="13">
      <c r="A96" s="40" t="s">
        <v>123</v>
      </c>
      <c r="B96" s="164">
        <v>130</v>
      </c>
    </row>
    <row r="97" spans="1:2" ht="13">
      <c r="A97" s="40" t="s">
        <v>124</v>
      </c>
      <c r="B97" s="164">
        <v>200</v>
      </c>
    </row>
    <row r="98" spans="1:2" ht="13">
      <c r="A98" s="40" t="s">
        <v>125</v>
      </c>
      <c r="B98" s="164">
        <v>100</v>
      </c>
    </row>
    <row r="99" spans="1:2" ht="13">
      <c r="A99" s="43" t="s">
        <v>126</v>
      </c>
      <c r="B99" s="165">
        <v>100</v>
      </c>
    </row>
  </sheetData>
  <hyperlinks>
    <hyperlink ref="J67" r:id="rId1" xr:uid="{00000000-0004-0000-0300-000000000000}"/>
  </hyperlinks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D120"/>
  <sheetViews>
    <sheetView workbookViewId="0"/>
  </sheetViews>
  <sheetFormatPr baseColWidth="10" defaultColWidth="12.6640625" defaultRowHeight="15.75" customHeight="1" outlineLevelRow="1"/>
  <cols>
    <col min="1" max="1" width="14.83203125" customWidth="1"/>
    <col min="2" max="2" width="37.1640625" customWidth="1"/>
  </cols>
  <sheetData>
    <row r="1" spans="1:82" ht="15">
      <c r="A1" s="61"/>
      <c r="B1" s="62"/>
      <c r="C1" s="707">
        <v>2025</v>
      </c>
      <c r="D1" s="700"/>
      <c r="E1" s="700"/>
      <c r="F1" s="700"/>
      <c r="G1" s="700"/>
      <c r="H1" s="700"/>
      <c r="I1" s="700"/>
      <c r="J1" s="708">
        <v>2026</v>
      </c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4"/>
      <c r="V1" s="710">
        <v>2027</v>
      </c>
      <c r="W1" s="709"/>
      <c r="X1" s="709"/>
      <c r="Y1" s="709"/>
      <c r="Z1" s="709"/>
      <c r="AA1" s="709"/>
      <c r="AB1" s="709"/>
      <c r="AC1" s="709"/>
      <c r="AD1" s="709"/>
      <c r="AE1" s="709"/>
      <c r="AF1" s="709"/>
      <c r="AG1" s="704"/>
      <c r="AH1" s="710">
        <v>2028</v>
      </c>
      <c r="AI1" s="709"/>
      <c r="AJ1" s="709"/>
      <c r="AK1" s="709"/>
      <c r="AL1" s="709"/>
      <c r="AM1" s="709"/>
      <c r="AN1" s="709"/>
      <c r="AO1" s="709"/>
      <c r="AP1" s="709"/>
      <c r="AQ1" s="709"/>
      <c r="AR1" s="709"/>
      <c r="AS1" s="704"/>
      <c r="AT1" s="710">
        <v>2029</v>
      </c>
      <c r="AU1" s="709"/>
      <c r="AV1" s="709"/>
      <c r="AW1" s="709"/>
      <c r="AX1" s="709"/>
      <c r="AY1" s="709"/>
      <c r="AZ1" s="709"/>
      <c r="BA1" s="709"/>
      <c r="BB1" s="709"/>
      <c r="BC1" s="709"/>
      <c r="BD1" s="709"/>
      <c r="BE1" s="704"/>
      <c r="BF1" s="705">
        <v>2030</v>
      </c>
      <c r="BG1" s="706"/>
      <c r="BH1" s="706"/>
      <c r="BI1" s="706"/>
      <c r="BJ1" s="706"/>
      <c r="BK1" s="706"/>
      <c r="BL1" s="706"/>
      <c r="BM1" s="706"/>
      <c r="BN1" s="706"/>
      <c r="BO1" s="706"/>
      <c r="BP1" s="706"/>
      <c r="BQ1" s="706"/>
      <c r="BR1" s="166"/>
      <c r="BS1" s="166"/>
      <c r="BT1" s="166"/>
      <c r="BU1" s="166"/>
      <c r="BV1" s="166"/>
      <c r="BW1" s="166"/>
      <c r="BX1" s="166"/>
      <c r="BY1" s="166"/>
      <c r="BZ1" s="166"/>
      <c r="CA1" s="166"/>
      <c r="CB1" s="166"/>
      <c r="CC1" s="166"/>
      <c r="CD1" s="166"/>
    </row>
    <row r="2" spans="1:82" ht="14">
      <c r="A2" s="167"/>
      <c r="B2" s="67"/>
      <c r="C2" s="168">
        <v>45809</v>
      </c>
      <c r="D2" s="169">
        <v>45839</v>
      </c>
      <c r="E2" s="169">
        <v>45870</v>
      </c>
      <c r="F2" s="169">
        <v>45901</v>
      </c>
      <c r="G2" s="169">
        <v>45931</v>
      </c>
      <c r="H2" s="169">
        <v>45962</v>
      </c>
      <c r="I2" s="170">
        <v>45992</v>
      </c>
      <c r="J2" s="171">
        <v>46023</v>
      </c>
      <c r="K2" s="171">
        <v>46054</v>
      </c>
      <c r="L2" s="171">
        <v>46082</v>
      </c>
      <c r="M2" s="171">
        <v>46113</v>
      </c>
      <c r="N2" s="171">
        <v>46143</v>
      </c>
      <c r="O2" s="171">
        <v>46174</v>
      </c>
      <c r="P2" s="171">
        <v>46204</v>
      </c>
      <c r="Q2" s="171">
        <v>46235</v>
      </c>
      <c r="R2" s="171">
        <v>46266</v>
      </c>
      <c r="S2" s="171">
        <v>46296</v>
      </c>
      <c r="T2" s="171">
        <v>46327</v>
      </c>
      <c r="U2" s="171">
        <v>46357</v>
      </c>
      <c r="V2" s="171">
        <v>46388</v>
      </c>
      <c r="W2" s="171">
        <v>46419</v>
      </c>
      <c r="X2" s="171">
        <v>46447</v>
      </c>
      <c r="Y2" s="171">
        <v>46478</v>
      </c>
      <c r="Z2" s="171">
        <v>46508</v>
      </c>
      <c r="AA2" s="171">
        <v>46539</v>
      </c>
      <c r="AB2" s="171">
        <v>46569</v>
      </c>
      <c r="AC2" s="171">
        <v>46600</v>
      </c>
      <c r="AD2" s="171">
        <v>46631</v>
      </c>
      <c r="AE2" s="171">
        <v>46661</v>
      </c>
      <c r="AF2" s="171">
        <v>46692</v>
      </c>
      <c r="AG2" s="171">
        <v>46722</v>
      </c>
      <c r="AH2" s="171">
        <v>46753</v>
      </c>
      <c r="AI2" s="171">
        <v>46784</v>
      </c>
      <c r="AJ2" s="171">
        <v>46813</v>
      </c>
      <c r="AK2" s="171">
        <v>46844</v>
      </c>
      <c r="AL2" s="171">
        <v>46874</v>
      </c>
      <c r="AM2" s="171">
        <v>46905</v>
      </c>
      <c r="AN2" s="171">
        <v>46935</v>
      </c>
      <c r="AO2" s="171">
        <v>46966</v>
      </c>
      <c r="AP2" s="171">
        <v>46997</v>
      </c>
      <c r="AQ2" s="171">
        <v>47027</v>
      </c>
      <c r="AR2" s="171">
        <v>47058</v>
      </c>
      <c r="AS2" s="171">
        <v>47088</v>
      </c>
      <c r="AT2" s="168">
        <v>47119</v>
      </c>
      <c r="AU2" s="169">
        <v>47150</v>
      </c>
      <c r="AV2" s="169">
        <v>47178</v>
      </c>
      <c r="AW2" s="169">
        <v>47209</v>
      </c>
      <c r="AX2" s="169">
        <v>47239</v>
      </c>
      <c r="AY2" s="169">
        <v>47270</v>
      </c>
      <c r="AZ2" s="169">
        <v>47300</v>
      </c>
      <c r="BA2" s="169">
        <v>47331</v>
      </c>
      <c r="BB2" s="169">
        <v>47362</v>
      </c>
      <c r="BC2" s="169">
        <v>47392</v>
      </c>
      <c r="BD2" s="169">
        <v>47423</v>
      </c>
      <c r="BE2" s="170">
        <v>47453</v>
      </c>
      <c r="BF2" s="172">
        <v>47484</v>
      </c>
      <c r="BG2" s="171">
        <v>47515</v>
      </c>
      <c r="BH2" s="171">
        <v>47543</v>
      </c>
      <c r="BI2" s="171">
        <v>47574</v>
      </c>
      <c r="BJ2" s="171">
        <v>47604</v>
      </c>
      <c r="BK2" s="171">
        <v>47635</v>
      </c>
      <c r="BL2" s="171">
        <v>47665</v>
      </c>
      <c r="BM2" s="171">
        <v>47696</v>
      </c>
      <c r="BN2" s="171">
        <v>47727</v>
      </c>
      <c r="BO2" s="171">
        <v>47757</v>
      </c>
      <c r="BP2" s="171">
        <v>47788</v>
      </c>
      <c r="BQ2" s="173">
        <v>47818</v>
      </c>
      <c r="BR2" s="168">
        <v>47849</v>
      </c>
      <c r="BS2" s="169">
        <v>47880</v>
      </c>
      <c r="BT2" s="169">
        <v>47908</v>
      </c>
      <c r="BU2" s="169">
        <v>47939</v>
      </c>
      <c r="BV2" s="169">
        <v>47969</v>
      </c>
      <c r="BW2" s="169">
        <v>48000</v>
      </c>
      <c r="BX2" s="169">
        <v>48030</v>
      </c>
      <c r="BY2" s="169">
        <v>48061</v>
      </c>
      <c r="BZ2" s="169">
        <v>48092</v>
      </c>
      <c r="CA2" s="169">
        <v>48122</v>
      </c>
      <c r="CB2" s="169">
        <v>48153</v>
      </c>
      <c r="CC2" s="170">
        <v>48183</v>
      </c>
      <c r="CD2" s="174"/>
    </row>
    <row r="3" spans="1:82" ht="16">
      <c r="A3" s="175" t="s">
        <v>127</v>
      </c>
      <c r="B3" s="176"/>
      <c r="C3" s="177">
        <f t="shared" ref="C3:CC3" si="0">C4+C8+C12</f>
        <v>53008.343308159572</v>
      </c>
      <c r="D3" s="178">
        <f t="shared" si="0"/>
        <v>54444.88701342175</v>
      </c>
      <c r="E3" s="178">
        <f t="shared" si="0"/>
        <v>55553.416318566655</v>
      </c>
      <c r="F3" s="178">
        <f t="shared" si="0"/>
        <v>56642.457527236154</v>
      </c>
      <c r="G3" s="178">
        <f t="shared" si="0"/>
        <v>57712.458466375145</v>
      </c>
      <c r="H3" s="178">
        <f t="shared" si="0"/>
        <v>58763.854645349442</v>
      </c>
      <c r="I3" s="179">
        <f t="shared" si="0"/>
        <v>59797.069646586053</v>
      </c>
      <c r="J3" s="177">
        <f t="shared" ca="1" si="0"/>
        <v>63058.019088704226</v>
      </c>
      <c r="K3" s="178">
        <f t="shared" ca="1" si="0"/>
        <v>64573.59442223682</v>
      </c>
      <c r="L3" s="178">
        <f t="shared" ca="1" si="0"/>
        <v>64879.224260736642</v>
      </c>
      <c r="M3" s="178">
        <f t="shared" ca="1" si="0"/>
        <v>66495.792070036783</v>
      </c>
      <c r="N3" s="178">
        <f t="shared" ca="1" si="0"/>
        <v>67965.939599313628</v>
      </c>
      <c r="O3" s="178">
        <f t="shared" ca="1" si="0"/>
        <v>69421.154514475769</v>
      </c>
      <c r="P3" s="178">
        <f t="shared" ca="1" si="0"/>
        <v>70861.68842989899</v>
      </c>
      <c r="Q3" s="178">
        <f t="shared" ca="1" si="0"/>
        <v>72845.473041214747</v>
      </c>
      <c r="R3" s="178">
        <f t="shared" ca="1" si="0"/>
        <v>74725.610691054608</v>
      </c>
      <c r="S3" s="178">
        <f t="shared" ca="1" si="0"/>
        <v>76584.406742054198</v>
      </c>
      <c r="T3" s="178">
        <f t="shared" ca="1" si="0"/>
        <v>78422.270435839688</v>
      </c>
      <c r="U3" s="179">
        <f t="shared" ca="1" si="0"/>
        <v>80239.601220647412</v>
      </c>
      <c r="V3" s="177">
        <f t="shared" ca="1" si="0"/>
        <v>90301.65339045263</v>
      </c>
      <c r="W3" s="178">
        <f t="shared" ca="1" si="0"/>
        <v>92600.371268772025</v>
      </c>
      <c r="X3" s="178">
        <f t="shared" ca="1" si="0"/>
        <v>94889.668903121492</v>
      </c>
      <c r="Y3" s="178">
        <f t="shared" ca="1" si="0"/>
        <v>97169.640600876752</v>
      </c>
      <c r="Z3" s="178">
        <f t="shared" ca="1" si="0"/>
        <v>99440.379468693034</v>
      </c>
      <c r="AA3" s="178">
        <f t="shared" ca="1" si="0"/>
        <v>101701.97743416257</v>
      </c>
      <c r="AB3" s="178">
        <f t="shared" ca="1" si="0"/>
        <v>103954.52526691642</v>
      </c>
      <c r="AC3" s="178">
        <f t="shared" ca="1" si="0"/>
        <v>106550.34718477516</v>
      </c>
      <c r="AD3" s="178">
        <f t="shared" ca="1" si="0"/>
        <v>109053.13007793279</v>
      </c>
      <c r="AE3" s="178">
        <f t="shared" ca="1" si="0"/>
        <v>111544.59746287017</v>
      </c>
      <c r="AF3" s="178">
        <f t="shared" ca="1" si="0"/>
        <v>114024.88879098922</v>
      </c>
      <c r="AG3" s="179">
        <f t="shared" ca="1" si="0"/>
        <v>116494.14107156378</v>
      </c>
      <c r="AH3" s="177">
        <f t="shared" ca="1" si="0"/>
        <v>128375.3305412351</v>
      </c>
      <c r="AI3" s="178">
        <f t="shared" ca="1" si="0"/>
        <v>131289.34452836012</v>
      </c>
      <c r="AJ3" s="178">
        <f t="shared" ca="1" si="0"/>
        <v>134200.31447597683</v>
      </c>
      <c r="AK3" s="178">
        <f t="shared" ca="1" si="0"/>
        <v>137108.20256236251</v>
      </c>
      <c r="AL3" s="178">
        <f t="shared" ca="1" si="0"/>
        <v>140012.97253311926</v>
      </c>
      <c r="AM3" s="178">
        <f t="shared" ca="1" si="0"/>
        <v>142914.58966069907</v>
      </c>
      <c r="AN3" s="178">
        <f t="shared" ca="1" si="0"/>
        <v>145813.02070483711</v>
      </c>
      <c r="AO3" s="178">
        <f t="shared" ca="1" si="0"/>
        <v>148708.23387387473</v>
      </c>
      <c r="AP3" s="178">
        <f t="shared" ca="1" si="0"/>
        <v>151600.19878695402</v>
      </c>
      <c r="AQ3" s="178">
        <f t="shared" ca="1" si="0"/>
        <v>154488.8864370666</v>
      </c>
      <c r="AR3" s="178">
        <f t="shared" ca="1" si="0"/>
        <v>157374.26915493852</v>
      </c>
      <c r="AS3" s="179">
        <f t="shared" ca="1" si="0"/>
        <v>160256.32057373473</v>
      </c>
      <c r="AT3" s="177">
        <f t="shared" ca="1" si="0"/>
        <v>178924.05293302063</v>
      </c>
      <c r="AU3" s="178">
        <f t="shared" ca="1" si="0"/>
        <v>181822.7646995926</v>
      </c>
      <c r="AV3" s="178">
        <f t="shared" ca="1" si="0"/>
        <v>184713.70365573897</v>
      </c>
      <c r="AW3" s="178">
        <f t="shared" ca="1" si="0"/>
        <v>187596.79691942266</v>
      </c>
      <c r="AX3" s="178">
        <f t="shared" ca="1" si="0"/>
        <v>190471.97594362855</v>
      </c>
      <c r="AY3" s="178">
        <f t="shared" ca="1" si="0"/>
        <v>193339.17637407972</v>
      </c>
      <c r="AZ3" s="178">
        <f t="shared" ca="1" si="0"/>
        <v>196198.33791112568</v>
      </c>
      <c r="BA3" s="178">
        <f t="shared" ca="1" si="0"/>
        <v>200260.92723783362</v>
      </c>
      <c r="BB3" s="178">
        <f t="shared" ca="1" si="0"/>
        <v>203946.38928578986</v>
      </c>
      <c r="BC3" s="178">
        <f t="shared" ca="1" si="0"/>
        <v>207617.08585864349</v>
      </c>
      <c r="BD3" s="178">
        <f t="shared" ca="1" si="0"/>
        <v>211273.07169199671</v>
      </c>
      <c r="BE3" s="179">
        <f t="shared" ca="1" si="0"/>
        <v>214914.40283433691</v>
      </c>
      <c r="BF3" s="177">
        <f t="shared" ca="1" si="0"/>
        <v>254362.42071781415</v>
      </c>
      <c r="BG3" s="178">
        <f t="shared" ca="1" si="0"/>
        <v>258378.56974673647</v>
      </c>
      <c r="BH3" s="178">
        <f t="shared" ca="1" si="0"/>
        <v>267285.20337895281</v>
      </c>
      <c r="BI3" s="178">
        <f t="shared" ca="1" si="0"/>
        <v>274776.17985836067</v>
      </c>
      <c r="BJ3" s="178">
        <f t="shared" ca="1" si="0"/>
        <v>287123.14546468429</v>
      </c>
      <c r="BK3" s="178">
        <f t="shared" ca="1" si="0"/>
        <v>302940.89689874195</v>
      </c>
      <c r="BL3" s="178">
        <f t="shared" ca="1" si="0"/>
        <v>317275.95508573425</v>
      </c>
      <c r="BM3" s="178">
        <f t="shared" ca="1" si="0"/>
        <v>358373.13212075771</v>
      </c>
      <c r="BN3" s="178">
        <f t="shared" ca="1" si="0"/>
        <v>392941.73108053306</v>
      </c>
      <c r="BO3" s="178">
        <f t="shared" ca="1" si="0"/>
        <v>427177.60991216614</v>
      </c>
      <c r="BP3" s="178">
        <f t="shared" ca="1" si="0"/>
        <v>461085.11623423127</v>
      </c>
      <c r="BQ3" s="179">
        <f t="shared" ca="1" si="0"/>
        <v>494668.5223434064</v>
      </c>
      <c r="BR3" s="177">
        <f t="shared" ca="1" si="0"/>
        <v>585617.59470870008</v>
      </c>
      <c r="BS3" s="178">
        <f t="shared" ca="1" si="0"/>
        <v>624583.58837573451</v>
      </c>
      <c r="BT3" s="178">
        <f t="shared" ca="1" si="0"/>
        <v>662502.65540680313</v>
      </c>
      <c r="BU3" s="178">
        <f t="shared" ca="1" si="0"/>
        <v>702687.77576853009</v>
      </c>
      <c r="BV3" s="178">
        <f t="shared" ca="1" si="0"/>
        <v>741815.52519448847</v>
      </c>
      <c r="BW3" s="178">
        <f t="shared" ca="1" si="0"/>
        <v>780566.33585780277</v>
      </c>
      <c r="BX3" s="178">
        <f t="shared" ca="1" si="0"/>
        <v>826917.09052229032</v>
      </c>
      <c r="BY3" s="178">
        <f t="shared" ca="1" si="0"/>
        <v>952148.32238131517</v>
      </c>
      <c r="BZ3" s="178">
        <f t="shared" ca="1" si="0"/>
        <v>1060431.0660206666</v>
      </c>
      <c r="CA3" s="178">
        <f t="shared" ca="1" si="0"/>
        <v>1166990.3190063476</v>
      </c>
      <c r="CB3" s="178">
        <f t="shared" ca="1" si="0"/>
        <v>1277854.0575163011</v>
      </c>
      <c r="CC3" s="179">
        <f t="shared" ca="1" si="0"/>
        <v>1386303.1343444011</v>
      </c>
      <c r="CD3" s="180"/>
    </row>
    <row r="4" spans="1:82" ht="15">
      <c r="A4" s="181" t="s">
        <v>128</v>
      </c>
      <c r="B4" s="182"/>
      <c r="C4" s="183">
        <f>C19*Hypothèses!$B$20</f>
        <v>52424.018308159575</v>
      </c>
      <c r="D4" s="184">
        <f>D19*Hypothèses!$B$20</f>
        <v>53499.62299411025</v>
      </c>
      <c r="E4" s="184">
        <f>E19*Hypothèses!$B$20</f>
        <v>54554.437960296294</v>
      </c>
      <c r="F4" s="184">
        <f>F19*Hypothèses!$B$20</f>
        <v>55588.94867307604</v>
      </c>
      <c r="G4" s="184">
        <f>G19*Hypothèses!$B$20</f>
        <v>56603.627116932854</v>
      </c>
      <c r="H4" s="184">
        <f>H19*Hypothèses!$B$20</f>
        <v>57598.932224871329</v>
      </c>
      <c r="I4" s="185">
        <f>I19*Hypothèses!$B$20</f>
        <v>58575.310293676506</v>
      </c>
      <c r="J4" s="183">
        <f ca="1">J19*Hypothèses!$C$20</f>
        <v>60975.406089408563</v>
      </c>
      <c r="K4" s="184">
        <f ca="1">K19*Hypothèses!$C$20</f>
        <v>62280.539853713439</v>
      </c>
      <c r="L4" s="184">
        <f ca="1">L19*Hypothèses!$C$20</f>
        <v>62555.561744598541</v>
      </c>
      <c r="M4" s="184">
        <f ca="1">M19*Hypothèses!$C$20</f>
        <v>63841.556794235075</v>
      </c>
      <c r="N4" s="184">
        <f ca="1">N19*Hypothèses!$C$20</f>
        <v>65108.033755039229</v>
      </c>
      <c r="O4" s="184">
        <f ca="1">O19*Hypothèses!$C$20</f>
        <v>66355.348654086338</v>
      </c>
      <c r="P4" s="184">
        <f ca="1">P19*Hypothèses!$C$20</f>
        <v>67583.849791509594</v>
      </c>
      <c r="Q4" s="184">
        <f ca="1">Q19*Hypothèses!$C$20</f>
        <v>69244.211224120736</v>
      </c>
      <c r="R4" s="184">
        <f ca="1">R19*Hypothèses!$C$20</f>
        <v>70877.53901401216</v>
      </c>
      <c r="S4" s="184">
        <f ca="1">S19*Hypothèses!$C$20</f>
        <v>72484.38150976933</v>
      </c>
      <c r="T4" s="184">
        <f ca="1">T19*Hypothèses!$C$20</f>
        <v>74065.273569912082</v>
      </c>
      <c r="U4" s="185">
        <f ca="1">U19*Hypothèses!$C$20</f>
        <v>75620.736948630409</v>
      </c>
      <c r="V4" s="186">
        <f ca="1">V19*Hypothèses!$D$20</f>
        <v>83500.764102515241</v>
      </c>
      <c r="W4" s="187">
        <f ca="1">W19*Hypothèses!$D$20</f>
        <v>85314.750031470525</v>
      </c>
      <c r="X4" s="187">
        <f ca="1">X19*Hypothèses!$D$20</f>
        <v>87107.916213713863</v>
      </c>
      <c r="Y4" s="187">
        <f ca="1">Y19*Hypothèses!$D$20</f>
        <v>88880.555085718297</v>
      </c>
      <c r="Z4" s="187">
        <f ca="1">Z19*Hypothèses!$D$20</f>
        <v>90632.954188230258</v>
      </c>
      <c r="AA4" s="187">
        <f ca="1">AA19*Hypothèses!$D$20</f>
        <v>92365.396264124065</v>
      </c>
      <c r="AB4" s="187">
        <f ca="1">AB19*Hypothèses!$D$20</f>
        <v>94078.159353915631</v>
      </c>
      <c r="AC4" s="187">
        <f ca="1">AC19*Hypothèses!$D$20</f>
        <v>96014.682765264864</v>
      </c>
      <c r="AD4" s="187">
        <f ca="1">AD19*Hypothèses!$D$20</f>
        <v>97928.154564600743</v>
      </c>
      <c r="AE4" s="187">
        <f ca="1">AE19*Hypothèses!$D$20</f>
        <v>99818.925438306789</v>
      </c>
      <c r="AF4" s="187">
        <f ca="1">AF19*Hypothèses!$D$20</f>
        <v>101687.33939274988</v>
      </c>
      <c r="AG4" s="188">
        <f ca="1">AG19*Hypothèses!$D$20</f>
        <v>103533.73391026715</v>
      </c>
      <c r="AH4" s="183">
        <f ca="1">AH19*Hypothèses!$E$20</f>
        <v>108653.00454559007</v>
      </c>
      <c r="AI4" s="184">
        <f ca="1">AI19*Hypothèses!$E$20</f>
        <v>110708.51208560278</v>
      </c>
      <c r="AJ4" s="184">
        <f ca="1">AJ19*Hypothèses!$E$20</f>
        <v>112746.48786028101</v>
      </c>
      <c r="AK4" s="184">
        <f ca="1">AK19*Hypothèses!$E$20</f>
        <v>114767.09002877226</v>
      </c>
      <c r="AL4" s="184">
        <f ca="1">AL19*Hypothèses!$E$20</f>
        <v>116770.47578086797</v>
      </c>
      <c r="AM4" s="184">
        <f ca="1">AM19*Hypothèses!$E$20</f>
        <v>118756.80132129518</v>
      </c>
      <c r="AN4" s="184">
        <f ca="1">AN19*Hypothèses!$E$20</f>
        <v>120726.2218550634</v>
      </c>
      <c r="AO4" s="184">
        <f ca="1">AO19*Hypothèses!$E$20</f>
        <v>122678.89157382626</v>
      </c>
      <c r="AP4" s="184">
        <f ca="1">AP19*Hypothèses!$E$20</f>
        <v>124614.96364321954</v>
      </c>
      <c r="AQ4" s="184">
        <f ca="1">AQ19*Hypothèses!$E$20</f>
        <v>126534.59019113822</v>
      </c>
      <c r="AR4" s="184">
        <f ca="1">AR19*Hypothèses!$E$20</f>
        <v>128437.92229691651</v>
      </c>
      <c r="AS4" s="185">
        <f ca="1">AS19*Hypothèses!$E$20</f>
        <v>130325.10998137591</v>
      </c>
      <c r="AT4" s="183">
        <f ca="1">AT19*Hypothèses!$F$20</f>
        <v>136083.61296092017</v>
      </c>
      <c r="AU4" s="184">
        <f ca="1">AU19*Hypothèses!$F$20</f>
        <v>138079.97517933909</v>
      </c>
      <c r="AV4" s="184">
        <f ca="1">AV19*Hypothèses!$F$20</f>
        <v>140064.1108216659</v>
      </c>
      <c r="AW4" s="184">
        <f ca="1">AW19*Hypothèses!$F$20</f>
        <v>142036.02138284463</v>
      </c>
      <c r="AX4" s="184">
        <f ca="1">AX19*Hypothèses!$F$20</f>
        <v>143995.71166325334</v>
      </c>
      <c r="AY4" s="184">
        <f ca="1">AY19*Hypothèses!$F$20</f>
        <v>145943.18963450444</v>
      </c>
      <c r="AZ4" s="184">
        <f ca="1">AZ19*Hypothèses!$F$20</f>
        <v>147878.46630966559</v>
      </c>
      <c r="BA4" s="184">
        <f ca="1">BA19*Hypothèses!$F$20</f>
        <v>150445.36229637641</v>
      </c>
      <c r="BB4" s="184">
        <f ca="1">BB19*Hypothèses!$F$20</f>
        <v>152993.00576620098</v>
      </c>
      <c r="BC4" s="184">
        <f ca="1">BC19*Hypothèses!$F$20</f>
        <v>155521.52685481953</v>
      </c>
      <c r="BD4" s="184">
        <f ca="1">BD19*Hypothèses!$F$20</f>
        <v>158031.05593505697</v>
      </c>
      <c r="BE4" s="185">
        <f ca="1">BE19*Hypothèses!$F$20</f>
        <v>160521.72356621458</v>
      </c>
      <c r="BF4" s="183">
        <f ca="1">BF19*Hypothèses!$G$20</f>
        <v>173871.02924884396</v>
      </c>
      <c r="BG4" s="184">
        <f ca="1">BG19*Hypothèses!$G$20</f>
        <v>176640.3380794808</v>
      </c>
      <c r="BH4" s="184">
        <f ca="1">BH19*Hypothèses!$G$20</f>
        <v>181852.66381187146</v>
      </c>
      <c r="BI4" s="184">
        <f ca="1">BI19*Hypothèses!$G$20</f>
        <v>187020.47302892403</v>
      </c>
      <c r="BJ4" s="184">
        <f ca="1">BJ19*Hypothèses!$G$20</f>
        <v>194607.45449977971</v>
      </c>
      <c r="BK4" s="184">
        <f ca="1">BK19*Hypothèses!$G$20</f>
        <v>204589.960005323</v>
      </c>
      <c r="BL4" s="184">
        <f ca="1">BL19*Hypothèses!$G$20</f>
        <v>214481.47208700579</v>
      </c>
      <c r="BM4" s="184">
        <f ca="1">BM19*Hypothèses!$G$20</f>
        <v>239920.55040777841</v>
      </c>
      <c r="BN4" s="184">
        <f ca="1">BN19*Hypothèses!$G$20</f>
        <v>265113.05461437104</v>
      </c>
      <c r="BO4" s="184">
        <f ca="1">BO19*Hypothèses!$G$20</f>
        <v>290062.23251202866</v>
      </c>
      <c r="BP4" s="184">
        <f ca="1">BP19*Hypothèses!$G$20</f>
        <v>314771.27525670204</v>
      </c>
      <c r="BQ4" s="185">
        <f ca="1">BQ19*Hypothèses!$G$20</f>
        <v>339243.31855720235</v>
      </c>
      <c r="BR4" s="183">
        <f ca="1">BR19*Hypothèses!$H$20</f>
        <v>365496.85534030781</v>
      </c>
      <c r="BS4" s="184">
        <f ca="1">BS19*Hypothèses!$H$20</f>
        <v>390835.89123798301</v>
      </c>
      <c r="BT4" s="184">
        <f ca="1">BT19*Hypothèses!$H$20</f>
        <v>415928.57477348129</v>
      </c>
      <c r="BU4" s="184">
        <f ca="1">BU19*Hypothèses!$H$20</f>
        <v>441979.3377701139</v>
      </c>
      <c r="BV4" s="184">
        <f ca="1">BV19*Hypothèses!$H$20</f>
        <v>467777.95939353027</v>
      </c>
      <c r="BW4" s="184">
        <f ca="1">BW19*Hypothèses!$H$20</f>
        <v>493327.5299237757</v>
      </c>
      <c r="BX4" s="184">
        <f ca="1">BX19*Hypothèses!$H$20</f>
        <v>522309.59522120422</v>
      </c>
      <c r="BY4" s="184">
        <f ca="1">BY19*Hypothèses!$H$20</f>
        <v>592996.34451955848</v>
      </c>
      <c r="BZ4" s="184">
        <f ca="1">BZ19*Hypothèses!$H$20</f>
        <v>664235.61829490948</v>
      </c>
      <c r="CA4" s="184">
        <f ca="1">CA19*Hypothèses!$H$20</f>
        <v>734784.99582734914</v>
      </c>
      <c r="CB4" s="184">
        <f ca="1">CB19*Hypothèses!$H$20</f>
        <v>807129.94741116767</v>
      </c>
      <c r="CC4" s="185">
        <f ca="1">CC19*Hypothèses!$H$20</f>
        <v>878776.34582458995</v>
      </c>
      <c r="CD4" s="24"/>
    </row>
    <row r="5" spans="1:82" ht="14">
      <c r="A5" s="99" t="s">
        <v>129</v>
      </c>
      <c r="B5" s="62"/>
      <c r="C5" s="40"/>
      <c r="I5" s="10"/>
      <c r="J5" s="40"/>
      <c r="U5" s="10"/>
      <c r="V5" s="40"/>
      <c r="AG5" s="10"/>
      <c r="AH5" s="40"/>
      <c r="AS5" s="10"/>
      <c r="AT5" s="40"/>
      <c r="BE5" s="10"/>
      <c r="BF5" s="40"/>
      <c r="BQ5" s="10"/>
      <c r="BR5" s="40"/>
      <c r="CC5" s="10"/>
    </row>
    <row r="6" spans="1:82" ht="14">
      <c r="A6" s="99" t="s">
        <v>130</v>
      </c>
      <c r="B6" s="189"/>
      <c r="C6" s="40"/>
      <c r="I6" s="10"/>
      <c r="J6" s="40"/>
      <c r="U6" s="10"/>
      <c r="V6" s="40"/>
      <c r="AG6" s="10"/>
      <c r="AH6" s="40"/>
      <c r="AS6" s="10"/>
      <c r="AT6" s="40"/>
      <c r="BE6" s="10"/>
      <c r="BF6" s="40"/>
      <c r="BQ6" s="10"/>
      <c r="BR6" s="40"/>
      <c r="CC6" s="10"/>
    </row>
    <row r="7" spans="1:82" ht="14">
      <c r="A7" s="190"/>
      <c r="B7" s="62"/>
      <c r="C7" s="40"/>
      <c r="I7" s="10"/>
      <c r="J7" s="40"/>
      <c r="U7" s="10"/>
      <c r="V7" s="40"/>
      <c r="AG7" s="10"/>
      <c r="AH7" s="40"/>
      <c r="AS7" s="10"/>
      <c r="AT7" s="40"/>
      <c r="BE7" s="10"/>
      <c r="BF7" s="40"/>
      <c r="BQ7" s="10"/>
      <c r="BR7" s="40"/>
      <c r="CC7" s="10"/>
    </row>
    <row r="8" spans="1:82" ht="15">
      <c r="A8" s="181" t="s">
        <v>131</v>
      </c>
      <c r="B8" s="182"/>
      <c r="C8" s="183">
        <f t="shared" ref="C8:CC8" si="1">C9+C10</f>
        <v>584.32500000000005</v>
      </c>
      <c r="D8" s="184">
        <f t="shared" si="1"/>
        <v>629.44237741393795</v>
      </c>
      <c r="E8" s="184">
        <f t="shared" si="1"/>
        <v>675.63437502099066</v>
      </c>
      <c r="F8" s="184">
        <f t="shared" si="1"/>
        <v>722.86868491338134</v>
      </c>
      <c r="G8" s="184">
        <f t="shared" si="1"/>
        <v>771.11401797949452</v>
      </c>
      <c r="H8" s="184">
        <f t="shared" si="1"/>
        <v>820.34006829182215</v>
      </c>
      <c r="I8" s="185">
        <f t="shared" si="1"/>
        <v>870.51747886903775</v>
      </c>
      <c r="J8" s="183">
        <f t="shared" si="1"/>
        <v>1190.1325183423094</v>
      </c>
      <c r="K8" s="184">
        <f t="shared" ca="1" si="1"/>
        <v>1350.6738115789201</v>
      </c>
      <c r="L8" s="184">
        <f t="shared" ca="1" si="1"/>
        <v>1492.3020117848184</v>
      </c>
      <c r="M8" s="184">
        <f t="shared" ca="1" si="1"/>
        <v>1661.4329751464454</v>
      </c>
      <c r="N8" s="184">
        <f t="shared" ca="1" si="1"/>
        <v>1835.5915221632397</v>
      </c>
      <c r="O8" s="184">
        <f t="shared" ca="1" si="1"/>
        <v>2014.6614761863989</v>
      </c>
      <c r="P8" s="184">
        <f t="shared" ca="1" si="1"/>
        <v>2198.5294976605614</v>
      </c>
      <c r="Q8" s="184">
        <f t="shared" ca="1" si="1"/>
        <v>2402.7111627108366</v>
      </c>
      <c r="R8" s="184">
        <f t="shared" ca="1" si="1"/>
        <v>2613.0977862494942</v>
      </c>
      <c r="S8" s="184">
        <f t="shared" ca="1" si="1"/>
        <v>2829.5348908448168</v>
      </c>
      <c r="T8" s="184">
        <f t="shared" ca="1" si="1"/>
        <v>3051.8722000039534</v>
      </c>
      <c r="U8" s="185">
        <f t="shared" ca="1" si="1"/>
        <v>3279.9635086247094</v>
      </c>
      <c r="V8" s="183">
        <f t="shared" ca="1" si="1"/>
        <v>5055.839813696949</v>
      </c>
      <c r="W8" s="184">
        <f t="shared" ca="1" si="1"/>
        <v>5488.5284188669029</v>
      </c>
      <c r="X8" s="184">
        <f t="shared" ca="1" si="1"/>
        <v>5933.5280948253303</v>
      </c>
      <c r="Y8" s="184">
        <f t="shared" ca="1" si="1"/>
        <v>6390.6235050804062</v>
      </c>
      <c r="Z8" s="184">
        <f t="shared" ca="1" si="1"/>
        <v>6859.6033692466435</v>
      </c>
      <c r="AA8" s="184">
        <f t="shared" ca="1" si="1"/>
        <v>7340.260378187465</v>
      </c>
      <c r="AB8" s="184">
        <f t="shared" ca="1" si="1"/>
        <v>7832.3911111847219</v>
      </c>
      <c r="AC8" s="184">
        <f t="shared" ca="1" si="1"/>
        <v>8356.9607146401686</v>
      </c>
      <c r="AD8" s="184">
        <f t="shared" ca="1" si="1"/>
        <v>8894.0933903620989</v>
      </c>
      <c r="AE8" s="184">
        <f t="shared" ca="1" si="1"/>
        <v>9443.5606146790942</v>
      </c>
      <c r="AF8" s="184">
        <f t="shared" ca="1" si="1"/>
        <v>10005.13851504205</v>
      </c>
      <c r="AG8" s="185">
        <f t="shared" ca="1" si="1"/>
        <v>10578.607759567056</v>
      </c>
      <c r="AH8" s="183">
        <f t="shared" ca="1" si="1"/>
        <v>17623.480256128281</v>
      </c>
      <c r="AI8" s="184">
        <f t="shared" ca="1" si="1"/>
        <v>18442.20403646784</v>
      </c>
      <c r="AJ8" s="184">
        <f t="shared" ca="1" si="1"/>
        <v>19275.952223163189</v>
      </c>
      <c r="AK8" s="184">
        <f t="shared" ca="1" si="1"/>
        <v>20124.521983655632</v>
      </c>
      <c r="AL8" s="184">
        <f t="shared" ca="1" si="1"/>
        <v>20987.713084495655</v>
      </c>
      <c r="AM8" s="184">
        <f t="shared" ca="1" si="1"/>
        <v>21865.32786720361</v>
      </c>
      <c r="AN8" s="184">
        <f t="shared" ca="1" si="1"/>
        <v>22757.171223915997</v>
      </c>
      <c r="AO8" s="184">
        <f t="shared" ca="1" si="1"/>
        <v>23663.050572842178</v>
      </c>
      <c r="AP8" s="184">
        <f t="shared" ca="1" si="1"/>
        <v>24582.775833554882</v>
      </c>
      <c r="AQ8" s="184">
        <f t="shared" ca="1" si="1"/>
        <v>25516.159402137153</v>
      </c>
      <c r="AR8" s="184">
        <f t="shared" ca="1" si="1"/>
        <v>26463.016126206869</v>
      </c>
      <c r="AS8" s="185">
        <f t="shared" ca="1" si="1"/>
        <v>27423.163279839348</v>
      </c>
      <c r="AT8" s="183">
        <f t="shared" ca="1" si="1"/>
        <v>41262.389027011799</v>
      </c>
      <c r="AU8" s="184">
        <f t="shared" ca="1" si="1"/>
        <v>42156.455857444373</v>
      </c>
      <c r="AV8" s="184">
        <f t="shared" ca="1" si="1"/>
        <v>43055.113586549836</v>
      </c>
      <c r="AW8" s="184">
        <f t="shared" ca="1" si="1"/>
        <v>43958.28597500125</v>
      </c>
      <c r="AX8" s="184">
        <f t="shared" ca="1" si="1"/>
        <v>44865.897825876775</v>
      </c>
      <c r="AY8" s="184">
        <f t="shared" ca="1" si="1"/>
        <v>45777.874977125699</v>
      </c>
      <c r="AZ8" s="184">
        <f t="shared" ca="1" si="1"/>
        <v>46694.144293746685</v>
      </c>
      <c r="BA8" s="184">
        <f t="shared" ca="1" si="1"/>
        <v>47819.268511609589</v>
      </c>
      <c r="BB8" s="184">
        <f t="shared" ca="1" si="1"/>
        <v>48948.968444757476</v>
      </c>
      <c r="BC8" s="184">
        <f t="shared" ca="1" si="1"/>
        <v>50083.165222849908</v>
      </c>
      <c r="BD8" s="184">
        <f t="shared" ca="1" si="1"/>
        <v>51221.7811409321</v>
      </c>
      <c r="BE8" s="185">
        <f t="shared" ca="1" si="1"/>
        <v>52364.7396453857</v>
      </c>
      <c r="BF8" s="183">
        <f t="shared" ca="1" si="1"/>
        <v>78976.399369560153</v>
      </c>
      <c r="BG8" s="184">
        <f t="shared" ca="1" si="1"/>
        <v>80234.285983166177</v>
      </c>
      <c r="BH8" s="184">
        <f t="shared" ca="1" si="1"/>
        <v>82601.849575927597</v>
      </c>
      <c r="BI8" s="184">
        <f t="shared" ca="1" si="1"/>
        <v>84949.192697751045</v>
      </c>
      <c r="BJ8" s="184">
        <f t="shared" ca="1" si="1"/>
        <v>88395.381986676177</v>
      </c>
      <c r="BK8" s="184">
        <f t="shared" ca="1" si="1"/>
        <v>92929.675853346096</v>
      </c>
      <c r="BL8" s="184">
        <f t="shared" ca="1" si="1"/>
        <v>97422.638320450162</v>
      </c>
      <c r="BM8" s="184">
        <f t="shared" ca="1" si="1"/>
        <v>107000.80289634707</v>
      </c>
      <c r="BN8" s="184">
        <f t="shared" ca="1" si="1"/>
        <v>116486.93403298773</v>
      </c>
      <c r="BO8" s="184">
        <f t="shared" ca="1" si="1"/>
        <v>125882.23395497045</v>
      </c>
      <c r="BP8" s="184">
        <f t="shared" ca="1" si="1"/>
        <v>135187.88404443482</v>
      </c>
      <c r="BQ8" s="185">
        <f t="shared" ca="1" si="1"/>
        <v>144405.04528180521</v>
      </c>
      <c r="BR8" s="183">
        <f t="shared" ca="1" si="1"/>
        <v>209224.20481272932</v>
      </c>
      <c r="BS8" s="184">
        <f t="shared" ca="1" si="1"/>
        <v>222287.48631156073</v>
      </c>
      <c r="BT8" s="184">
        <f t="shared" ca="1" si="1"/>
        <v>235224.57594252549</v>
      </c>
      <c r="BU8" s="184">
        <f t="shared" ca="1" si="1"/>
        <v>248799.43140362212</v>
      </c>
      <c r="BV8" s="184">
        <f t="shared" ca="1" si="1"/>
        <v>262243.39157732646</v>
      </c>
      <c r="BW8" s="184">
        <f t="shared" ca="1" si="1"/>
        <v>275558.05857474881</v>
      </c>
      <c r="BX8" s="184">
        <f t="shared" ca="1" si="1"/>
        <v>291032.23999675771</v>
      </c>
      <c r="BY8" s="184">
        <f t="shared" ca="1" si="1"/>
        <v>327318.56086669047</v>
      </c>
      <c r="BZ8" s="184">
        <f t="shared" ca="1" si="1"/>
        <v>364008.20318509295</v>
      </c>
      <c r="CA8" s="184">
        <f t="shared" ca="1" si="1"/>
        <v>400335.74430699827</v>
      </c>
      <c r="CB8" s="184">
        <f t="shared" ca="1" si="1"/>
        <v>437830.52785891335</v>
      </c>
      <c r="CC8" s="185">
        <f t="shared" ca="1" si="1"/>
        <v>474956.63780942239</v>
      </c>
      <c r="CD8" s="24"/>
    </row>
    <row r="9" spans="1:82" ht="14">
      <c r="A9" s="99" t="s">
        <v>132</v>
      </c>
      <c r="B9" s="62"/>
      <c r="C9" s="191">
        <f>(C43*Hypothèses!$B$12/12*Hypothèses!$B$28+C44*Hypothèses!$B$13/12*Hypothèses!$B$29+C45*Hypothèses!$B$14/12*Hypothèses!$B$30+C46*Hypothèses!$B$15/12*Hypothèses!$B$31+C47*Hypothèses!$B$16/12*Hypothèses!$B$32)*Hypothèses!$B$72</f>
        <v>584.32500000000005</v>
      </c>
      <c r="D9" s="192">
        <f>(D43*Hypothèses!$B$12/12*Hypothèses!$B$28+D44*Hypothèses!$B$13/12*Hypothèses!$B$29+D45*Hypothèses!$B$14/12*Hypothèses!$B$30+D46*Hypothèses!$B$15/12*Hypothèses!$B$31+D47*Hypothèses!$B$16/12*Hypothèses!$B$32)*Hypothèses!$B$72</f>
        <v>629.44237741393795</v>
      </c>
      <c r="E9" s="192">
        <f>(E43*Hypothèses!$B$12/12*Hypothèses!$B$28+E44*Hypothèses!$B$13/12*Hypothèses!$B$29+E45*Hypothèses!$B$14/12*Hypothèses!$B$30+E46*Hypothèses!$B$15/12*Hypothèses!$B$31+E47*Hypothèses!$B$16/12*Hypothèses!$B$32)*Hypothèses!$B$72</f>
        <v>675.63437502099066</v>
      </c>
      <c r="F9" s="192">
        <f>(F43*Hypothèses!$B$12/12*Hypothèses!$B$28+F44*Hypothèses!$B$13/12*Hypothèses!$B$29+F45*Hypothèses!$B$14/12*Hypothèses!$B$30+F46*Hypothèses!$B$15/12*Hypothèses!$B$31+F47*Hypothèses!$B$16/12*Hypothèses!$B$32)*Hypothèses!$B$72</f>
        <v>722.86868491338134</v>
      </c>
      <c r="G9" s="192">
        <f>(G43*Hypothèses!$B$12/12*Hypothèses!$B$28+G44*Hypothèses!$B$13/12*Hypothèses!$B$29+G45*Hypothèses!$B$14/12*Hypothèses!$B$30+G46*Hypothèses!$B$15/12*Hypothèses!$B$31+G47*Hypothèses!$B$16/12*Hypothèses!$B$32)*Hypothèses!$B$72</f>
        <v>771.11401797949452</v>
      </c>
      <c r="H9" s="192">
        <f>(H43*Hypothèses!$B$12/12*Hypothèses!$B$28+H44*Hypothèses!$B$13/12*Hypothèses!$B$29+H45*Hypothèses!$B$14/12*Hypothèses!$B$30+H46*Hypothèses!$B$15/12*Hypothèses!$B$31+H47*Hypothèses!$B$16/12*Hypothèses!$B$32)*Hypothèses!$B$72</f>
        <v>820.34006829182215</v>
      </c>
      <c r="I9" s="193">
        <f>(I43*Hypothèses!$B$12/12*Hypothèses!$B$28+I44*Hypothèses!$B$13/12*Hypothèses!$B$29+I45*Hypothèses!$B$14/12*Hypothèses!$B$30+I46*Hypothèses!$B$15/12*Hypothèses!$B$31+I47*Hypothèses!$B$16/12*Hypothèses!$B$32)*Hypothèses!$B$72</f>
        <v>870.51747886903775</v>
      </c>
      <c r="J9" s="192">
        <f>(J43*Hypothèses!$C$12/12*Hypothèses!$C$28+J44*Hypothèses!$C$13/12*Hypothèses!$C$29+J45*Hypothèses!$C$14/12*Hypothèses!$C$30+J46*Hypothèses!$C$15/12*Hypothèses!$C$31+J47*Hypothèses!$C$16/12*Hypothèses!$B$32)*Hypothèses!$C$72</f>
        <v>1190.1325183423094</v>
      </c>
      <c r="K9" s="192">
        <f ca="1">(K43*Hypothèses!$C$12/12*Hypothèses!$C$28+K44*Hypothèses!$C$13/12*Hypothèses!$C$29+K45*Hypothèses!$C$14/12*Hypothèses!$C$30+K46*Hypothèses!$C$15/12*Hypothèses!$C$31+K47*Hypothèses!$C$16/12*Hypothèses!$B$32)*Hypothèses!$C$72</f>
        <v>1350.6738115789201</v>
      </c>
      <c r="L9" s="192">
        <f ca="1">(L43*Hypothèses!$C$12/12*Hypothèses!$C$28+L44*Hypothèses!$C$13/12*Hypothèses!$C$29+L45*Hypothèses!$C$14/12*Hypothèses!$C$30+L46*Hypothèses!$C$15/12*Hypothèses!$C$31+L47*Hypothèses!$C$16/12*Hypothèses!$B$32)*Hypothèses!$C$72</f>
        <v>1492.3020117848184</v>
      </c>
      <c r="M9" s="192">
        <f ca="1">(M43*Hypothèses!$C$12/12*Hypothèses!$C$28+M44*Hypothèses!$C$13/12*Hypothèses!$C$29+M45*Hypothèses!$C$14/12*Hypothèses!$C$30+M46*Hypothèses!$C$15/12*Hypothèses!$C$31+M47*Hypothèses!$C$16/12*Hypothèses!$B$32)*Hypothèses!$C$72</f>
        <v>1661.4329751464454</v>
      </c>
      <c r="N9" s="192">
        <f ca="1">(N43*Hypothèses!$C$12/12*Hypothèses!$C$28+N44*Hypothèses!$C$13/12*Hypothèses!$C$29+N45*Hypothèses!$C$14/12*Hypothèses!$C$30+N46*Hypothèses!$C$15/12*Hypothèses!$C$31+N47*Hypothèses!$C$16/12*Hypothèses!$B$32)*Hypothèses!$C$72</f>
        <v>1835.5915221632397</v>
      </c>
      <c r="O9" s="192">
        <f ca="1">(O43*Hypothèses!$C$12/12*Hypothèses!$C$28+O44*Hypothèses!$C$13/12*Hypothèses!$C$29+O45*Hypothèses!$C$14/12*Hypothèses!$C$30+O46*Hypothèses!$C$15/12*Hypothèses!$C$31+O47*Hypothèses!$C$16/12*Hypothèses!$B$32)*Hypothèses!$C$72</f>
        <v>2014.6614761863989</v>
      </c>
      <c r="P9" s="192">
        <f ca="1">(P43*Hypothèses!$C$12/12*Hypothèses!$C$28+P44*Hypothèses!$C$13/12*Hypothèses!$C$29+P45*Hypothèses!$C$14/12*Hypothèses!$C$30+P46*Hypothèses!$C$15/12*Hypothèses!$C$31+P47*Hypothèses!$C$16/12*Hypothèses!$B$32)*Hypothèses!$C$72</f>
        <v>2198.5294976605614</v>
      </c>
      <c r="Q9" s="192">
        <f ca="1">(Q43*Hypothèses!$C$12/12*Hypothèses!$C$28+Q44*Hypothèses!$C$13/12*Hypothèses!$C$29+Q45*Hypothèses!$C$14/12*Hypothèses!$C$30+Q46*Hypothèses!$C$15/12*Hypothèses!$C$31+Q47*Hypothèses!$C$16/12*Hypothèses!$B$32)*Hypothèses!$C$72</f>
        <v>2402.7111627108366</v>
      </c>
      <c r="R9" s="192">
        <f ca="1">(R43*Hypothèses!$C$12/12*Hypothèses!$C$28+R44*Hypothèses!$C$13/12*Hypothèses!$C$29+R45*Hypothèses!$C$14/12*Hypothèses!$C$30+R46*Hypothèses!$C$15/12*Hypothèses!$C$31+R47*Hypothèses!$C$16/12*Hypothèses!$B$32)*Hypothèses!$C$72</f>
        <v>2613.0977862494942</v>
      </c>
      <c r="S9" s="192">
        <f ca="1">(S43*Hypothèses!$C$12/12*Hypothèses!$C$28+S44*Hypothèses!$C$13/12*Hypothèses!$C$29+S45*Hypothèses!$C$14/12*Hypothèses!$C$30+S46*Hypothèses!$C$15/12*Hypothèses!$C$31+S47*Hypothèses!$C$16/12*Hypothèses!$B$32)*Hypothèses!$C$72</f>
        <v>2829.5348908448168</v>
      </c>
      <c r="T9" s="192">
        <f ca="1">(T43*Hypothèses!$C$12/12*Hypothèses!$C$28+T44*Hypothèses!$C$13/12*Hypothèses!$C$29+T45*Hypothèses!$C$14/12*Hypothèses!$C$30+T46*Hypothèses!$C$15/12*Hypothèses!$C$31+T47*Hypothèses!$C$16/12*Hypothèses!$B$32)*Hypothèses!$C$72</f>
        <v>3051.8722000039534</v>
      </c>
      <c r="U9" s="192">
        <f ca="1">(U43*Hypothèses!$C$12/12*Hypothèses!$C$28+U44*Hypothèses!$C$13/12*Hypothèses!$C$29+U45*Hypothèses!$C$14/12*Hypothèses!$C$30+U46*Hypothèses!$C$15/12*Hypothèses!$C$31+U47*Hypothèses!$C$16/12*Hypothèses!$B$32)*Hypothèses!$C$72</f>
        <v>3279.9635086247094</v>
      </c>
      <c r="V9" s="191">
        <f ca="1">(V43*Hypothèses!$D$12/12*Hypothèses!$D$28+V44*Hypothèses!$D$13/12*Hypothèses!$D$29+V45*Hypothèses!$D$14/12*Hypothèses!$D$30+V46*Hypothèses!$D$15/12*Hypothèses!$D$31+V47*Hypothèses!$D$16/12*Hypothèses!$D$32)*Hypothèses!$D$72</f>
        <v>5055.839813696949</v>
      </c>
      <c r="W9" s="192">
        <f ca="1">(W43*Hypothèses!$D$12/12*Hypothèses!$D$28+W44*Hypothèses!$D$13/12*Hypothèses!$D$29+W45*Hypothèses!$D$14/12*Hypothèses!$D$30+W46*Hypothèses!$D$15/12*Hypothèses!$D$31+W47*Hypothèses!$D$16/12*Hypothèses!$D$32)*Hypothèses!$D$72</f>
        <v>5488.5284188669029</v>
      </c>
      <c r="X9" s="192">
        <f ca="1">(X43*Hypothèses!$D$12/12*Hypothèses!$D$28+X44*Hypothèses!$D$13/12*Hypothèses!$D$29+X45*Hypothèses!$D$14/12*Hypothèses!$D$30+X46*Hypothèses!$D$15/12*Hypothèses!$D$31+X47*Hypothèses!$D$16/12*Hypothèses!$D$32)*Hypothèses!$D$72</f>
        <v>5933.5280948253303</v>
      </c>
      <c r="Y9" s="192">
        <f ca="1">(Y43*Hypothèses!$D$12/12*Hypothèses!$D$28+Y44*Hypothèses!$D$13/12*Hypothèses!$D$29+Y45*Hypothèses!$D$14/12*Hypothèses!$D$30+Y46*Hypothèses!$D$15/12*Hypothèses!$D$31+Y47*Hypothèses!$D$16/12*Hypothèses!$D$32)*Hypothèses!$D$72</f>
        <v>6390.6235050804062</v>
      </c>
      <c r="Z9" s="192">
        <f ca="1">(Z43*Hypothèses!$D$12/12*Hypothèses!$D$28+Z44*Hypothèses!$D$13/12*Hypothèses!$D$29+Z45*Hypothèses!$D$14/12*Hypothèses!$D$30+Z46*Hypothèses!$D$15/12*Hypothèses!$D$31+Z47*Hypothèses!$D$16/12*Hypothèses!$D$32)*Hypothèses!$D$72</f>
        <v>6859.6033692466435</v>
      </c>
      <c r="AA9" s="192">
        <f ca="1">(AA43*Hypothèses!$D$12/12*Hypothèses!$D$28+AA44*Hypothèses!$D$13/12*Hypothèses!$D$29+AA45*Hypothèses!$D$14/12*Hypothèses!$D$30+AA46*Hypothèses!$D$15/12*Hypothèses!$D$31+AA47*Hypothèses!$D$16/12*Hypothèses!$D$32)*Hypothèses!$D$72</f>
        <v>7340.260378187465</v>
      </c>
      <c r="AB9" s="192">
        <f ca="1">(AB43*Hypothèses!$D$12/12*Hypothèses!$D$28+AB44*Hypothèses!$D$13/12*Hypothèses!$D$29+AB45*Hypothèses!$D$14/12*Hypothèses!$D$30+AB46*Hypothèses!$D$15/12*Hypothèses!$D$31+AB47*Hypothèses!$D$16/12*Hypothèses!$D$32)*Hypothèses!$D$72</f>
        <v>7832.3911111847219</v>
      </c>
      <c r="AC9" s="192">
        <f ca="1">(AC43*Hypothèses!$D$12/12*Hypothèses!$D$28+AC44*Hypothèses!$D$13/12*Hypothèses!$D$29+AC45*Hypothèses!$D$14/12*Hypothèses!$D$30+AC46*Hypothèses!$D$15/12*Hypothèses!$D$31+AC47*Hypothèses!$D$16/12*Hypothèses!$D$32)*Hypothèses!$D$72</f>
        <v>8356.9607146401686</v>
      </c>
      <c r="AD9" s="192">
        <f ca="1">(AD43*Hypothèses!$D$12/12*Hypothèses!$D$28+AD44*Hypothèses!$D$13/12*Hypothèses!$D$29+AD45*Hypothèses!$D$14/12*Hypothèses!$D$30+AD46*Hypothèses!$D$15/12*Hypothèses!$D$31+AD47*Hypothèses!$D$16/12*Hypothèses!$D$32)*Hypothèses!$D$72</f>
        <v>8894.0933903620989</v>
      </c>
      <c r="AE9" s="192">
        <f ca="1">(AE43*Hypothèses!$D$12/12*Hypothèses!$D$28+AE44*Hypothèses!$D$13/12*Hypothèses!$D$29+AE45*Hypothèses!$D$14/12*Hypothèses!$D$30+AE46*Hypothèses!$D$15/12*Hypothèses!$D$31+AE47*Hypothèses!$D$16/12*Hypothèses!$D$32)*Hypothèses!$D$72</f>
        <v>9443.5606146790942</v>
      </c>
      <c r="AF9" s="192">
        <f ca="1">(AF43*Hypothèses!$D$12/12*Hypothèses!$D$28+AF44*Hypothèses!$D$13/12*Hypothèses!$D$29+AF45*Hypothèses!$D$14/12*Hypothèses!$D$30+AF46*Hypothèses!$D$15/12*Hypothèses!$D$31+AF47*Hypothèses!$D$16/12*Hypothèses!$D$32)*Hypothèses!$D$72</f>
        <v>10005.13851504205</v>
      </c>
      <c r="AG9" s="193">
        <f ca="1">(AG43*Hypothèses!$D$12/12*Hypothèses!$D$28+AG44*Hypothèses!$D$13/12*Hypothèses!$D$29+AG45*Hypothèses!$D$14/12*Hypothèses!$D$30+AG46*Hypothèses!$D$15/12*Hypothèses!$D$31+AG47*Hypothèses!$D$16/12*Hypothèses!$D$32)*Hypothèses!$D$72</f>
        <v>10578.607759567056</v>
      </c>
      <c r="AH9" s="192">
        <f ca="1">(AH43*Hypothèses!$E$12/12*Hypothèses!$E$28+AH44*Hypothèses!$E$13/12*Hypothèses!$E$29+AH45*Hypothèses!$E$14/12*Hypothèses!$E$30+AH46*Hypothèses!$E$15/12*Hypothèses!$E$31+AH47*Hypothèses!$E$16/12*Hypothèses!$E$32)*Hypothèses!$E$72</f>
        <v>17623.480256128281</v>
      </c>
      <c r="AI9" s="192">
        <f ca="1">(AI43*Hypothèses!$E$12/12*Hypothèses!$E$28+AI44*Hypothèses!$E$13/12*Hypothèses!$E$29+AI45*Hypothèses!$E$14/12*Hypothèses!$E$30+AI46*Hypothèses!$E$15/12*Hypothèses!$E$31+AI47*Hypothèses!$E$16/12*Hypothèses!$E$32)*Hypothèses!$E$72</f>
        <v>18442.20403646784</v>
      </c>
      <c r="AJ9" s="192">
        <f ca="1">(AJ43*Hypothèses!$E$12/12*Hypothèses!$E$28+AJ44*Hypothèses!$E$13/12*Hypothèses!$E$29+AJ45*Hypothèses!$E$14/12*Hypothèses!$E$30+AJ46*Hypothèses!$E$15/12*Hypothèses!$E$31+AJ47*Hypothèses!$E$16/12*Hypothèses!$E$32)*Hypothèses!$E$72</f>
        <v>19275.952223163189</v>
      </c>
      <c r="AK9" s="192">
        <f ca="1">(AK43*Hypothèses!$E$12/12*Hypothèses!$E$28+AK44*Hypothèses!$E$13/12*Hypothèses!$E$29+AK45*Hypothèses!$E$14/12*Hypothèses!$E$30+AK46*Hypothèses!$E$15/12*Hypothèses!$E$31+AK47*Hypothèses!$E$16/12*Hypothèses!$E$32)*Hypothèses!$E$72</f>
        <v>20124.521983655632</v>
      </c>
      <c r="AL9" s="192">
        <f ca="1">(AL43*Hypothèses!$E$12/12*Hypothèses!$E$28+AL44*Hypothèses!$E$13/12*Hypothèses!$E$29+AL45*Hypothèses!$E$14/12*Hypothèses!$E$30+AL46*Hypothèses!$E$15/12*Hypothèses!$E$31+AL47*Hypothèses!$E$16/12*Hypothèses!$E$32)*Hypothèses!$E$72</f>
        <v>20987.713084495655</v>
      </c>
      <c r="AM9" s="192">
        <f ca="1">(AM43*Hypothèses!$E$12/12*Hypothèses!$E$28+AM44*Hypothèses!$E$13/12*Hypothèses!$E$29+AM45*Hypothèses!$E$14/12*Hypothèses!$E$30+AM46*Hypothèses!$E$15/12*Hypothèses!$E$31+AM47*Hypothèses!$E$16/12*Hypothèses!$E$32)*Hypothèses!$E$72</f>
        <v>21865.32786720361</v>
      </c>
      <c r="AN9" s="192">
        <f ca="1">(AN43*Hypothèses!$E$12/12*Hypothèses!$E$28+AN44*Hypothèses!$E$13/12*Hypothèses!$E$29+AN45*Hypothèses!$E$14/12*Hypothèses!$E$30+AN46*Hypothèses!$E$15/12*Hypothèses!$E$31+AN47*Hypothèses!$E$16/12*Hypothèses!$E$32)*Hypothèses!$E$72</f>
        <v>22757.171223915997</v>
      </c>
      <c r="AO9" s="192">
        <f ca="1">(AO43*Hypothèses!$E$12/12*Hypothèses!$E$28+AO44*Hypothèses!$E$13/12*Hypothèses!$E$29+AO45*Hypothèses!$E$14/12*Hypothèses!$E$30+AO46*Hypothèses!$E$15/12*Hypothèses!$E$31+AO47*Hypothèses!$E$16/12*Hypothèses!$E$32)*Hypothèses!$E$72</f>
        <v>23663.050572842178</v>
      </c>
      <c r="AP9" s="192">
        <f ca="1">(AP43*Hypothèses!$E$12/12*Hypothèses!$E$28+AP44*Hypothèses!$E$13/12*Hypothèses!$E$29+AP45*Hypothèses!$E$14/12*Hypothèses!$E$30+AP46*Hypothèses!$E$15/12*Hypothèses!$E$31+AP47*Hypothèses!$E$16/12*Hypothèses!$E$32)*Hypothèses!$E$72</f>
        <v>24582.775833554882</v>
      </c>
      <c r="AQ9" s="192">
        <f ca="1">(AQ43*Hypothèses!$E$12/12*Hypothèses!$E$28+AQ44*Hypothèses!$E$13/12*Hypothèses!$E$29+AQ45*Hypothèses!$E$14/12*Hypothèses!$E$30+AQ46*Hypothèses!$E$15/12*Hypothèses!$E$31+AQ47*Hypothèses!$E$16/12*Hypothèses!$E$32)*Hypothèses!$E$72</f>
        <v>25516.159402137153</v>
      </c>
      <c r="AR9" s="192">
        <f ca="1">(AR43*Hypothèses!$E$12/12*Hypothèses!$E$28+AR44*Hypothèses!$E$13/12*Hypothèses!$E$29+AR45*Hypothèses!$E$14/12*Hypothèses!$E$30+AR46*Hypothèses!$E$15/12*Hypothèses!$E$31+AR47*Hypothèses!$E$16/12*Hypothèses!$E$32)*Hypothèses!$E$72</f>
        <v>26463.016126206869</v>
      </c>
      <c r="AS9" s="193">
        <f ca="1">(AS43*Hypothèses!$E$12/12*Hypothèses!$E$28+AS44*Hypothèses!$E$13/12*Hypothèses!$E$29+AS45*Hypothèses!$E$14/12*Hypothèses!$E$30+AS46*Hypothèses!$E$15/12*Hypothèses!$E$31+AS47*Hypothèses!$E$16/12*Hypothèses!$E$32)*Hypothèses!$E$72</f>
        <v>27423.163279839348</v>
      </c>
      <c r="AT9" s="192">
        <f ca="1">(AT43*Hypothèses!$F$12/12*Hypothèses!$F$28+AT44*Hypothèses!$F$13/12*Hypothèses!$F$29+AT45*Hypothèses!$F$14/12*Hypothèses!$F$30+AT46*Hypothèses!$F$15/12*Hypothèses!$F$31+AT47*Hypothèses!$F$16/12*Hypothèses!$F$32)*Hypothèses!$F$72</f>
        <v>41262.389027011799</v>
      </c>
      <c r="AU9" s="192">
        <f ca="1">(AU43*Hypothèses!$F$12/12*Hypothèses!$F$28+AU44*Hypothèses!$F$13/12*Hypothèses!$F$29+AU45*Hypothèses!$F$14/12*Hypothèses!$F$30+AU46*Hypothèses!$F$15/12*Hypothèses!$F$31+AU47*Hypothèses!$F$16/12*Hypothèses!$F$32)*Hypothèses!$F$72</f>
        <v>42156.455857444373</v>
      </c>
      <c r="AV9" s="192">
        <f ca="1">(AV43*Hypothèses!$F$12/12*Hypothèses!$F$28+AV44*Hypothèses!$F$13/12*Hypothèses!$F$29+AV45*Hypothèses!$F$14/12*Hypothèses!$F$30+AV46*Hypothèses!$F$15/12*Hypothèses!$F$31+AV47*Hypothèses!$F$16/12*Hypothèses!$F$32)*Hypothèses!$F$72</f>
        <v>43055.113586549836</v>
      </c>
      <c r="AW9" s="192">
        <f ca="1">(AW43*Hypothèses!$F$12/12*Hypothèses!$F$28+AW44*Hypothèses!$F$13/12*Hypothèses!$F$29+AW45*Hypothèses!$F$14/12*Hypothèses!$F$30+AW46*Hypothèses!$F$15/12*Hypothèses!$F$31+AW47*Hypothèses!$F$16/12*Hypothèses!$F$32)*Hypothèses!$F$72</f>
        <v>43958.28597500125</v>
      </c>
      <c r="AX9" s="192">
        <f ca="1">(AX43*Hypothèses!$F$12/12*Hypothèses!$F$28+AX44*Hypothèses!$F$13/12*Hypothèses!$F$29+AX45*Hypothèses!$F$14/12*Hypothèses!$F$30+AX46*Hypothèses!$F$15/12*Hypothèses!$F$31+AX47*Hypothèses!$F$16/12*Hypothèses!$F$32)*Hypothèses!$F$72</f>
        <v>44865.897825876775</v>
      </c>
      <c r="AY9" s="192">
        <f ca="1">(AY43*Hypothèses!$F$12/12*Hypothèses!$F$28+AY44*Hypothèses!$F$13/12*Hypothèses!$F$29+AY45*Hypothèses!$F$14/12*Hypothèses!$F$30+AY46*Hypothèses!$F$15/12*Hypothèses!$F$31+AY47*Hypothèses!$F$16/12*Hypothèses!$F$32)*Hypothèses!$F$72</f>
        <v>45777.874977125699</v>
      </c>
      <c r="AZ9" s="192">
        <f ca="1">(AZ43*Hypothèses!$F$12/12*Hypothèses!$F$28+AZ44*Hypothèses!$F$13/12*Hypothèses!$F$29+AZ45*Hypothèses!$F$14/12*Hypothèses!$F$30+AZ46*Hypothèses!$F$15/12*Hypothèses!$F$31+AZ47*Hypothèses!$F$16/12*Hypothèses!$F$32)*Hypothèses!$F$72</f>
        <v>46694.144293746685</v>
      </c>
      <c r="BA9" s="192">
        <f ca="1">(BA43*Hypothèses!$F$12/12*Hypothèses!$F$28+BA44*Hypothèses!$F$13/12*Hypothèses!$F$29+BA45*Hypothèses!$F$14/12*Hypothèses!$F$30+BA46*Hypothèses!$F$15/12*Hypothèses!$F$31+BA47*Hypothèses!$F$16/12*Hypothèses!$F$32)*Hypothèses!$F$72</f>
        <v>47819.268511609589</v>
      </c>
      <c r="BB9" s="192">
        <f ca="1">(BB43*Hypothèses!$F$12/12*Hypothèses!$F$28+BB44*Hypothèses!$F$13/12*Hypothèses!$F$29+BB45*Hypothèses!$F$14/12*Hypothèses!$F$30+BB46*Hypothèses!$F$15/12*Hypothèses!$F$31+BB47*Hypothèses!$F$16/12*Hypothèses!$F$32)*Hypothèses!$F$72</f>
        <v>48948.968444757476</v>
      </c>
      <c r="BC9" s="192">
        <f ca="1">(BC43*Hypothèses!$F$12/12*Hypothèses!$F$28+BC44*Hypothèses!$F$13/12*Hypothèses!$F$29+BC45*Hypothèses!$F$14/12*Hypothèses!$F$30+BC46*Hypothèses!$F$15/12*Hypothèses!$F$31+BC47*Hypothèses!$F$16/12*Hypothèses!$F$32)*Hypothèses!$F$72</f>
        <v>50083.165222849908</v>
      </c>
      <c r="BD9" s="192">
        <f ca="1">(BD43*Hypothèses!$F$12/12*Hypothèses!$F$28+BD44*Hypothèses!$F$13/12*Hypothèses!$F$29+BD45*Hypothèses!$F$14/12*Hypothèses!$F$30+BD46*Hypothèses!$F$15/12*Hypothèses!$F$31+BD47*Hypothèses!$F$16/12*Hypothèses!$F$32)*Hypothèses!$F$72</f>
        <v>51221.7811409321</v>
      </c>
      <c r="BE9" s="193">
        <f ca="1">(BE43*Hypothèses!$F$12/12*Hypothèses!$F$28+BE44*Hypothèses!$F$13/12*Hypothèses!$F$29+BE45*Hypothèses!$F$14/12*Hypothèses!$F$30+BE46*Hypothèses!$F$15/12*Hypothèses!$F$31+BE47*Hypothèses!$F$16/12*Hypothèses!$F$32)*Hypothèses!$F$72</f>
        <v>52364.7396453857</v>
      </c>
      <c r="BF9" s="193">
        <f ca="1">(BF43*Hypothèses!$G$12/12*Hypothèses!$G$28+BF44*Hypothèses!$G$13/12*Hypothèses!$G$29+BF45*Hypothèses!$G$14/12*Hypothèses!$G$30+BF46*Hypothèses!$G$15/12*Hypothèses!$G$31+BF47*Hypothèses!$G$16/12*Hypothèses!$G$32)*Hypothèses!$G$72</f>
        <v>78976.399369560153</v>
      </c>
      <c r="BG9" s="192">
        <f ca="1">(BG43*Hypothèses!$G$12/12*Hypothèses!$G$28+BG44*Hypothèses!$G$13/12*Hypothèses!$G$29+BG45*Hypothèses!$G$14/12*Hypothèses!$G$30+BG46*Hypothèses!$G$15/12*Hypothèses!$G$31+BG47*Hypothèses!$G$16/12*Hypothèses!$G$32)*Hypothèses!$G$72</f>
        <v>80234.285983166177</v>
      </c>
      <c r="BH9" s="192">
        <f ca="1">(BH43*Hypothèses!$G$12/12*Hypothèses!$G$28+BH44*Hypothèses!$G$13/12*Hypothèses!$G$29+BH45*Hypothèses!$G$14/12*Hypothèses!$G$30+BH46*Hypothèses!$G$15/12*Hypothèses!$G$31+BH47*Hypothèses!$G$16/12*Hypothèses!$G$32)*Hypothèses!$G$72</f>
        <v>82601.849575927597</v>
      </c>
      <c r="BI9" s="192">
        <f ca="1">(BI43*Hypothèses!$G$12/12*Hypothèses!$G$28+BI44*Hypothèses!$G$13/12*Hypothèses!$G$29+BI45*Hypothèses!$G$14/12*Hypothèses!$G$30+BI46*Hypothèses!$G$15/12*Hypothèses!$G$31+BI47*Hypothèses!$G$16/12*Hypothèses!$G$32)*Hypothèses!$G$72</f>
        <v>84949.192697751045</v>
      </c>
      <c r="BJ9" s="192">
        <f ca="1">(BJ43*Hypothèses!$G$12/12*Hypothèses!$G$28+BJ44*Hypothèses!$G$13/12*Hypothèses!$G$29+BJ45*Hypothèses!$G$14/12*Hypothèses!$G$30+BJ46*Hypothèses!$G$15/12*Hypothèses!$G$31+BJ47*Hypothèses!$G$16/12*Hypothèses!$G$32)*Hypothèses!$G$72</f>
        <v>88395.381986676177</v>
      </c>
      <c r="BK9" s="192">
        <f ca="1">(BK43*Hypothèses!$G$12/12*Hypothèses!$G$28+BK44*Hypothèses!$G$13/12*Hypothèses!$G$29+BK45*Hypothèses!$G$14/12*Hypothèses!$G$30+BK46*Hypothèses!$G$15/12*Hypothèses!$G$31+BK47*Hypothèses!$G$16/12*Hypothèses!$G$32)*Hypothèses!$G$72</f>
        <v>92929.675853346096</v>
      </c>
      <c r="BL9" s="192">
        <f ca="1">(BL43*Hypothèses!$G$12/12*Hypothèses!$G$28+BL44*Hypothèses!$G$13/12*Hypothèses!$G$29+BL45*Hypothèses!$G$14/12*Hypothèses!$G$30+BL46*Hypothèses!$G$15/12*Hypothèses!$G$31+BL47*Hypothèses!$G$16/12*Hypothèses!$G$32)*Hypothèses!$G$72</f>
        <v>97422.638320450162</v>
      </c>
      <c r="BM9" s="192">
        <f ca="1">(BM43*Hypothèses!$G$12/12*Hypothèses!$G$28+BM44*Hypothèses!$G$13/12*Hypothèses!$G$29+BM45*Hypothèses!$G$14/12*Hypothèses!$G$30+BM46*Hypothèses!$G$15/12*Hypothèses!$G$31+BM47*Hypothèses!$G$16/12*Hypothèses!$G$32)*Hypothèses!$G$72</f>
        <v>107000.80289634707</v>
      </c>
      <c r="BN9" s="192">
        <f ca="1">(BN43*Hypothèses!$G$12/12*Hypothèses!$G$28+BN44*Hypothèses!$G$13/12*Hypothèses!$G$29+BN45*Hypothèses!$G$14/12*Hypothèses!$G$30+BN46*Hypothèses!$G$15/12*Hypothèses!$G$31+BN47*Hypothèses!$G$16/12*Hypothèses!$G$32)*Hypothèses!$G$72</f>
        <v>116486.93403298773</v>
      </c>
      <c r="BO9" s="192">
        <f ca="1">(BO43*Hypothèses!$G$12/12*Hypothèses!$G$28+BO44*Hypothèses!$G$13/12*Hypothèses!$G$29+BO45*Hypothèses!$G$14/12*Hypothèses!$G$30+BO46*Hypothèses!$G$15/12*Hypothèses!$G$31+BO47*Hypothèses!$G$16/12*Hypothèses!$G$32)*Hypothèses!$G$72</f>
        <v>125882.23395497045</v>
      </c>
      <c r="BP9" s="192">
        <f ca="1">(BP43*Hypothèses!$G$12/12*Hypothèses!$G$28+BP44*Hypothèses!$G$13/12*Hypothèses!$G$29+BP45*Hypothèses!$G$14/12*Hypothèses!$G$30+BP46*Hypothèses!$G$15/12*Hypothèses!$G$31+BP47*Hypothèses!$G$16/12*Hypothèses!$G$32)*Hypothèses!$G$72</f>
        <v>135187.88404443482</v>
      </c>
      <c r="BQ9" s="193">
        <f ca="1">(BQ43*Hypothèses!$G$12/12*Hypothèses!$G$28+BQ44*Hypothèses!$G$13/12*Hypothèses!$G$29+BQ45*Hypothèses!$G$14/12*Hypothèses!$G$30+BQ46*Hypothèses!$G$15/12*Hypothèses!$G$31+BQ47*Hypothèses!$G$16/12*Hypothèses!$G$32)*Hypothèses!$G$72</f>
        <v>144405.04528180521</v>
      </c>
      <c r="BR9" s="192">
        <f ca="1">(BR43*Hypothèses!$H$12/12*Hypothèses!$H$28+BR44*Hypothèses!$H$13/12*Hypothèses!$H$29+BR45*Hypothèses!$H$14/12*Hypothèses!$H$30+BR46*Hypothèses!$H$15/12*Hypothèses!$H$31+BR47*Hypothèses!$H$16/12*Hypothèses!$H$32)*Hypothèses!$H$72</f>
        <v>209224.20481272932</v>
      </c>
      <c r="BS9" s="192">
        <f ca="1">(BS43*Hypothèses!$H$12/12*Hypothèses!$H$28+BS44*Hypothèses!$H$13/12*Hypothèses!$H$29+BS45*Hypothèses!$H$14/12*Hypothèses!$H$30+BS46*Hypothèses!$H$15/12*Hypothèses!$H$31+BS47*Hypothèses!$H$16/12*Hypothèses!$H$32)*Hypothèses!$H$72</f>
        <v>222287.48631156073</v>
      </c>
      <c r="BT9" s="192">
        <f ca="1">(BT43*Hypothèses!$H$12/12*Hypothèses!$H$28+BT44*Hypothèses!$H$13/12*Hypothèses!$H$29+BT45*Hypothèses!$H$14/12*Hypothèses!$H$30+BT46*Hypothèses!$H$15/12*Hypothèses!$H$31+BT47*Hypothèses!$H$16/12*Hypothèses!$H$32)*Hypothèses!$H$72</f>
        <v>235224.57594252549</v>
      </c>
      <c r="BU9" s="192">
        <f ca="1">(BU43*Hypothèses!$H$12/12*Hypothèses!$H$28+BU44*Hypothèses!$H$13/12*Hypothèses!$H$29+BU45*Hypothèses!$H$14/12*Hypothèses!$H$30+BU46*Hypothèses!$H$15/12*Hypothèses!$H$31+BU47*Hypothèses!$H$16/12*Hypothèses!$H$32)*Hypothèses!$H$72</f>
        <v>248799.43140362212</v>
      </c>
      <c r="BV9" s="192">
        <f ca="1">(BV43*Hypothèses!$H$12/12*Hypothèses!$H$28+BV44*Hypothèses!$H$13/12*Hypothèses!$H$29+BV45*Hypothèses!$H$14/12*Hypothèses!$H$30+BV46*Hypothèses!$H$15/12*Hypothèses!$H$31+BV47*Hypothèses!$H$16/12*Hypothèses!$H$32)*Hypothèses!$H$72</f>
        <v>262243.39157732646</v>
      </c>
      <c r="BW9" s="192">
        <f ca="1">(BW43*Hypothèses!$H$12/12*Hypothèses!$H$28+BW44*Hypothèses!$H$13/12*Hypothèses!$H$29+BW45*Hypothèses!$H$14/12*Hypothèses!$H$30+BW46*Hypothèses!$H$15/12*Hypothèses!$H$31+BW47*Hypothèses!$H$16/12*Hypothèses!$H$32)*Hypothèses!$H$72</f>
        <v>275558.05857474881</v>
      </c>
      <c r="BX9" s="192">
        <f ca="1">(BX43*Hypothèses!$H$12/12*Hypothèses!$H$28+BX44*Hypothèses!$H$13/12*Hypothèses!$H$29+BX45*Hypothèses!$H$14/12*Hypothèses!$H$30+BX46*Hypothèses!$H$15/12*Hypothèses!$H$31+BX47*Hypothèses!$H$16/12*Hypothèses!$H$32)*Hypothèses!$H$72</f>
        <v>291032.23999675771</v>
      </c>
      <c r="BY9" s="192">
        <f ca="1">(BY43*Hypothèses!$H$12/12*Hypothèses!$H$28+BY44*Hypothèses!$H$13/12*Hypothèses!$H$29+BY45*Hypothèses!$H$14/12*Hypothèses!$H$30+BY46*Hypothèses!$H$15/12*Hypothèses!$H$31+BY47*Hypothèses!$H$16/12*Hypothèses!$H$32)*Hypothèses!$H$72</f>
        <v>327318.56086669047</v>
      </c>
      <c r="BZ9" s="192">
        <f ca="1">(BZ43*Hypothèses!$H$12/12*Hypothèses!$H$28+BZ44*Hypothèses!$H$13/12*Hypothèses!$H$29+BZ45*Hypothèses!$H$14/12*Hypothèses!$H$30+BZ46*Hypothèses!$H$15/12*Hypothèses!$H$31+BZ47*Hypothèses!$H$16/12*Hypothèses!$H$32)*Hypothèses!$H$72</f>
        <v>364008.20318509295</v>
      </c>
      <c r="CA9" s="192">
        <f ca="1">(CA43*Hypothèses!$H$12/12*Hypothèses!$H$28+CA44*Hypothèses!$H$13/12*Hypothèses!$H$29+CA45*Hypothèses!$H$14/12*Hypothèses!$H$30+CA46*Hypothèses!$H$15/12*Hypothèses!$H$31+CA47*Hypothèses!$H$16/12*Hypothèses!$H$32)*Hypothèses!$H$72</f>
        <v>400335.74430699827</v>
      </c>
      <c r="CB9" s="192">
        <f ca="1">(CB43*Hypothèses!$H$12/12*Hypothèses!$H$28+CB44*Hypothèses!$H$13/12*Hypothèses!$H$29+CB45*Hypothèses!$H$14/12*Hypothèses!$H$30+CB46*Hypothèses!$H$15/12*Hypothèses!$H$31+CB47*Hypothèses!$H$16/12*Hypothèses!$H$32)*Hypothèses!$H$72</f>
        <v>437830.52785891335</v>
      </c>
      <c r="CC9" s="193">
        <f ca="1">(CC43*Hypothèses!$H$12/12*Hypothèses!$H$28+CC44*Hypothèses!$H$13/12*Hypothèses!$H$29+CC45*Hypothèses!$H$14/12*Hypothèses!$H$30+CC46*Hypothèses!$H$15/12*Hypothèses!$H$31+CC47*Hypothèses!$H$16/12*Hypothèses!$H$32)*Hypothèses!$H$72</f>
        <v>474956.63780942239</v>
      </c>
      <c r="CD9" s="130"/>
    </row>
    <row r="10" spans="1:82" ht="14">
      <c r="A10" s="194"/>
      <c r="B10" s="62"/>
      <c r="C10" s="40"/>
      <c r="I10" s="10"/>
      <c r="J10" s="40"/>
      <c r="U10" s="10"/>
      <c r="V10" s="40"/>
      <c r="AG10" s="10"/>
      <c r="AH10" s="40"/>
      <c r="AS10" s="10"/>
      <c r="AT10" s="40"/>
      <c r="BE10" s="10"/>
      <c r="BF10" s="40"/>
      <c r="BQ10" s="10"/>
      <c r="BR10" s="40"/>
      <c r="CC10" s="10"/>
    </row>
    <row r="11" spans="1:82" ht="14">
      <c r="A11" s="61"/>
      <c r="B11" s="62"/>
      <c r="C11" s="40"/>
      <c r="I11" s="10"/>
      <c r="J11" s="40"/>
      <c r="U11" s="10"/>
      <c r="V11" s="40"/>
      <c r="AG11" s="10"/>
      <c r="AH11" s="40"/>
      <c r="AS11" s="10"/>
      <c r="AT11" s="40"/>
      <c r="BE11" s="10"/>
      <c r="BF11" s="40"/>
      <c r="BQ11" s="10"/>
      <c r="BR11" s="40"/>
      <c r="CC11" s="10"/>
    </row>
    <row r="12" spans="1:82" ht="15">
      <c r="A12" s="181" t="s">
        <v>133</v>
      </c>
      <c r="B12" s="182"/>
      <c r="C12" s="183">
        <f t="shared" ref="C12:CC12" si="2">SUM(C13:C14)</f>
        <v>0</v>
      </c>
      <c r="D12" s="184">
        <f t="shared" si="2"/>
        <v>315.82164189756548</v>
      </c>
      <c r="E12" s="184">
        <f t="shared" si="2"/>
        <v>323.34398324936922</v>
      </c>
      <c r="F12" s="184">
        <f t="shared" si="2"/>
        <v>330.6401692467349</v>
      </c>
      <c r="G12" s="184">
        <f t="shared" si="2"/>
        <v>337.71733146279189</v>
      </c>
      <c r="H12" s="184">
        <f t="shared" si="2"/>
        <v>344.58235218629267</v>
      </c>
      <c r="I12" s="185">
        <f t="shared" si="2"/>
        <v>351.24187404051031</v>
      </c>
      <c r="J12" s="183">
        <f t="shared" si="2"/>
        <v>892.48048095335423</v>
      </c>
      <c r="K12" s="184">
        <f t="shared" ca="1" si="2"/>
        <v>942.3807569444632</v>
      </c>
      <c r="L12" s="184">
        <f t="shared" ca="1" si="2"/>
        <v>831.36050435328161</v>
      </c>
      <c r="M12" s="184">
        <f t="shared" ca="1" si="2"/>
        <v>992.80230065525484</v>
      </c>
      <c r="N12" s="184">
        <f t="shared" ca="1" si="2"/>
        <v>1022.3143221111598</v>
      </c>
      <c r="O12" s="184">
        <f t="shared" ca="1" si="2"/>
        <v>1051.1443842030296</v>
      </c>
      <c r="P12" s="184">
        <f t="shared" ca="1" si="2"/>
        <v>1079.3091407288364</v>
      </c>
      <c r="Q12" s="184">
        <f t="shared" ca="1" si="2"/>
        <v>1198.5506543831661</v>
      </c>
      <c r="R12" s="184">
        <f t="shared" ca="1" si="2"/>
        <v>1234.9738907929623</v>
      </c>
      <c r="S12" s="184">
        <f t="shared" ca="1" si="2"/>
        <v>1270.4903414400492</v>
      </c>
      <c r="T12" s="184">
        <f t="shared" ca="1" si="2"/>
        <v>1305.124665923649</v>
      </c>
      <c r="U12" s="185">
        <f t="shared" ca="1" si="2"/>
        <v>1338.9007633922829</v>
      </c>
      <c r="V12" s="183">
        <f t="shared" ca="1" si="2"/>
        <v>1745.0494742404469</v>
      </c>
      <c r="W12" s="184">
        <f t="shared" ca="1" si="2"/>
        <v>1797.092818434598</v>
      </c>
      <c r="X12" s="184">
        <f t="shared" ca="1" si="2"/>
        <v>1848.2245945822904</v>
      </c>
      <c r="Y12" s="184">
        <f t="shared" ca="1" si="2"/>
        <v>1898.4620100780401</v>
      </c>
      <c r="Z12" s="184">
        <f t="shared" ca="1" si="2"/>
        <v>1947.8219112161285</v>
      </c>
      <c r="AA12" s="184">
        <f t="shared" ca="1" si="2"/>
        <v>1996.3207918510443</v>
      </c>
      <c r="AB12" s="184">
        <f t="shared" ca="1" si="2"/>
        <v>2043.9748018160631</v>
      </c>
      <c r="AC12" s="184">
        <f t="shared" ca="1" si="2"/>
        <v>2178.7037048701327</v>
      </c>
      <c r="AD12" s="184">
        <f t="shared" ca="1" si="2"/>
        <v>2230.8821229699361</v>
      </c>
      <c r="AE12" s="184">
        <f t="shared" ca="1" si="2"/>
        <v>2282.1114098842768</v>
      </c>
      <c r="AF12" s="184">
        <f t="shared" ca="1" si="2"/>
        <v>2332.4108831972862</v>
      </c>
      <c r="AG12" s="185">
        <f t="shared" ca="1" si="2"/>
        <v>2381.7994017295773</v>
      </c>
      <c r="AH12" s="183">
        <f t="shared" ca="1" si="2"/>
        <v>2098.8457395167475</v>
      </c>
      <c r="AI12" s="184">
        <f t="shared" ca="1" si="2"/>
        <v>2138.6284062894979</v>
      </c>
      <c r="AJ12" s="184">
        <f t="shared" ca="1" si="2"/>
        <v>2177.8743925326266</v>
      </c>
      <c r="AK12" s="184">
        <f t="shared" ca="1" si="2"/>
        <v>2216.5905499346154</v>
      </c>
      <c r="AL12" s="184">
        <f t="shared" ca="1" si="2"/>
        <v>2254.7836677556206</v>
      </c>
      <c r="AM12" s="184">
        <f t="shared" ca="1" si="2"/>
        <v>2292.4604722002864</v>
      </c>
      <c r="AN12" s="184">
        <f t="shared" ca="1" si="2"/>
        <v>2329.6276258576991</v>
      </c>
      <c r="AO12" s="184">
        <f t="shared" ca="1" si="2"/>
        <v>2366.2917272062959</v>
      </c>
      <c r="AP12" s="184">
        <f t="shared" ca="1" si="2"/>
        <v>2402.4593101795977</v>
      </c>
      <c r="AQ12" s="184">
        <f t="shared" ca="1" si="2"/>
        <v>2438.1368437912247</v>
      </c>
      <c r="AR12" s="184">
        <f t="shared" ca="1" si="2"/>
        <v>2473.3307318151378</v>
      </c>
      <c r="AS12" s="185">
        <f t="shared" ca="1" si="2"/>
        <v>2508.0473125194912</v>
      </c>
      <c r="AT12" s="183">
        <f t="shared" ca="1" si="2"/>
        <v>1578.0509450886823</v>
      </c>
      <c r="AU12" s="184">
        <f t="shared" ca="1" si="2"/>
        <v>1586.3336628091454</v>
      </c>
      <c r="AV12" s="184">
        <f t="shared" ca="1" si="2"/>
        <v>1594.4792475232375</v>
      </c>
      <c r="AW12" s="184">
        <f t="shared" ca="1" si="2"/>
        <v>1602.4895615767718</v>
      </c>
      <c r="AX12" s="184">
        <f t="shared" ca="1" si="2"/>
        <v>1610.3664544984451</v>
      </c>
      <c r="AY12" s="184">
        <f t="shared" ca="1" si="2"/>
        <v>1618.1117624495826</v>
      </c>
      <c r="AZ12" s="184">
        <f t="shared" ca="1" si="2"/>
        <v>1625.7273077134062</v>
      </c>
      <c r="BA12" s="184">
        <f t="shared" ca="1" si="2"/>
        <v>1996.2964298476272</v>
      </c>
      <c r="BB12" s="184">
        <f t="shared" ca="1" si="2"/>
        <v>2004.4150748313873</v>
      </c>
      <c r="BC12" s="184">
        <f t="shared" ca="1" si="2"/>
        <v>2012.3937809740555</v>
      </c>
      <c r="BD12" s="184">
        <f t="shared" ca="1" si="2"/>
        <v>2020.2346160076531</v>
      </c>
      <c r="BE12" s="185">
        <f t="shared" ca="1" si="2"/>
        <v>2027.9396227366194</v>
      </c>
      <c r="BF12" s="183">
        <f t="shared" ca="1" si="2"/>
        <v>1514.992099410028</v>
      </c>
      <c r="BG12" s="184">
        <f t="shared" ca="1" si="2"/>
        <v>1503.9456840894741</v>
      </c>
      <c r="BH12" s="184">
        <f t="shared" ca="1" si="2"/>
        <v>2830.6899911537503</v>
      </c>
      <c r="BI12" s="184">
        <f t="shared" ca="1" si="2"/>
        <v>2806.5141316855893</v>
      </c>
      <c r="BJ12" s="184">
        <f t="shared" ca="1" si="2"/>
        <v>4120.3089782284242</v>
      </c>
      <c r="BK12" s="184">
        <f t="shared" ca="1" si="2"/>
        <v>5421.2610400728627</v>
      </c>
      <c r="BL12" s="184">
        <f t="shared" ca="1" si="2"/>
        <v>5371.8446782783176</v>
      </c>
      <c r="BM12" s="184">
        <f t="shared" ca="1" si="2"/>
        <v>11451.778816632213</v>
      </c>
      <c r="BN12" s="184">
        <f t="shared" ca="1" si="2"/>
        <v>11341.742433174262</v>
      </c>
      <c r="BO12" s="184">
        <f t="shared" ca="1" si="2"/>
        <v>11233.143445167021</v>
      </c>
      <c r="BP12" s="184">
        <f t="shared" ca="1" si="2"/>
        <v>11125.956933094394</v>
      </c>
      <c r="BQ12" s="185">
        <f t="shared" ca="1" si="2"/>
        <v>11020.15850439884</v>
      </c>
      <c r="BR12" s="183">
        <f t="shared" ca="1" si="2"/>
        <v>10896.534555663005</v>
      </c>
      <c r="BS12" s="184">
        <f t="shared" ca="1" si="2"/>
        <v>11460.210826190721</v>
      </c>
      <c r="BT12" s="184">
        <f t="shared" ca="1" si="2"/>
        <v>11349.504690796426</v>
      </c>
      <c r="BU12" s="184">
        <f t="shared" ca="1" si="2"/>
        <v>11909.006594794064</v>
      </c>
      <c r="BV12" s="184">
        <f t="shared" ca="1" si="2"/>
        <v>11794.174223631739</v>
      </c>
      <c r="BW12" s="184">
        <f t="shared" ca="1" si="2"/>
        <v>11680.747359278228</v>
      </c>
      <c r="BX12" s="184">
        <f t="shared" ca="1" si="2"/>
        <v>13575.255304328366</v>
      </c>
      <c r="BY12" s="184">
        <f t="shared" ca="1" si="2"/>
        <v>31833.416995066174</v>
      </c>
      <c r="BZ12" s="184">
        <f t="shared" ca="1" si="2"/>
        <v>32187.244540664215</v>
      </c>
      <c r="CA12" s="184">
        <f t="shared" ca="1" si="2"/>
        <v>31869.5788720001</v>
      </c>
      <c r="CB12" s="184">
        <f t="shared" ca="1" si="2"/>
        <v>32893.582246219856</v>
      </c>
      <c r="CC12" s="185">
        <f t="shared" ca="1" si="2"/>
        <v>32570.150710388687</v>
      </c>
      <c r="CD12" s="184"/>
    </row>
    <row r="13" spans="1:82" ht="14">
      <c r="A13" s="194" t="s">
        <v>134</v>
      </c>
      <c r="B13" s="62"/>
      <c r="C13" s="40"/>
      <c r="D13" s="130">
        <f>(D19-C19)*Hypothèses!$B$74</f>
        <v>0</v>
      </c>
      <c r="E13" s="130">
        <f>(E19-D19)*Hypothèses!$B$74</f>
        <v>0</v>
      </c>
      <c r="F13" s="130">
        <f>(F19-E19)*Hypothèses!$B$74</f>
        <v>0</v>
      </c>
      <c r="G13" s="130">
        <f>(G19-F19)*Hypothèses!$B$74</f>
        <v>0</v>
      </c>
      <c r="H13" s="130">
        <f>(H19-G19)*Hypothèses!$B$74</f>
        <v>0</v>
      </c>
      <c r="I13" s="131">
        <f>(I19-H19)*Hypothèses!$B$74</f>
        <v>0</v>
      </c>
      <c r="J13" s="129">
        <f>(J19-I19)*Hypothèses!$B$74</f>
        <v>0</v>
      </c>
      <c r="K13" s="130">
        <f ca="1">(K19-J19)*Hypothèses!$B$74</f>
        <v>0</v>
      </c>
      <c r="L13" s="130">
        <f ca="1">(L19-K19)*Hypothèses!$B$74</f>
        <v>0</v>
      </c>
      <c r="M13" s="130">
        <f ca="1">(M19-L19)*Hypothèses!$B$74</f>
        <v>0</v>
      </c>
      <c r="N13" s="130">
        <f ca="1">(N19-M19)*Hypothèses!$B$74</f>
        <v>0</v>
      </c>
      <c r="O13" s="130">
        <f ca="1">(O19-N19)*Hypothèses!$B$74</f>
        <v>0</v>
      </c>
      <c r="P13" s="130">
        <f ca="1">(P19-O19)*Hypothèses!$B$74</f>
        <v>0</v>
      </c>
      <c r="Q13" s="130">
        <f ca="1">(Q19-P19)*Hypothèses!$B$74</f>
        <v>0</v>
      </c>
      <c r="R13" s="130">
        <f ca="1">(R19-Q19)*Hypothèses!$B$74</f>
        <v>0</v>
      </c>
      <c r="S13" s="130">
        <f ca="1">(S19-R19)*Hypothèses!$B$74</f>
        <v>0</v>
      </c>
      <c r="T13" s="130">
        <f ca="1">(T19-S19)*Hypothèses!$B$74</f>
        <v>0</v>
      </c>
      <c r="U13" s="131">
        <f ca="1">(U19-T19)*Hypothèses!$B$74</f>
        <v>0</v>
      </c>
      <c r="V13" s="129">
        <f ca="1">(V19-U19)*Hypothèses!$B$74</f>
        <v>0</v>
      </c>
      <c r="W13" s="130">
        <f ca="1">(W19-V19)*Hypothèses!$B$74</f>
        <v>0</v>
      </c>
      <c r="X13" s="130">
        <f ca="1">(X19-W19)*Hypothèses!$B$74</f>
        <v>0</v>
      </c>
      <c r="Y13" s="130">
        <f ca="1">(Y19-X19)*Hypothèses!$B$74</f>
        <v>0</v>
      </c>
      <c r="Z13" s="130">
        <f ca="1">(Z19-Y19)*Hypothèses!$B$74</f>
        <v>0</v>
      </c>
      <c r="AA13" s="130">
        <f ca="1">(AA19-Z19)*Hypothèses!$B$74</f>
        <v>0</v>
      </c>
      <c r="AB13" s="130">
        <f ca="1">(AB19-AA19)*Hypothèses!$B$74</f>
        <v>0</v>
      </c>
      <c r="AC13" s="130">
        <f ca="1">(AC19-AB19)*Hypothèses!$B$74</f>
        <v>0</v>
      </c>
      <c r="AD13" s="130">
        <f ca="1">(AD19-AC19)*Hypothèses!$B$74</f>
        <v>0</v>
      </c>
      <c r="AE13" s="130">
        <f ca="1">(AE19-AD19)*Hypothèses!$B$74</f>
        <v>0</v>
      </c>
      <c r="AF13" s="130">
        <f ca="1">(AF19-AE19)*Hypothèses!$B$74</f>
        <v>0</v>
      </c>
      <c r="AG13" s="131">
        <f ca="1">(AG19-AF19)*Hypothèses!$B$74</f>
        <v>0</v>
      </c>
      <c r="AH13" s="129">
        <f ca="1">(AH19-AG19)*Hypothèses!$B$74</f>
        <v>0</v>
      </c>
      <c r="AI13" s="130">
        <f ca="1">(AI19-AH19)*Hypothèses!$B$74</f>
        <v>0</v>
      </c>
      <c r="AJ13" s="130">
        <f ca="1">(AJ19-AI19)*Hypothèses!$B$74</f>
        <v>0</v>
      </c>
      <c r="AK13" s="130">
        <f ca="1">(AK19-AJ19)*Hypothèses!$B$74</f>
        <v>0</v>
      </c>
      <c r="AL13" s="130">
        <f ca="1">(AL19-AK19)*Hypothèses!$B$74</f>
        <v>0</v>
      </c>
      <c r="AM13" s="130">
        <f ca="1">(AM19-AL19)*Hypothèses!$B$74</f>
        <v>0</v>
      </c>
      <c r="AN13" s="130">
        <f ca="1">(AN19-AM19)*Hypothèses!$B$74</f>
        <v>0</v>
      </c>
      <c r="AO13" s="130">
        <f ca="1">(AO19-AN19)*Hypothèses!$B$74</f>
        <v>0</v>
      </c>
      <c r="AP13" s="130">
        <f ca="1">(AP19-AO19)*Hypothèses!$B$74</f>
        <v>0</v>
      </c>
      <c r="AQ13" s="130">
        <f ca="1">(AQ19-AP19)*Hypothèses!$B$74</f>
        <v>0</v>
      </c>
      <c r="AR13" s="130">
        <f ca="1">(AR19-AQ19)*Hypothèses!$B$74</f>
        <v>0</v>
      </c>
      <c r="AS13" s="131">
        <f ca="1">(AS19-AR19)*Hypothèses!$B$74</f>
        <v>0</v>
      </c>
      <c r="AT13" s="129">
        <f ca="1">(AT19-AS19)*Hypothèses!$B$74</f>
        <v>0</v>
      </c>
      <c r="AU13" s="130">
        <f ca="1">(AU19-AT19)*Hypothèses!$B$74</f>
        <v>0</v>
      </c>
      <c r="AV13" s="130">
        <f ca="1">(AV19-AU19)*Hypothèses!$B$74</f>
        <v>0</v>
      </c>
      <c r="AW13" s="130">
        <f ca="1">(AW19-AV19)*Hypothèses!$B$74</f>
        <v>0</v>
      </c>
      <c r="AX13" s="130">
        <f ca="1">(AX19-AW19)*Hypothèses!$B$74</f>
        <v>0</v>
      </c>
      <c r="AY13" s="130">
        <f ca="1">(AY19-AX19)*Hypothèses!$B$74</f>
        <v>0</v>
      </c>
      <c r="AZ13" s="130">
        <f ca="1">(AZ19-AY19)*Hypothèses!$B$74</f>
        <v>0</v>
      </c>
      <c r="BA13" s="130">
        <f ca="1">(BA19-AZ19)*Hypothèses!$B$74</f>
        <v>0</v>
      </c>
      <c r="BB13" s="130">
        <f ca="1">(BB19-BA19)*Hypothèses!$B$74</f>
        <v>0</v>
      </c>
      <c r="BC13" s="130">
        <f ca="1">(BC19-BB19)*Hypothèses!$B$74</f>
        <v>0</v>
      </c>
      <c r="BD13" s="130">
        <f ca="1">(BD19-BC19)*Hypothèses!$B$74</f>
        <v>0</v>
      </c>
      <c r="BE13" s="131">
        <f ca="1">(BE19-BD19)*Hypothèses!$B$74</f>
        <v>0</v>
      </c>
      <c r="BF13" s="129">
        <f ca="1">(BF19-BE19)*Hypothèses!$B$74</f>
        <v>0</v>
      </c>
      <c r="BG13" s="130">
        <f ca="1">(BG19-BF19)*Hypothèses!$B$74</f>
        <v>0</v>
      </c>
      <c r="BH13" s="130">
        <f ca="1">(BH19-BG19)*Hypothèses!$B$74</f>
        <v>0</v>
      </c>
      <c r="BI13" s="130">
        <f ca="1">(BI19-BH19)*Hypothèses!$B$74</f>
        <v>0</v>
      </c>
      <c r="BJ13" s="130">
        <f ca="1">(BJ19-BI19)*Hypothèses!$B$74</f>
        <v>0</v>
      </c>
      <c r="BK13" s="130">
        <f ca="1">(BK19-BJ19)*Hypothèses!$B$74</f>
        <v>0</v>
      </c>
      <c r="BL13" s="130">
        <f ca="1">(BL19-BK19)*Hypothèses!$B$74</f>
        <v>0</v>
      </c>
      <c r="BM13" s="130">
        <f ca="1">(BM19-BL19)*Hypothèses!$B$74</f>
        <v>0</v>
      </c>
      <c r="BN13" s="130">
        <f ca="1">(BN19-BM19)*Hypothèses!$B$74</f>
        <v>0</v>
      </c>
      <c r="BO13" s="130">
        <f ca="1">(BO19-BN19)*Hypothèses!$B$74</f>
        <v>0</v>
      </c>
      <c r="BP13" s="130">
        <f ca="1">(BP19-BO19)*Hypothèses!$B$74</f>
        <v>0</v>
      </c>
      <c r="BQ13" s="131">
        <f ca="1">(BQ19-BP19)*Hypothèses!$B$74</f>
        <v>0</v>
      </c>
      <c r="BR13" s="129">
        <f ca="1">(BR19-BQ19)*Hypothèses!$B$74</f>
        <v>0</v>
      </c>
      <c r="BS13" s="130">
        <f ca="1">(BS19-BR19)*Hypothèses!$B$74</f>
        <v>0</v>
      </c>
      <c r="BT13" s="130">
        <f ca="1">(BT19-BS19)*Hypothèses!$B$74</f>
        <v>0</v>
      </c>
      <c r="BU13" s="130">
        <f ca="1">(BU19-BT19)*Hypothèses!$B$74</f>
        <v>0</v>
      </c>
      <c r="BV13" s="130">
        <f ca="1">(BV19-BU19)*Hypothèses!$B$74</f>
        <v>0</v>
      </c>
      <c r="BW13" s="130">
        <f ca="1">(BW19-BV19)*Hypothèses!$B$74</f>
        <v>0</v>
      </c>
      <c r="BX13" s="130">
        <f ca="1">(BX19-BW19)*Hypothèses!$B$74</f>
        <v>0</v>
      </c>
      <c r="BY13" s="130">
        <f ca="1">(BY19-BX19)*Hypothèses!$B$74</f>
        <v>0</v>
      </c>
      <c r="BZ13" s="130">
        <f ca="1">(BZ19-BY19)*Hypothèses!$B$74</f>
        <v>0</v>
      </c>
      <c r="CA13" s="130">
        <f ca="1">(CA19-BZ19)*Hypothèses!$B$74</f>
        <v>0</v>
      </c>
      <c r="CB13" s="130">
        <f ca="1">(CB19-CA19)*Hypothèses!$B$74</f>
        <v>0</v>
      </c>
      <c r="CC13" s="131">
        <f ca="1">(CC19-CB19)*Hypothèses!$B$74</f>
        <v>0</v>
      </c>
    </row>
    <row r="14" spans="1:82" ht="14">
      <c r="A14" s="194" t="s">
        <v>135</v>
      </c>
      <c r="B14" s="62"/>
      <c r="C14" s="40"/>
      <c r="D14" s="130">
        <f>(D42-C42)*Hypothèses!$B$75</f>
        <v>315.82164189756548</v>
      </c>
      <c r="E14" s="130">
        <f>(E42-D42)*Hypothèses!$B$75</f>
        <v>323.34398324936922</v>
      </c>
      <c r="F14" s="130">
        <f>(F42-E42)*Hypothèses!$B$75</f>
        <v>330.6401692467349</v>
      </c>
      <c r="G14" s="130">
        <f>(G42-F42)*Hypothèses!$B$75</f>
        <v>337.71733146279189</v>
      </c>
      <c r="H14" s="130">
        <f>(H42-G42)*Hypothèses!$B$75</f>
        <v>344.58235218629267</v>
      </c>
      <c r="I14" s="130">
        <f>(I42-H42)*Hypothèses!$B$75</f>
        <v>351.24187404051031</v>
      </c>
      <c r="J14" s="129">
        <f>(J42-I42)*Hypothèses!$B$75</f>
        <v>892.48048095335423</v>
      </c>
      <c r="K14" s="130">
        <f ca="1">(K42-J42)*Hypothèses!$B$75</f>
        <v>942.3807569444632</v>
      </c>
      <c r="L14" s="130">
        <f ca="1">(L42-K42)*Hypothèses!$B$75</f>
        <v>831.36050435328161</v>
      </c>
      <c r="M14" s="130">
        <f ca="1">(M42-L42)*Hypothèses!$B$75</f>
        <v>992.80230065525484</v>
      </c>
      <c r="N14" s="130">
        <f ca="1">(N42-M42)*Hypothèses!$B$75</f>
        <v>1022.3143221111598</v>
      </c>
      <c r="O14" s="130">
        <f ca="1">(O42-N42)*Hypothèses!$B$75</f>
        <v>1051.1443842030296</v>
      </c>
      <c r="P14" s="130">
        <f ca="1">(P42-O42)*Hypothèses!$B$75</f>
        <v>1079.3091407288364</v>
      </c>
      <c r="Q14" s="130">
        <f ca="1">(Q42-P42)*Hypothèses!$B$75</f>
        <v>1198.5506543831661</v>
      </c>
      <c r="R14" s="130">
        <f ca="1">(R42-Q42)*Hypothèses!$B$75</f>
        <v>1234.9738907929623</v>
      </c>
      <c r="S14" s="130">
        <f ca="1">(S42-R42)*Hypothèses!$B$75</f>
        <v>1270.4903414400492</v>
      </c>
      <c r="T14" s="130">
        <f ca="1">(T42-S42)*Hypothèses!$B$75</f>
        <v>1305.124665923649</v>
      </c>
      <c r="U14" s="131">
        <f ca="1">(U42-T42)*Hypothèses!$B$75</f>
        <v>1338.9007633922829</v>
      </c>
      <c r="V14" s="129">
        <f ca="1">(V42-U42)*Hypothèses!$B$75</f>
        <v>1745.0494742404469</v>
      </c>
      <c r="W14" s="130">
        <f ca="1">(W42-V42)*Hypothèses!$B$75</f>
        <v>1797.092818434598</v>
      </c>
      <c r="X14" s="130">
        <f ca="1">(X42-W42)*Hypothèses!$B$75</f>
        <v>1848.2245945822904</v>
      </c>
      <c r="Y14" s="130">
        <f ca="1">(Y42-X42)*Hypothèses!$B$75</f>
        <v>1898.4620100780401</v>
      </c>
      <c r="Z14" s="130">
        <f ca="1">(Z42-Y42)*Hypothèses!$B$75</f>
        <v>1947.8219112161285</v>
      </c>
      <c r="AA14" s="130">
        <f ca="1">(AA42-Z42)*Hypothèses!$B$75</f>
        <v>1996.3207918510443</v>
      </c>
      <c r="AB14" s="130">
        <f ca="1">(AB42-AA42)*Hypothèses!$B$75</f>
        <v>2043.9748018160631</v>
      </c>
      <c r="AC14" s="130">
        <f ca="1">(AC42-AB42)*Hypothèses!$B$75</f>
        <v>2178.7037048701327</v>
      </c>
      <c r="AD14" s="130">
        <f ca="1">(AD42-AC42)*Hypothèses!$B$75</f>
        <v>2230.8821229699361</v>
      </c>
      <c r="AE14" s="130">
        <f ca="1">(AE42-AD42)*Hypothèses!$B$75</f>
        <v>2282.1114098842768</v>
      </c>
      <c r="AF14" s="130">
        <f ca="1">(AF42-AE42)*Hypothèses!$B$75</f>
        <v>2332.4108831972862</v>
      </c>
      <c r="AG14" s="131">
        <f ca="1">(AG42-AF42)*Hypothèses!$B$75</f>
        <v>2381.7994017295773</v>
      </c>
      <c r="AH14" s="129">
        <f ca="1">(AH42-AG42)*Hypothèses!$B$75</f>
        <v>2098.8457395167475</v>
      </c>
      <c r="AI14" s="130">
        <f ca="1">(AI42-AH42)*Hypothèses!$B$75</f>
        <v>2138.6284062894979</v>
      </c>
      <c r="AJ14" s="130">
        <f ca="1">(AJ42-AI42)*Hypothèses!$B$75</f>
        <v>2177.8743925326266</v>
      </c>
      <c r="AK14" s="130">
        <f ca="1">(AK42-AJ42)*Hypothèses!$B$75</f>
        <v>2216.5905499346154</v>
      </c>
      <c r="AL14" s="130">
        <f ca="1">(AL42-AK42)*Hypothèses!$B$75</f>
        <v>2254.7836677556206</v>
      </c>
      <c r="AM14" s="130">
        <f ca="1">(AM42-AL42)*Hypothèses!$B$75</f>
        <v>2292.4604722002864</v>
      </c>
      <c r="AN14" s="130">
        <f ca="1">(AN42-AM42)*Hypothèses!$B$75</f>
        <v>2329.6276258576991</v>
      </c>
      <c r="AO14" s="130">
        <f ca="1">(AO42-AN42)*Hypothèses!$B$75</f>
        <v>2366.2917272062959</v>
      </c>
      <c r="AP14" s="130">
        <f ca="1">(AP42-AO42)*Hypothèses!$B$75</f>
        <v>2402.4593101795977</v>
      </c>
      <c r="AQ14" s="130">
        <f ca="1">(AQ42-AP42)*Hypothèses!$B$75</f>
        <v>2438.1368437912247</v>
      </c>
      <c r="AR14" s="130">
        <f ca="1">(AR42-AQ42)*Hypothèses!$B$75</f>
        <v>2473.3307318151378</v>
      </c>
      <c r="AS14" s="131">
        <f ca="1">(AS42-AR42)*Hypothèses!$B$75</f>
        <v>2508.0473125194912</v>
      </c>
      <c r="AT14" s="129">
        <f ca="1">(AT42-AS42)*Hypothèses!$B$75</f>
        <v>1578.0509450886823</v>
      </c>
      <c r="AU14" s="130">
        <f ca="1">(AU42-AT42)*Hypothèses!$B$75</f>
        <v>1586.3336628091454</v>
      </c>
      <c r="AV14" s="130">
        <f ca="1">(AV42-AU42)*Hypothèses!$B$75</f>
        <v>1594.4792475232375</v>
      </c>
      <c r="AW14" s="130">
        <f ca="1">(AW42-AV42)*Hypothèses!$B$75</f>
        <v>1602.4895615767718</v>
      </c>
      <c r="AX14" s="130">
        <f ca="1">(AX42-AW42)*Hypothèses!$B$75</f>
        <v>1610.3664544984451</v>
      </c>
      <c r="AY14" s="130">
        <f ca="1">(AY42-AX42)*Hypothèses!$B$75</f>
        <v>1618.1117624495826</v>
      </c>
      <c r="AZ14" s="130">
        <f ca="1">(AZ42-AY42)*Hypothèses!$B$75</f>
        <v>1625.7273077134062</v>
      </c>
      <c r="BA14" s="130">
        <f ca="1">(BA42-AZ42)*Hypothèses!$B$75</f>
        <v>1996.2964298476272</v>
      </c>
      <c r="BB14" s="130">
        <f ca="1">(BB42-BA42)*Hypothèses!$B$75</f>
        <v>2004.4150748313873</v>
      </c>
      <c r="BC14" s="130">
        <f ca="1">(BC42-BB42)*Hypothèses!$B$75</f>
        <v>2012.3937809740555</v>
      </c>
      <c r="BD14" s="130">
        <f ca="1">(BD42-BC42)*Hypothèses!$B$75</f>
        <v>2020.2346160076531</v>
      </c>
      <c r="BE14" s="131">
        <f ca="1">(BE42-BD42)*Hypothèses!$B$75</f>
        <v>2027.9396227366194</v>
      </c>
      <c r="BF14" s="129">
        <f ca="1">(BF42-BE42)*Hypothèses!$B$75</f>
        <v>1514.992099410028</v>
      </c>
      <c r="BG14" s="130">
        <f ca="1">(BG42-BF42)*Hypothèses!$B$75</f>
        <v>1503.9456840894741</v>
      </c>
      <c r="BH14" s="130">
        <f ca="1">(BH42-BG42)*Hypothèses!$B$75</f>
        <v>2830.6899911537503</v>
      </c>
      <c r="BI14" s="130">
        <f ca="1">(BI42-BH42)*Hypothèses!$B$75</f>
        <v>2806.5141316855893</v>
      </c>
      <c r="BJ14" s="130">
        <f ca="1">(BJ42-BI42)*Hypothèses!$B$75</f>
        <v>4120.3089782284242</v>
      </c>
      <c r="BK14" s="130">
        <f ca="1">(BK42-BJ42)*Hypothèses!$B$75</f>
        <v>5421.2610400728627</v>
      </c>
      <c r="BL14" s="130">
        <f ca="1">(BL42-BK42)*Hypothèses!$B$75</f>
        <v>5371.8446782783176</v>
      </c>
      <c r="BM14" s="130">
        <f ca="1">(BM42-BL42)*Hypothèses!$B$75</f>
        <v>11451.778816632213</v>
      </c>
      <c r="BN14" s="130">
        <f ca="1">(BN42-BM42)*Hypothèses!$B$75</f>
        <v>11341.742433174262</v>
      </c>
      <c r="BO14" s="130">
        <f ca="1">(BO42-BN42)*Hypothèses!$B$75</f>
        <v>11233.143445167021</v>
      </c>
      <c r="BP14" s="130">
        <f ca="1">(BP42-BO42)*Hypothèses!$B$75</f>
        <v>11125.956933094394</v>
      </c>
      <c r="BQ14" s="131">
        <f ca="1">(BQ42-BP42)*Hypothèses!$B$75</f>
        <v>11020.15850439884</v>
      </c>
      <c r="BR14" s="129">
        <f ca="1">(BR42-BQ42)*Hypothèses!$B$75</f>
        <v>10896.534555663005</v>
      </c>
      <c r="BS14" s="130">
        <f ca="1">(BS42-BR42)*Hypothèses!$B$75</f>
        <v>11460.210826190721</v>
      </c>
      <c r="BT14" s="130">
        <f ca="1">(BT42-BS42)*Hypothèses!$B$75</f>
        <v>11349.504690796426</v>
      </c>
      <c r="BU14" s="130">
        <f ca="1">(BU42-BT42)*Hypothèses!$B$75</f>
        <v>11909.006594794064</v>
      </c>
      <c r="BV14" s="130">
        <f ca="1">(BV42-BU42)*Hypothèses!$B$75</f>
        <v>11794.174223631739</v>
      </c>
      <c r="BW14" s="130">
        <f ca="1">(BW42-BV42)*Hypothèses!$B$75</f>
        <v>11680.747359278228</v>
      </c>
      <c r="BX14" s="130">
        <f ca="1">(BX42-BW42)*Hypothèses!$B$75</f>
        <v>13575.255304328366</v>
      </c>
      <c r="BY14" s="130">
        <f ca="1">(BY42-BX42)*Hypothèses!$B$75</f>
        <v>31833.416995066174</v>
      </c>
      <c r="BZ14" s="130">
        <f ca="1">(BZ42-BY42)*Hypothèses!$B$75</f>
        <v>32187.244540664215</v>
      </c>
      <c r="CA14" s="130">
        <f ca="1">(CA42-BZ42)*Hypothèses!$B$75</f>
        <v>31869.5788720001</v>
      </c>
      <c r="CB14" s="130">
        <f ca="1">(CB42-CA42)*Hypothèses!$B$75</f>
        <v>32893.582246219856</v>
      </c>
      <c r="CC14" s="131">
        <f ca="1">(CC42-CB42)*Hypothèses!$B$75</f>
        <v>32570.150710388687</v>
      </c>
    </row>
    <row r="15" spans="1:82" ht="14">
      <c r="A15" s="181"/>
      <c r="B15" s="62"/>
      <c r="C15" s="40"/>
      <c r="I15" s="10"/>
      <c r="J15" s="40"/>
      <c r="U15" s="10"/>
      <c r="V15" s="43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1"/>
      <c r="AH15" s="40"/>
      <c r="AS15" s="10"/>
      <c r="AT15" s="40"/>
      <c r="BE15" s="10"/>
      <c r="BF15" s="40"/>
      <c r="BQ15" s="10"/>
      <c r="BR15" s="40"/>
      <c r="CC15" s="10"/>
    </row>
    <row r="16" spans="1:82" ht="14">
      <c r="A16" s="195" t="s">
        <v>136</v>
      </c>
      <c r="B16" s="196"/>
      <c r="C16" s="197"/>
      <c r="D16" s="198"/>
      <c r="E16" s="198"/>
      <c r="F16" s="198"/>
      <c r="G16" s="198"/>
      <c r="H16" s="198"/>
      <c r="I16" s="199"/>
      <c r="J16" s="197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9"/>
      <c r="V16" s="197" t="s">
        <v>137</v>
      </c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9"/>
      <c r="AH16" s="197" t="s">
        <v>138</v>
      </c>
      <c r="AI16" s="198"/>
      <c r="AJ16" s="198"/>
      <c r="AK16" s="198"/>
      <c r="AL16" s="198"/>
      <c r="AM16" s="198" t="s">
        <v>139</v>
      </c>
      <c r="AN16" s="198"/>
      <c r="AO16" s="198"/>
      <c r="AP16" s="198"/>
      <c r="AQ16" s="198"/>
      <c r="AR16" s="198"/>
      <c r="AS16" s="199"/>
      <c r="AT16" s="197"/>
      <c r="AU16" s="198"/>
      <c r="AV16" s="198"/>
      <c r="AW16" s="198"/>
      <c r="AX16" s="198"/>
      <c r="AY16" s="198"/>
      <c r="AZ16" s="198"/>
      <c r="BA16" s="198"/>
      <c r="BB16" s="198"/>
      <c r="BC16" s="198"/>
      <c r="BD16" s="198"/>
      <c r="BE16" s="199"/>
      <c r="BF16" s="197"/>
      <c r="BG16" s="198"/>
      <c r="BH16" s="198"/>
      <c r="BI16" s="198"/>
      <c r="BJ16" s="198"/>
      <c r="BK16" s="198"/>
      <c r="BL16" s="198"/>
      <c r="BM16" s="198"/>
      <c r="BN16" s="198"/>
      <c r="BO16" s="198"/>
      <c r="BP16" s="198"/>
      <c r="BQ16" s="199"/>
      <c r="BR16" s="197"/>
      <c r="BS16" s="198"/>
      <c r="BT16" s="198"/>
      <c r="BU16" s="198"/>
      <c r="BV16" s="198"/>
      <c r="BW16" s="198"/>
      <c r="BX16" s="198"/>
      <c r="BY16" s="198"/>
      <c r="BZ16" s="198"/>
      <c r="CA16" s="198"/>
      <c r="CB16" s="198"/>
      <c r="CC16" s="199"/>
    </row>
    <row r="17" spans="1:82" ht="14">
      <c r="A17" s="200"/>
      <c r="B17" s="67"/>
      <c r="C17" s="40"/>
      <c r="I17" s="10"/>
      <c r="J17" s="40"/>
      <c r="U17" s="10"/>
      <c r="V17" s="40"/>
      <c r="AG17" s="10"/>
      <c r="AH17" s="40"/>
      <c r="AS17" s="10"/>
      <c r="AT17" s="40"/>
      <c r="BE17" s="10"/>
      <c r="BF17" s="40"/>
      <c r="BQ17" s="10"/>
      <c r="BR17" s="40"/>
      <c r="CC17" s="10"/>
    </row>
    <row r="18" spans="1:82" ht="14">
      <c r="A18" s="201"/>
      <c r="B18" s="202"/>
      <c r="C18" s="203"/>
      <c r="D18" s="204"/>
      <c r="E18" s="204"/>
      <c r="F18" s="204"/>
      <c r="G18" s="204"/>
      <c r="H18" s="204"/>
      <c r="I18" s="205"/>
      <c r="J18" s="203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5"/>
      <c r="V18" s="203"/>
      <c r="W18" s="204"/>
      <c r="X18" s="204"/>
      <c r="Y18" s="204"/>
      <c r="Z18" s="204"/>
      <c r="AA18" s="204"/>
      <c r="AB18" s="204"/>
      <c r="AC18" s="204"/>
      <c r="AD18" s="204"/>
      <c r="AE18" s="204"/>
      <c r="AF18" s="204"/>
      <c r="AG18" s="205"/>
      <c r="AH18" s="203"/>
      <c r="AI18" s="204"/>
      <c r="AJ18" s="204"/>
      <c r="AK18" s="204"/>
      <c r="AL18" s="204"/>
      <c r="AM18" s="204"/>
      <c r="AN18" s="204"/>
      <c r="AO18" s="204"/>
      <c r="AP18" s="204"/>
      <c r="AQ18" s="204"/>
      <c r="AR18" s="204"/>
      <c r="AS18" s="205"/>
      <c r="AT18" s="203"/>
      <c r="AU18" s="204"/>
      <c r="AV18" s="204"/>
      <c r="AW18" s="204"/>
      <c r="AX18" s="204"/>
      <c r="AY18" s="204"/>
      <c r="AZ18" s="204"/>
      <c r="BA18" s="204"/>
      <c r="BB18" s="204"/>
      <c r="BC18" s="204"/>
      <c r="BD18" s="204"/>
      <c r="BE18" s="205"/>
      <c r="BF18" s="203"/>
      <c r="BG18" s="204"/>
      <c r="BH18" s="204"/>
      <c r="BI18" s="204"/>
      <c r="BJ18" s="204"/>
      <c r="BK18" s="204"/>
      <c r="BL18" s="204"/>
      <c r="BM18" s="204"/>
      <c r="BN18" s="204"/>
      <c r="BO18" s="204"/>
      <c r="BP18" s="204"/>
      <c r="BQ18" s="205"/>
      <c r="BR18" s="203"/>
      <c r="BS18" s="204"/>
      <c r="BT18" s="204"/>
      <c r="BU18" s="204"/>
      <c r="BV18" s="204"/>
      <c r="BW18" s="204"/>
      <c r="BX18" s="204"/>
      <c r="BY18" s="204"/>
      <c r="BZ18" s="204"/>
      <c r="CA18" s="204"/>
      <c r="CB18" s="204"/>
      <c r="CC18" s="205"/>
      <c r="CD18" s="206"/>
    </row>
    <row r="19" spans="1:82" ht="14">
      <c r="A19" s="207" t="s">
        <v>140</v>
      </c>
      <c r="B19" s="67"/>
      <c r="C19" s="208">
        <f t="shared" ref="C19:CC19" si="3">C20+C51</f>
        <v>158.99999999999997</v>
      </c>
      <c r="D19" s="209">
        <f t="shared" si="3"/>
        <v>162.26226700251888</v>
      </c>
      <c r="E19" s="209">
        <f t="shared" si="3"/>
        <v>165.46147959697728</v>
      </c>
      <c r="F19" s="209">
        <f t="shared" si="3"/>
        <v>168.59911018387905</v>
      </c>
      <c r="G19" s="209">
        <f t="shared" si="3"/>
        <v>171.6765902737279</v>
      </c>
      <c r="H19" s="209">
        <f t="shared" si="3"/>
        <v>174.69531179240221</v>
      </c>
      <c r="I19" s="210">
        <f t="shared" si="3"/>
        <v>177.65662834061996</v>
      </c>
      <c r="J19" s="211">
        <f t="shared" si="3"/>
        <v>181.04574883152884</v>
      </c>
      <c r="K19" s="212">
        <f t="shared" ca="1" si="3"/>
        <v>184.92090005786781</v>
      </c>
      <c r="L19" s="212">
        <f t="shared" ca="1" si="3"/>
        <v>185.73748410992556</v>
      </c>
      <c r="M19" s="212">
        <f t="shared" ca="1" si="3"/>
        <v>189.55580942642604</v>
      </c>
      <c r="N19" s="212">
        <f t="shared" ca="1" si="3"/>
        <v>193.31618241041988</v>
      </c>
      <c r="O19" s="212">
        <f t="shared" ca="1" si="3"/>
        <v>197.01966016332875</v>
      </c>
      <c r="P19" s="212">
        <f t="shared" ca="1" si="3"/>
        <v>200.66727684404503</v>
      </c>
      <c r="Q19" s="212">
        <f t="shared" ca="1" si="3"/>
        <v>205.59715592442871</v>
      </c>
      <c r="R19" s="212">
        <f t="shared" ca="1" si="3"/>
        <v>210.44676778883587</v>
      </c>
      <c r="S19" s="212">
        <f t="shared" ca="1" si="3"/>
        <v>215.21774057206119</v>
      </c>
      <c r="T19" s="212">
        <f t="shared" ca="1" si="3"/>
        <v>219.91166235473344</v>
      </c>
      <c r="U19" s="213">
        <f t="shared" ca="1" si="3"/>
        <v>224.53008230862687</v>
      </c>
      <c r="V19" s="208">
        <f t="shared" ca="1" si="3"/>
        <v>229.57548140166034</v>
      </c>
      <c r="W19" s="209">
        <f t="shared" ca="1" si="3"/>
        <v>234.56282130653196</v>
      </c>
      <c r="X19" s="209">
        <f t="shared" ca="1" si="3"/>
        <v>239.49291977864033</v>
      </c>
      <c r="Y19" s="209">
        <f t="shared" ca="1" si="3"/>
        <v>244.36658083750308</v>
      </c>
      <c r="Z19" s="209">
        <f t="shared" ca="1" si="3"/>
        <v>249.18459504241625</v>
      </c>
      <c r="AA19" s="209">
        <f t="shared" ca="1" si="3"/>
        <v>253.94773976149352</v>
      </c>
      <c r="AB19" s="209">
        <f t="shared" ca="1" si="3"/>
        <v>258.65677943426999</v>
      </c>
      <c r="AC19" s="209">
        <f t="shared" ca="1" si="3"/>
        <v>263.98102166348207</v>
      </c>
      <c r="AD19" s="209">
        <f t="shared" ca="1" si="3"/>
        <v>269.24188621008329</v>
      </c>
      <c r="AE19" s="209">
        <f t="shared" ca="1" si="3"/>
        <v>274.44033724483529</v>
      </c>
      <c r="AF19" s="209">
        <f t="shared" ca="1" si="3"/>
        <v>279.57732057258346</v>
      </c>
      <c r="AG19" s="210">
        <f t="shared" ca="1" si="3"/>
        <v>284.65376406112449</v>
      </c>
      <c r="AH19" s="211">
        <f t="shared" ca="1" si="3"/>
        <v>290.19087052148024</v>
      </c>
      <c r="AI19" s="212">
        <f t="shared" ca="1" si="3"/>
        <v>295.68072811809617</v>
      </c>
      <c r="AJ19" s="212">
        <f t="shared" ca="1" si="3"/>
        <v>301.12376180712238</v>
      </c>
      <c r="AK19" s="212">
        <f t="shared" ca="1" si="3"/>
        <v>306.52039400063006</v>
      </c>
      <c r="AL19" s="212">
        <f t="shared" ca="1" si="3"/>
        <v>311.87104452173043</v>
      </c>
      <c r="AM19" s="212">
        <f t="shared" ca="1" si="3"/>
        <v>317.17613056262093</v>
      </c>
      <c r="AN19" s="212">
        <f t="shared" ca="1" si="3"/>
        <v>322.43606664544944</v>
      </c>
      <c r="AO19" s="212">
        <f t="shared" ca="1" si="3"/>
        <v>327.65126458588895</v>
      </c>
      <c r="AP19" s="212">
        <f t="shared" ca="1" si="3"/>
        <v>332.82213345932007</v>
      </c>
      <c r="AQ19" s="212">
        <f t="shared" ca="1" si="3"/>
        <v>337.94907956952107</v>
      </c>
      <c r="AR19" s="212">
        <f t="shared" ca="1" si="3"/>
        <v>343.03250641977013</v>
      </c>
      <c r="AS19" s="213">
        <f t="shared" ca="1" si="3"/>
        <v>348.07281468626542</v>
      </c>
      <c r="AT19" s="208">
        <f t="shared" ca="1" si="3"/>
        <v>353.28731657394803</v>
      </c>
      <c r="AU19" s="209">
        <f t="shared" ca="1" si="3"/>
        <v>358.47008204959263</v>
      </c>
      <c r="AV19" s="209">
        <f t="shared" ca="1" si="3"/>
        <v>363.62110605273739</v>
      </c>
      <c r="AW19" s="209">
        <f t="shared" ca="1" si="3"/>
        <v>368.74039246441373</v>
      </c>
      <c r="AX19" s="209">
        <f t="shared" ca="1" si="3"/>
        <v>373.82795374690602</v>
      </c>
      <c r="AY19" s="209">
        <f t="shared" ca="1" si="3"/>
        <v>378.88381059535521</v>
      </c>
      <c r="AZ19" s="209">
        <f t="shared" ca="1" si="3"/>
        <v>383.90799160083878</v>
      </c>
      <c r="BA19" s="209">
        <f t="shared" ca="1" si="3"/>
        <v>390.57192251315166</v>
      </c>
      <c r="BB19" s="209">
        <f t="shared" ca="1" si="3"/>
        <v>397.1858718745633</v>
      </c>
      <c r="BC19" s="209">
        <f t="shared" ca="1" si="3"/>
        <v>403.75017753093368</v>
      </c>
      <c r="BD19" s="209">
        <f t="shared" ca="1" si="3"/>
        <v>410.26517794377531</v>
      </c>
      <c r="BE19" s="210">
        <f t="shared" ca="1" si="3"/>
        <v>416.7312120587128</v>
      </c>
      <c r="BF19" s="211">
        <f t="shared" ca="1" si="3"/>
        <v>423.52642219286855</v>
      </c>
      <c r="BG19" s="212">
        <f t="shared" ca="1" si="3"/>
        <v>430.27208572320933</v>
      </c>
      <c r="BH19" s="212">
        <f t="shared" ca="1" si="3"/>
        <v>442.96860956781018</v>
      </c>
      <c r="BI19" s="212">
        <f t="shared" ca="1" si="3"/>
        <v>455.55669717348678</v>
      </c>
      <c r="BJ19" s="212">
        <f t="shared" ca="1" si="3"/>
        <v>474.03756274078171</v>
      </c>
      <c r="BK19" s="212">
        <f t="shared" ca="1" si="3"/>
        <v>498.3536023912543</v>
      </c>
      <c r="BL19" s="212">
        <f t="shared" ca="1" si="3"/>
        <v>522.44799430997296</v>
      </c>
      <c r="BM19" s="212">
        <f t="shared" ca="1" si="3"/>
        <v>584.4141647043582</v>
      </c>
      <c r="BN19" s="212">
        <f t="shared" ca="1" si="3"/>
        <v>645.77971374833669</v>
      </c>
      <c r="BO19" s="212">
        <f t="shared" ca="1" si="3"/>
        <v>706.55255265829328</v>
      </c>
      <c r="BP19" s="212">
        <f t="shared" ca="1" si="3"/>
        <v>766.74045466055713</v>
      </c>
      <c r="BQ19" s="213">
        <f t="shared" ca="1" si="3"/>
        <v>826.35105791968954</v>
      </c>
      <c r="BR19" s="208">
        <f t="shared" ca="1" si="3"/>
        <v>885.29999827491793</v>
      </c>
      <c r="BS19" s="209">
        <f t="shared" ca="1" si="3"/>
        <v>946.67576145518751</v>
      </c>
      <c r="BT19" s="209">
        <f t="shared" ca="1" si="3"/>
        <v>1007.454814314633</v>
      </c>
      <c r="BU19" s="209">
        <f t="shared" ca="1" si="3"/>
        <v>1070.5545102463691</v>
      </c>
      <c r="BV19" s="209">
        <f t="shared" ca="1" si="3"/>
        <v>1133.0434738174517</v>
      </c>
      <c r="BW19" s="209">
        <f t="shared" ca="1" si="3"/>
        <v>1194.9291902493783</v>
      </c>
      <c r="BX19" s="209">
        <f t="shared" ca="1" si="3"/>
        <v>1265.1290346062538</v>
      </c>
      <c r="BY19" s="209">
        <f t="shared" ca="1" si="3"/>
        <v>1436.34522461595</v>
      </c>
      <c r="BZ19" s="209">
        <f t="shared" ca="1" si="3"/>
        <v>1608.8997296108096</v>
      </c>
      <c r="CA19" s="209">
        <f t="shared" ca="1" si="3"/>
        <v>1779.7831801663895</v>
      </c>
      <c r="CB19" s="209">
        <f t="shared" ca="1" si="3"/>
        <v>1955.0158383317257</v>
      </c>
      <c r="CC19" s="210">
        <f t="shared" ca="1" si="3"/>
        <v>2128.5564734016216</v>
      </c>
      <c r="CD19" s="214"/>
    </row>
    <row r="20" spans="1:82" ht="15">
      <c r="A20" s="215" t="s">
        <v>132</v>
      </c>
      <c r="B20" s="216"/>
      <c r="C20" s="217">
        <f t="shared" ref="C20:CC20" si="4">C21+C28+C35</f>
        <v>111.29999999999998</v>
      </c>
      <c r="D20" s="218">
        <f t="shared" si="4"/>
        <v>113.58358690176321</v>
      </c>
      <c r="E20" s="218">
        <f t="shared" si="4"/>
        <v>115.8230357178841</v>
      </c>
      <c r="F20" s="218">
        <f t="shared" si="4"/>
        <v>118.01937712871533</v>
      </c>
      <c r="G20" s="218">
        <f t="shared" si="4"/>
        <v>120.17361319160952</v>
      </c>
      <c r="H20" s="218">
        <f t="shared" si="4"/>
        <v>122.28671825468153</v>
      </c>
      <c r="I20" s="219">
        <f t="shared" si="4"/>
        <v>124.35963983843396</v>
      </c>
      <c r="J20" s="220">
        <f t="shared" si="4"/>
        <v>126.73202418207018</v>
      </c>
      <c r="K20" s="220">
        <f t="shared" ca="1" si="4"/>
        <v>129.44463004050746</v>
      </c>
      <c r="L20" s="220">
        <f t="shared" ca="1" si="4"/>
        <v>130.01623887694788</v>
      </c>
      <c r="M20" s="220">
        <f t="shared" ca="1" si="4"/>
        <v>132.68906659849821</v>
      </c>
      <c r="N20" s="220">
        <f t="shared" ca="1" si="4"/>
        <v>135.32132768729392</v>
      </c>
      <c r="O20" s="220">
        <f t="shared" ca="1" si="4"/>
        <v>137.91376211433013</v>
      </c>
      <c r="P20" s="220">
        <f t="shared" ca="1" si="4"/>
        <v>140.46709379083151</v>
      </c>
      <c r="Q20" s="220">
        <f t="shared" ca="1" si="4"/>
        <v>143.91800914710009</v>
      </c>
      <c r="R20" s="220">
        <f t="shared" ca="1" si="4"/>
        <v>147.3127374521851</v>
      </c>
      <c r="S20" s="220">
        <f t="shared" ca="1" si="4"/>
        <v>150.65241840044283</v>
      </c>
      <c r="T20" s="220">
        <f t="shared" ca="1" si="4"/>
        <v>153.93816364831341</v>
      </c>
      <c r="U20" s="220">
        <f t="shared" ca="1" si="4"/>
        <v>157.17105761603881</v>
      </c>
      <c r="V20" s="217">
        <f t="shared" ca="1" si="4"/>
        <v>160.70283698116225</v>
      </c>
      <c r="W20" s="218">
        <f t="shared" ca="1" si="4"/>
        <v>164.19397491457238</v>
      </c>
      <c r="X20" s="218">
        <f t="shared" ca="1" si="4"/>
        <v>167.64504384504824</v>
      </c>
      <c r="Y20" s="218">
        <f t="shared" ca="1" si="4"/>
        <v>171.05660658625217</v>
      </c>
      <c r="Z20" s="218">
        <f t="shared" ca="1" si="4"/>
        <v>174.42921652969139</v>
      </c>
      <c r="AA20" s="218">
        <f t="shared" ca="1" si="4"/>
        <v>177.76341783304548</v>
      </c>
      <c r="AB20" s="218">
        <f t="shared" ca="1" si="4"/>
        <v>181.05974560398903</v>
      </c>
      <c r="AC20" s="218">
        <f t="shared" ca="1" si="4"/>
        <v>184.78671516443745</v>
      </c>
      <c r="AD20" s="218">
        <f t="shared" ca="1" si="4"/>
        <v>188.46932034705833</v>
      </c>
      <c r="AE20" s="218">
        <f t="shared" ca="1" si="4"/>
        <v>192.10823607138474</v>
      </c>
      <c r="AF20" s="218">
        <f t="shared" ca="1" si="4"/>
        <v>195.70412440080844</v>
      </c>
      <c r="AG20" s="219">
        <f t="shared" ca="1" si="4"/>
        <v>199.25763484278716</v>
      </c>
      <c r="AH20" s="220">
        <f t="shared" ca="1" si="4"/>
        <v>203.13360936503616</v>
      </c>
      <c r="AI20" s="220">
        <f t="shared" ca="1" si="4"/>
        <v>206.97650968266734</v>
      </c>
      <c r="AJ20" s="220">
        <f t="shared" ca="1" si="4"/>
        <v>210.78663326498565</v>
      </c>
      <c r="AK20" s="220">
        <f t="shared" ca="1" si="4"/>
        <v>214.56427580044107</v>
      </c>
      <c r="AL20" s="220">
        <f t="shared" ca="1" si="4"/>
        <v>218.3097311652113</v>
      </c>
      <c r="AM20" s="220">
        <f t="shared" ca="1" si="4"/>
        <v>222.02329139383465</v>
      </c>
      <c r="AN20" s="220">
        <f t="shared" ca="1" si="4"/>
        <v>225.7052466518146</v>
      </c>
      <c r="AO20" s="220">
        <f t="shared" ca="1" si="4"/>
        <v>229.3558852101223</v>
      </c>
      <c r="AP20" s="220">
        <f t="shared" ca="1" si="4"/>
        <v>232.97549342152405</v>
      </c>
      <c r="AQ20" s="220">
        <f t="shared" ca="1" si="4"/>
        <v>236.56435569866474</v>
      </c>
      <c r="AR20" s="220">
        <f t="shared" ca="1" si="4"/>
        <v>240.12275449383907</v>
      </c>
      <c r="AS20" s="220">
        <f t="shared" ca="1" si="4"/>
        <v>243.65097028038579</v>
      </c>
      <c r="AT20" s="217">
        <f t="shared" ca="1" si="4"/>
        <v>247.30112160176361</v>
      </c>
      <c r="AU20" s="218">
        <f t="shared" ca="1" si="4"/>
        <v>250.92905743471485</v>
      </c>
      <c r="AV20" s="218">
        <f t="shared" ca="1" si="4"/>
        <v>254.53477423691618</v>
      </c>
      <c r="AW20" s="218">
        <f t="shared" ca="1" si="4"/>
        <v>258.11827472508963</v>
      </c>
      <c r="AX20" s="218">
        <f t="shared" ca="1" si="4"/>
        <v>261.67956762283421</v>
      </c>
      <c r="AY20" s="218">
        <f t="shared" ca="1" si="4"/>
        <v>265.21866741674864</v>
      </c>
      <c r="AZ20" s="218">
        <f t="shared" ca="1" si="4"/>
        <v>268.73559412058717</v>
      </c>
      <c r="BA20" s="218">
        <f t="shared" ca="1" si="4"/>
        <v>273.40034575920617</v>
      </c>
      <c r="BB20" s="218">
        <f t="shared" ca="1" si="4"/>
        <v>278.03011031219432</v>
      </c>
      <c r="BC20" s="218">
        <f t="shared" ca="1" si="4"/>
        <v>282.62512427165359</v>
      </c>
      <c r="BD20" s="218">
        <f t="shared" ca="1" si="4"/>
        <v>287.18562456064274</v>
      </c>
      <c r="BE20" s="219">
        <f t="shared" ca="1" si="4"/>
        <v>291.71184844109899</v>
      </c>
      <c r="BF20" s="221">
        <f t="shared" ca="1" si="4"/>
        <v>296.468495535008</v>
      </c>
      <c r="BG20" s="221">
        <f t="shared" ca="1" si="4"/>
        <v>301.19046000624655</v>
      </c>
      <c r="BH20" s="221">
        <f t="shared" ca="1" si="4"/>
        <v>310.07802669746712</v>
      </c>
      <c r="BI20" s="221">
        <f t="shared" ca="1" si="4"/>
        <v>318.88968802144075</v>
      </c>
      <c r="BJ20" s="221">
        <f t="shared" ca="1" si="4"/>
        <v>331.82629391854721</v>
      </c>
      <c r="BK20" s="221">
        <f t="shared" ca="1" si="4"/>
        <v>348.84752167387802</v>
      </c>
      <c r="BL20" s="221">
        <f t="shared" ca="1" si="4"/>
        <v>365.71359601698106</v>
      </c>
      <c r="BM20" s="221">
        <f t="shared" ca="1" si="4"/>
        <v>401.66894551975093</v>
      </c>
      <c r="BN20" s="221">
        <f t="shared" ca="1" si="4"/>
        <v>437.27881187194646</v>
      </c>
      <c r="BO20" s="221">
        <f t="shared" ca="1" si="4"/>
        <v>472.54770808911132</v>
      </c>
      <c r="BP20" s="221">
        <f t="shared" ca="1" si="4"/>
        <v>507.48006894655055</v>
      </c>
      <c r="BQ20" s="221">
        <f t="shared" ca="1" si="4"/>
        <v>542.08025263383104</v>
      </c>
      <c r="BR20" s="222">
        <f t="shared" ca="1" si="4"/>
        <v>576.29229205506499</v>
      </c>
      <c r="BS20" s="220">
        <f t="shared" ca="1" si="4"/>
        <v>612.27411568517709</v>
      </c>
      <c r="BT20" s="220">
        <f t="shared" ca="1" si="4"/>
        <v>647.90835333288965</v>
      </c>
      <c r="BU20" s="220">
        <f t="shared" ca="1" si="4"/>
        <v>685.29926885814564</v>
      </c>
      <c r="BV20" s="220">
        <f t="shared" ca="1" si="4"/>
        <v>722.32964318665972</v>
      </c>
      <c r="BW20" s="220">
        <f t="shared" ca="1" si="4"/>
        <v>759.00388921265119</v>
      </c>
      <c r="BX20" s="220">
        <f t="shared" ca="1" si="4"/>
        <v>801.62635484633518</v>
      </c>
      <c r="BY20" s="220">
        <f t="shared" ca="1" si="4"/>
        <v>901.57428889677828</v>
      </c>
      <c r="BZ20" s="220">
        <f t="shared" ca="1" si="4"/>
        <v>1002.6331414577334</v>
      </c>
      <c r="CA20" s="220">
        <f t="shared" ca="1" si="4"/>
        <v>1102.6946135833225</v>
      </c>
      <c r="CB20" s="220">
        <f t="shared" ca="1" si="4"/>
        <v>1205.9711669466503</v>
      </c>
      <c r="CC20" s="223">
        <f t="shared" ca="1" si="4"/>
        <v>1308.2322366809942</v>
      </c>
      <c r="CD20" s="224"/>
    </row>
    <row r="21" spans="1:82" ht="15">
      <c r="A21" s="225" t="s">
        <v>141</v>
      </c>
      <c r="B21" s="226"/>
      <c r="C21" s="227">
        <f t="shared" ref="C21:CC21" si="5">C22+C23+C24</f>
        <v>35</v>
      </c>
      <c r="D21" s="228">
        <f t="shared" si="5"/>
        <v>35.697549118387904</v>
      </c>
      <c r="E21" s="228">
        <f t="shared" si="5"/>
        <v>36.388122745591929</v>
      </c>
      <c r="F21" s="228">
        <f t="shared" si="5"/>
        <v>37.071790636523914</v>
      </c>
      <c r="G21" s="228">
        <f t="shared" si="5"/>
        <v>37.748621848546584</v>
      </c>
      <c r="H21" s="228">
        <f t="shared" si="5"/>
        <v>38.418684748449024</v>
      </c>
      <c r="I21" s="229">
        <f t="shared" si="5"/>
        <v>39.082047019352437</v>
      </c>
      <c r="J21" s="228">
        <f t="shared" si="5"/>
        <v>39.959787368638423</v>
      </c>
      <c r="K21" s="228">
        <f t="shared" ca="1" si="5"/>
        <v>40.924103612090661</v>
      </c>
      <c r="L21" s="228">
        <f t="shared" ca="1" si="5"/>
        <v>41.355705325595281</v>
      </c>
      <c r="M21" s="228">
        <f t="shared" ca="1" si="5"/>
        <v>42.308854225391862</v>
      </c>
      <c r="N21" s="228">
        <f t="shared" ca="1" si="5"/>
        <v>43.254377933990071</v>
      </c>
      <c r="O21" s="228">
        <f t="shared" ca="1" si="5"/>
        <v>44.192337452919496</v>
      </c>
      <c r="P21" s="228">
        <f t="shared" ca="1" si="5"/>
        <v>45.122793295697484</v>
      </c>
      <c r="Q21" s="228">
        <f t="shared" ca="1" si="5"/>
        <v>46.279800034134588</v>
      </c>
      <c r="R21" s="228">
        <f t="shared" ca="1" si="5"/>
        <v>47.4275507186642</v>
      </c>
      <c r="S21" s="228">
        <f t="shared" ca="1" si="5"/>
        <v>48.566119397717571</v>
      </c>
      <c r="T21" s="228">
        <f t="shared" ca="1" si="5"/>
        <v>49.695579527338516</v>
      </c>
      <c r="U21" s="228">
        <f t="shared" ca="1" si="5"/>
        <v>50.816003975922492</v>
      </c>
      <c r="V21" s="227">
        <f t="shared" ca="1" si="5"/>
        <v>52.332694853830183</v>
      </c>
      <c r="W21" s="228">
        <f t="shared" ca="1" si="5"/>
        <v>53.840285586470429</v>
      </c>
      <c r="X21" s="228">
        <f t="shared" ca="1" si="5"/>
        <v>55.338830774714829</v>
      </c>
      <c r="Y21" s="228">
        <f t="shared" ca="1" si="5"/>
        <v>56.828384691829768</v>
      </c>
      <c r="Z21" s="228">
        <f t="shared" ca="1" si="5"/>
        <v>58.309001285442015</v>
      </c>
      <c r="AA21" s="228">
        <f t="shared" ca="1" si="5"/>
        <v>59.78073417949259</v>
      </c>
      <c r="AB21" s="228">
        <f t="shared" ca="1" si="5"/>
        <v>61.243636676178859</v>
      </c>
      <c r="AC21" s="228">
        <f t="shared" ca="1" si="5"/>
        <v>62.838158483325813</v>
      </c>
      <c r="AD21" s="228">
        <f t="shared" ca="1" si="5"/>
        <v>64.423113159629892</v>
      </c>
      <c r="AE21" s="228">
        <f t="shared" ca="1" si="5"/>
        <v>65.99855810787615</v>
      </c>
      <c r="AF21" s="228">
        <f t="shared" ca="1" si="5"/>
        <v>67.564550386432927</v>
      </c>
      <c r="AG21" s="229">
        <f t="shared" ca="1" si="5"/>
        <v>69.12114671131836</v>
      </c>
      <c r="AH21" s="228">
        <f t="shared" ca="1" si="5"/>
        <v>71.064521876166467</v>
      </c>
      <c r="AI21" s="228">
        <f t="shared" ca="1" si="5"/>
        <v>72.998180165190334</v>
      </c>
      <c r="AJ21" s="228">
        <f t="shared" ca="1" si="5"/>
        <v>74.922170162769078</v>
      </c>
      <c r="AK21" s="228">
        <f t="shared" ca="1" si="5"/>
        <v>76.836540210359928</v>
      </c>
      <c r="AL21" s="228">
        <f t="shared" ca="1" si="5"/>
        <v>78.741338407712831</v>
      </c>
      <c r="AM21" s="228">
        <f t="shared" ca="1" si="5"/>
        <v>80.63661261407897</v>
      </c>
      <c r="AN21" s="228">
        <f t="shared" ca="1" si="5"/>
        <v>82.522410449413272</v>
      </c>
      <c r="AO21" s="228">
        <f t="shared" ca="1" si="5"/>
        <v>84.398779295570904</v>
      </c>
      <c r="AP21" s="228">
        <f t="shared" ca="1" si="5"/>
        <v>86.265766297497748</v>
      </c>
      <c r="AQ21" s="228">
        <f t="shared" ca="1" si="5"/>
        <v>88.12341836441496</v>
      </c>
      <c r="AR21" s="228">
        <f t="shared" ca="1" si="5"/>
        <v>89.971782170997585</v>
      </c>
      <c r="AS21" s="228">
        <f t="shared" ca="1" si="5"/>
        <v>91.810904158547302</v>
      </c>
      <c r="AT21" s="227">
        <f t="shared" ca="1" si="5"/>
        <v>93.967827807359939</v>
      </c>
      <c r="AU21" s="228">
        <f t="shared" ca="1" si="5"/>
        <v>96.113966837928515</v>
      </c>
      <c r="AV21" s="228">
        <f t="shared" ca="1" si="5"/>
        <v>98.249375173344248</v>
      </c>
      <c r="AW21" s="228">
        <f t="shared" ca="1" si="5"/>
        <v>100.3741064670829</v>
      </c>
      <c r="AX21" s="228">
        <f t="shared" ca="1" si="5"/>
        <v>102.48821410435285</v>
      </c>
      <c r="AY21" s="228">
        <f t="shared" ca="1" si="5"/>
        <v>104.59175120343646</v>
      </c>
      <c r="AZ21" s="228">
        <f t="shared" ca="1" si="5"/>
        <v>106.68477061702464</v>
      </c>
      <c r="BA21" s="228">
        <f t="shared" ca="1" si="5"/>
        <v>109.23531401834758</v>
      </c>
      <c r="BB21" s="228">
        <f t="shared" ca="1" si="5"/>
        <v>111.7731047026639</v>
      </c>
      <c r="BC21" s="228">
        <f t="shared" ca="1" si="5"/>
        <v>114.29820643355865</v>
      </c>
      <c r="BD21" s="228">
        <f t="shared" ca="1" si="5"/>
        <v>116.81068265579891</v>
      </c>
      <c r="BE21" s="229">
        <f t="shared" ca="1" si="5"/>
        <v>119.31059649692799</v>
      </c>
      <c r="BF21" s="228">
        <f t="shared" ca="1" si="5"/>
        <v>122.18350667565241</v>
      </c>
      <c r="BG21" s="228">
        <f t="shared" ca="1" si="5"/>
        <v>125.04205230348322</v>
      </c>
      <c r="BH21" s="228">
        <f t="shared" ca="1" si="5"/>
        <v>129.67130520317488</v>
      </c>
      <c r="BI21" s="228">
        <f t="shared" ca="1" si="5"/>
        <v>134.27741183836807</v>
      </c>
      <c r="BJ21" s="228">
        <f t="shared" ca="1" si="5"/>
        <v>140.75048794038528</v>
      </c>
      <c r="BK21" s="228">
        <f t="shared" ca="1" si="5"/>
        <v>149.08119866189242</v>
      </c>
      <c r="BL21" s="228">
        <f t="shared" ca="1" si="5"/>
        <v>157.37025582979203</v>
      </c>
      <c r="BM21" s="228">
        <f t="shared" ca="1" si="5"/>
        <v>173.34937432394278</v>
      </c>
      <c r="BN21" s="228">
        <f t="shared" ca="1" si="5"/>
        <v>189.2485972256228</v>
      </c>
      <c r="BO21" s="228">
        <f t="shared" ca="1" si="5"/>
        <v>205.06832401279445</v>
      </c>
      <c r="BP21" s="228">
        <f t="shared" ca="1" si="5"/>
        <v>220.80895216603022</v>
      </c>
      <c r="BQ21" s="228">
        <f t="shared" ca="1" si="5"/>
        <v>236.47087717849982</v>
      </c>
      <c r="BR21" s="230">
        <f t="shared" ca="1" si="5"/>
        <v>252.05449256590708</v>
      </c>
      <c r="BS21" s="228">
        <f t="shared" ca="1" si="5"/>
        <v>268.40018987637728</v>
      </c>
      <c r="BT21" s="228">
        <f t="shared" ca="1" si="5"/>
        <v>284.66415870029516</v>
      </c>
      <c r="BU21" s="228">
        <f t="shared" ca="1" si="5"/>
        <v>301.68680768009341</v>
      </c>
      <c r="BV21" s="228">
        <f t="shared" ca="1" si="5"/>
        <v>318.62434341499272</v>
      </c>
      <c r="BW21" s="228">
        <f t="shared" ca="1" si="5"/>
        <v>335.47719147121751</v>
      </c>
      <c r="BX21" s="228">
        <f t="shared" ca="1" si="5"/>
        <v>354.76577528716109</v>
      </c>
      <c r="BY21" s="228">
        <f t="shared" ca="1" si="5"/>
        <v>397.98878426873443</v>
      </c>
      <c r="BZ21" s="228">
        <f t="shared" ca="1" si="5"/>
        <v>441.94067820539988</v>
      </c>
      <c r="CA21" s="228">
        <f t="shared" ca="1" si="5"/>
        <v>485.67281267238195</v>
      </c>
      <c r="CB21" s="228">
        <f t="shared" ca="1" si="5"/>
        <v>530.86628646702923</v>
      </c>
      <c r="CC21" s="231">
        <f t="shared" ca="1" si="5"/>
        <v>575.83379289270317</v>
      </c>
      <c r="CD21" s="232"/>
    </row>
    <row r="22" spans="1:82" ht="14" outlineLevel="1">
      <c r="A22" s="233" t="s">
        <v>142</v>
      </c>
      <c r="B22" s="61"/>
      <c r="C22" s="234">
        <v>35</v>
      </c>
      <c r="D22" s="235">
        <f>C22*(1-'Annexe G  Evolution Portefeuill'!$C20)+C$86*'Annexe B  Plan commercial'!$B5*Hypothèses!$B$54</f>
        <v>35.697549118387904</v>
      </c>
      <c r="E22" s="235">
        <f>D22*(1-'Annexe G  Evolution Portefeuill'!$C20)+D$86*'Annexe B  Plan commercial'!$B5*Hypothèses!$B$54</f>
        <v>36.388122745591929</v>
      </c>
      <c r="F22" s="235">
        <f>E22*(1-'Annexe G  Evolution Portefeuill'!$C20)+E$86*'Annexe B  Plan commercial'!$B5*Hypothèses!$B$54</f>
        <v>37.071790636523914</v>
      </c>
      <c r="G22" s="235">
        <f>F22*(1-'Annexe G  Evolution Portefeuill'!$C20)+F$86*'Annexe B  Plan commercial'!$B5*Hypothèses!$B$54</f>
        <v>37.748621848546584</v>
      </c>
      <c r="H22" s="235">
        <f>G22*(1-'Annexe G  Evolution Portefeuill'!$C20)+G$86*'Annexe B  Plan commercial'!$B5*Hypothèses!$B$54</f>
        <v>38.418684748449024</v>
      </c>
      <c r="I22" s="236">
        <f>H22*(1-'Annexe G  Evolution Portefeuill'!$C20)+H$86*'Annexe B  Plan commercial'!$B5*Hypothèses!$B$54</f>
        <v>39.082047019352437</v>
      </c>
      <c r="J22" s="235">
        <f>I22*(1-'Annexe G  Evolution Portefeuill'!$D20)+I$86*'Annexe B  Plan commercial'!$C5*Hypothèses!$C$54</f>
        <v>39.959787368638423</v>
      </c>
      <c r="K22" s="235">
        <f ca="1">J22*(1-'Annexe G  Evolution Portefeuill'!$D20)+J$86*'Annexe B  Plan commercial'!$C5*Hypothèses!$C$54</f>
        <v>40.924103612090661</v>
      </c>
      <c r="L22" s="235">
        <f ca="1">K22*(1-'Annexe G  Evolution Portefeuill'!$D20)+K$86*'Annexe B  Plan commercial'!$C5*Hypothèses!$C$54</f>
        <v>41.355705325595281</v>
      </c>
      <c r="M22" s="235">
        <f ca="1">L22*(1-'Annexe G  Evolution Portefeuill'!$D20)+L$86*'Annexe B  Plan commercial'!$C5*Hypothèses!$C$54</f>
        <v>42.308854225391862</v>
      </c>
      <c r="N22" s="235">
        <f ca="1">M22*(1-'Annexe G  Evolution Portefeuill'!$D20)+M$86*'Annexe B  Plan commercial'!$C5*Hypothèses!$C$54</f>
        <v>43.254377933990071</v>
      </c>
      <c r="O22" s="235">
        <f ca="1">N22*(1-'Annexe G  Evolution Portefeuill'!$D20)+N$86*'Annexe B  Plan commercial'!$C5*Hypothèses!$C$54</f>
        <v>44.192337452919496</v>
      </c>
      <c r="P22" s="235">
        <f ca="1">O22*(1-'Annexe G  Evolution Portefeuill'!$D20)+O$86*'Annexe B  Plan commercial'!$C5*Hypothèses!$C$54</f>
        <v>45.122793295697484</v>
      </c>
      <c r="Q22" s="235">
        <f ca="1">P22*(1-'Annexe G  Evolution Portefeuill'!$D20)+P$86*'Annexe B  Plan commercial'!$C5*Hypothèses!$C$54</f>
        <v>46.279800034134588</v>
      </c>
      <c r="R22" s="235">
        <f ca="1">Q22*(1-'Annexe G  Evolution Portefeuill'!$D20)+Q$86*'Annexe B  Plan commercial'!$C5*Hypothèses!$C$54</f>
        <v>47.4275507186642</v>
      </c>
      <c r="S22" s="235">
        <f ca="1">R22*(1-'Annexe G  Evolution Portefeuill'!$D20)+R$86*'Annexe B  Plan commercial'!$C5*Hypothèses!$C$54</f>
        <v>48.566119397717571</v>
      </c>
      <c r="T22" s="235">
        <f ca="1">S22*(1-'Annexe G  Evolution Portefeuill'!$D20)+S$86*'Annexe B  Plan commercial'!$C5*Hypothèses!$C$54</f>
        <v>49.695579527338516</v>
      </c>
      <c r="U22" s="235">
        <f ca="1">T22*(1-'Annexe G  Evolution Portefeuill'!$D20)+T$86*'Annexe B  Plan commercial'!$C5*Hypothèses!$C$54</f>
        <v>50.816003975922492</v>
      </c>
      <c r="V22" s="237">
        <f ca="1">U22*(1-'Annexe G  Evolution Portefeuill'!$E20)+U$86*'Annexe B  Plan commercial'!$D5*Hypothèses!$D$54</f>
        <v>52.332694853830183</v>
      </c>
      <c r="W22" s="235">
        <f ca="1">V22*(1-'Annexe G  Evolution Portefeuill'!$E20)+V$86*'Annexe B  Plan commercial'!$D5*Hypothèses!$D$54</f>
        <v>53.840285586470429</v>
      </c>
      <c r="X22" s="235">
        <f ca="1">W22*(1-'Annexe G  Evolution Portefeuill'!$E20)+W$86*'Annexe B  Plan commercial'!$D5*Hypothèses!$D$54</f>
        <v>55.338830774714829</v>
      </c>
      <c r="Y22" s="235">
        <f ca="1">X22*(1-'Annexe G  Evolution Portefeuill'!$E20)+X$86*'Annexe B  Plan commercial'!$D5*Hypothèses!$D$54</f>
        <v>56.828384691829768</v>
      </c>
      <c r="Z22" s="235">
        <f ca="1">Y22*(1-'Annexe G  Evolution Portefeuill'!$E20)+Y$86*'Annexe B  Plan commercial'!$D5*Hypothèses!$D$54</f>
        <v>58.309001285442015</v>
      </c>
      <c r="AA22" s="235">
        <f ca="1">Z22*(1-'Annexe G  Evolution Portefeuill'!$E20)+Z$86*'Annexe B  Plan commercial'!$D5*Hypothèses!$D$54</f>
        <v>59.78073417949259</v>
      </c>
      <c r="AB22" s="235">
        <f ca="1">AA22*(1-'Annexe G  Evolution Portefeuill'!$E20)+AA$86*'Annexe B  Plan commercial'!$D5*Hypothèses!$D$54</f>
        <v>61.243636676178859</v>
      </c>
      <c r="AC22" s="235">
        <f ca="1">AB22*(1-'Annexe G  Evolution Portefeuill'!$E20)+AB$86*'Annexe B  Plan commercial'!$D5*Hypothèses!$D$54</f>
        <v>62.838158483325813</v>
      </c>
      <c r="AD22" s="235">
        <f ca="1">AC22*(1-'Annexe G  Evolution Portefeuill'!$E20)+AC$86*'Annexe B  Plan commercial'!$D5*Hypothèses!$D$54</f>
        <v>64.423113159629892</v>
      </c>
      <c r="AE22" s="235">
        <f ca="1">AD22*(1-'Annexe G  Evolution Portefeuill'!$E20)+AD$86*'Annexe B  Plan commercial'!$D5*Hypothèses!$D$54</f>
        <v>65.99855810787615</v>
      </c>
      <c r="AF22" s="235">
        <f ca="1">AE22*(1-'Annexe G  Evolution Portefeuill'!$E20)+AE$86*'Annexe B  Plan commercial'!$D5*Hypothèses!$D$54</f>
        <v>67.564550386432927</v>
      </c>
      <c r="AG22" s="236">
        <f ca="1">AF22*(1-'Annexe G  Evolution Portefeuill'!$E20)+AF$86*'Annexe B  Plan commercial'!$D5*Hypothèses!$D$54</f>
        <v>69.12114671131836</v>
      </c>
      <c r="AH22" s="235">
        <f ca="1">AG22*(1-'Annexe G  Evolution Portefeuill'!$F20)+AG$86*'Annexe B  Plan commercial'!$E5*Hypothèses!$E$54</f>
        <v>71.064521876166467</v>
      </c>
      <c r="AI22" s="235">
        <f ca="1">AH22*(1-'Annexe G  Evolution Portefeuill'!$F20)+AH$86*'Annexe B  Plan commercial'!$E5*Hypothèses!$E$54</f>
        <v>72.998180165190334</v>
      </c>
      <c r="AJ22" s="235">
        <f ca="1">AI22*(1-'Annexe G  Evolution Portefeuill'!$F20)+AI$86*'Annexe B  Plan commercial'!$E5*Hypothèses!$E$54</f>
        <v>74.922170162769078</v>
      </c>
      <c r="AK22" s="235">
        <f ca="1">AJ22*(1-'Annexe G  Evolution Portefeuill'!$F20)+AJ$86*'Annexe B  Plan commercial'!$E5*Hypothèses!$E$54</f>
        <v>76.836540210359928</v>
      </c>
      <c r="AL22" s="235">
        <f ca="1">AK22*(1-'Annexe G  Evolution Portefeuill'!$F20)+AK$86*'Annexe B  Plan commercial'!$E5*Hypothèses!$E$54</f>
        <v>78.741338407712831</v>
      </c>
      <c r="AM22" s="235">
        <f ca="1">AL22*(1-'Annexe G  Evolution Portefeuill'!$F20)+AL$86*'Annexe B  Plan commercial'!$E5*Hypothèses!$E$54</f>
        <v>80.63661261407897</v>
      </c>
      <c r="AN22" s="235">
        <f ca="1">AM22*(1-'Annexe G  Evolution Portefeuill'!$F20)+AM$86*'Annexe B  Plan commercial'!$E5*Hypothèses!$E$54</f>
        <v>82.522410449413272</v>
      </c>
      <c r="AO22" s="235">
        <f ca="1">AN22*(1-'Annexe G  Evolution Portefeuill'!$F20)+AN$86*'Annexe B  Plan commercial'!$E5*Hypothèses!$E$54</f>
        <v>84.398779295570904</v>
      </c>
      <c r="AP22" s="235">
        <f ca="1">AO22*(1-'Annexe G  Evolution Portefeuill'!$F20)+AO$86*'Annexe B  Plan commercial'!$E5*Hypothèses!$E$54</f>
        <v>86.265766297497748</v>
      </c>
      <c r="AQ22" s="235">
        <f ca="1">AP22*(1-'Annexe G  Evolution Portefeuill'!$F20)+AP$86*'Annexe B  Plan commercial'!$E5*Hypothèses!$E$54</f>
        <v>88.12341836441496</v>
      </c>
      <c r="AR22" s="235">
        <f ca="1">AQ22*(1-'Annexe G  Evolution Portefeuill'!$F20)+AQ$86*'Annexe B  Plan commercial'!$E5*Hypothèses!$E$54</f>
        <v>89.971782170997585</v>
      </c>
      <c r="AS22" s="235">
        <f ca="1">AR22*(1-'Annexe G  Evolution Portefeuill'!$F20)+AR$86*'Annexe B  Plan commercial'!$E5*Hypothèses!$E$54</f>
        <v>91.810904158547302</v>
      </c>
      <c r="AT22" s="237">
        <f ca="1">AS22*(1-'Annexe G  Evolution Portefeuill'!$G20)+AS$86*'Annexe B  Plan commercial'!$F5*Hypothèses!$F$54</f>
        <v>93.967827807359939</v>
      </c>
      <c r="AU22" s="235">
        <f ca="1">AT22*(1-'Annexe G  Evolution Portefeuill'!$G20)+AT$86*'Annexe B  Plan commercial'!$F5*Hypothèses!$F$54</f>
        <v>96.113966837928515</v>
      </c>
      <c r="AV22" s="235">
        <f ca="1">AU22*(1-'Annexe G  Evolution Portefeuill'!$G20)+AU$86*'Annexe B  Plan commercial'!$F5*Hypothèses!$F$54</f>
        <v>98.249375173344248</v>
      </c>
      <c r="AW22" s="235">
        <f ca="1">AV22*(1-'Annexe G  Evolution Portefeuill'!$G20)+AV$86*'Annexe B  Plan commercial'!$F5*Hypothèses!$F$54</f>
        <v>100.3741064670829</v>
      </c>
      <c r="AX22" s="235">
        <f ca="1">AW22*(1-'Annexe G  Evolution Portefeuill'!$G20)+AW$86*'Annexe B  Plan commercial'!$F5*Hypothèses!$F$54</f>
        <v>102.48821410435285</v>
      </c>
      <c r="AY22" s="235">
        <f ca="1">AX22*(1-'Annexe G  Evolution Portefeuill'!$G20)+AX$86*'Annexe B  Plan commercial'!$F5*Hypothèses!$F$54</f>
        <v>104.59175120343646</v>
      </c>
      <c r="AZ22" s="235">
        <f ca="1">AY22*(1-'Annexe G  Evolution Portefeuill'!$G20)+AY$86*'Annexe B  Plan commercial'!$F5*Hypothèses!$F$54</f>
        <v>106.68477061702464</v>
      </c>
      <c r="BA22" s="235">
        <f ca="1">AZ22*(1-'Annexe G  Evolution Portefeuill'!$G20)+AZ$86*'Annexe B  Plan commercial'!$F5*Hypothèses!$F$54</f>
        <v>109.23531401834758</v>
      </c>
      <c r="BB22" s="235">
        <f ca="1">BA22*(1-'Annexe G  Evolution Portefeuill'!$G20)+BA$86*'Annexe B  Plan commercial'!$F5*Hypothèses!$F$54</f>
        <v>111.7731047026639</v>
      </c>
      <c r="BC22" s="235">
        <f ca="1">BB22*(1-'Annexe G  Evolution Portefeuill'!$G20)+BB$86*'Annexe B  Plan commercial'!$F5*Hypothèses!$F$54</f>
        <v>114.29820643355865</v>
      </c>
      <c r="BD22" s="235">
        <f ca="1">BC22*(1-'Annexe G  Evolution Portefeuill'!$G20)+BC$86*'Annexe B  Plan commercial'!$F5*Hypothèses!$F$54</f>
        <v>116.81068265579891</v>
      </c>
      <c r="BE22" s="236">
        <f ca="1">BD22*(1-'Annexe G  Evolution Portefeuill'!$G20)+BD$86*'Annexe B  Plan commercial'!$F5*Hypothèses!$F$54</f>
        <v>119.31059649692799</v>
      </c>
      <c r="BF22" s="235">
        <f ca="1">BE22*(1-'Annexe G  Evolution Portefeuill'!$H20)+BE$86*'Annexe B  Plan commercial'!$G5*Hypothèses!$G$54</f>
        <v>122.18350667565241</v>
      </c>
      <c r="BG22" s="235">
        <f ca="1">BF22*(1-'Annexe G  Evolution Portefeuill'!$H20)+BF$86*'Annexe B  Plan commercial'!$G5*Hypothèses!$G$54</f>
        <v>125.04205230348322</v>
      </c>
      <c r="BH22" s="235">
        <f ca="1">BG22*(1-'Annexe G  Evolution Portefeuill'!$H20)+BG$86*'Annexe B  Plan commercial'!$G5*Hypothèses!$G$54</f>
        <v>128.83130520317488</v>
      </c>
      <c r="BI22" s="235">
        <f ca="1">BH22*(1-'Annexe G  Evolution Portefeuill'!$H20)+BH$86*'Annexe B  Plan commercial'!$G5*Hypothèses!$G$54</f>
        <v>132.60161183836806</v>
      </c>
      <c r="BJ22" s="235">
        <f ca="1">BI22*(1-'Annexe G  Evolution Portefeuill'!$H20)+BI$86*'Annexe B  Plan commercial'!$G5*Hypothèses!$G$54</f>
        <v>138.24306694038529</v>
      </c>
      <c r="BK22" s="235">
        <f ca="1">BJ22*(1-'Annexe G  Evolution Portefeuill'!$H20)+BJ$86*'Annexe B  Plan commercial'!$G5*Hypothèses!$G$54</f>
        <v>145.74631476689243</v>
      </c>
      <c r="BL22" s="235">
        <f ca="1">BK22*(1-'Annexe G  Evolution Portefeuill'!$H20)+BK$86*'Annexe B  Plan commercial'!$G5*Hypothèses!$G$54</f>
        <v>153.21204635426702</v>
      </c>
      <c r="BM22" s="235">
        <f ca="1">BL22*(1-'Annexe G  Evolution Portefeuill'!$H20)+BL$86*'Annexe B  Plan commercial'!$G5*Hypothèses!$G$54</f>
        <v>160.95098612249566</v>
      </c>
      <c r="BN22" s="235">
        <f ca="1">BM22*(1-'Annexe G  Evolution Portefeuill'!$H20)+BM$86*'Annexe B  Plan commercial'!$G5*Hypothèses!$G$54</f>
        <v>168.65123119188317</v>
      </c>
      <c r="BO22" s="235">
        <f ca="1">BN22*(1-'Annexe G  Evolution Portefeuill'!$H20)+BN$86*'Annexe B  Plan commercial'!$G5*Hypothèses!$G$54</f>
        <v>176.31297503592376</v>
      </c>
      <c r="BP22" s="235">
        <f ca="1">BO22*(1-'Annexe G  Evolution Portefeuill'!$H20)+BO$86*'Annexe B  Plan commercial'!$G5*Hypothèses!$G$54</f>
        <v>183.93641016074415</v>
      </c>
      <c r="BQ22" s="235">
        <f ca="1">BP22*(1-'Annexe G  Evolution Portefeuill'!$H20)+BP$86*'Annexe B  Plan commercial'!$G5*Hypothèses!$G$54</f>
        <v>191.52172810994043</v>
      </c>
      <c r="BR22" s="238">
        <f ca="1">BQ22*(1-'Annexe G  Evolution Portefeuill'!$I20)+BQ$86*'Annexe B  Plan commercial'!$H5*Hypothèses!$H$54</f>
        <v>199.06911946939073</v>
      </c>
      <c r="BS22" s="235">
        <f ca="1">BR22*(1-'Annexe G  Evolution Portefeuill'!$I20)+BR$86*'Annexe B  Plan commercial'!$H5*Hypothèses!$H$54</f>
        <v>206.57877387204377</v>
      </c>
      <c r="BT22" s="235">
        <f ca="1">BS22*(1-'Annexe G  Evolution Portefeuill'!$I20)+BS$86*'Annexe B  Plan commercial'!$H5*Hypothèses!$H$54</f>
        <v>214.05088000268356</v>
      </c>
      <c r="BU22" s="235">
        <f ca="1">BT22*(1-'Annexe G  Evolution Portefeuill'!$I20)+BT$86*'Annexe B  Plan commercial'!$H5*Hypothèses!$H$54</f>
        <v>221.48562560267013</v>
      </c>
      <c r="BV22" s="235">
        <f ca="1">BU22*(1-'Annexe G  Evolution Portefeuill'!$I20)+BU$86*'Annexe B  Plan commercial'!$H5*Hypothèses!$H$54</f>
        <v>228.88319747465678</v>
      </c>
      <c r="BW22" s="235">
        <f ca="1">BV22*(1-'Annexe G  Evolution Portefeuill'!$I20)+BV$86*'Annexe B  Plan commercial'!$H5*Hypothèses!$H$54</f>
        <v>236.24378148728348</v>
      </c>
      <c r="BX22" s="235">
        <f ca="1">BW22*(1-'Annexe G  Evolution Portefeuill'!$I20)+BW$86*'Annexe B  Plan commercial'!$H5*Hypothèses!$H$54</f>
        <v>243.56756257984705</v>
      </c>
      <c r="BY22" s="235">
        <f ca="1">BX22*(1-'Annexe G  Evolution Portefeuill'!$I20)+BX$86*'Annexe B  Plan commercial'!$H5*Hypothèses!$H$54</f>
        <v>259.27852829339616</v>
      </c>
      <c r="BZ22" s="235">
        <f ca="1">BY22*(1-'Annexe G  Evolution Portefeuill'!$I20)+BY$86*'Annexe B  Plan commercial'!$H5*Hypothèses!$H$54</f>
        <v>275.85593917837753</v>
      </c>
      <c r="CA22" s="235">
        <f ca="1">BZ22*(1-'Annexe G  Evolution Portefeuill'!$I20)+BZ$86*'Annexe B  Plan commercial'!$H5*Hypothèses!$H$54</f>
        <v>292.35046300893396</v>
      </c>
      <c r="CB22" s="235">
        <f ca="1">CA22*(1-'Annexe G  Evolution Portefeuill'!$I20)+CA$86*'Annexe B  Plan commercial'!$H5*Hypothèses!$H$54</f>
        <v>308.76251422033761</v>
      </c>
      <c r="CC22" s="239">
        <f ca="1">CB22*(1-'Annexe G  Evolution Portefeuill'!$I20)+CB$86*'Annexe B  Plan commercial'!$H5*Hypothèses!$H$54</f>
        <v>325.09250517568427</v>
      </c>
      <c r="CD22" s="240"/>
    </row>
    <row r="23" spans="1:82" ht="14" outlineLevel="1">
      <c r="A23" s="233" t="s">
        <v>143</v>
      </c>
      <c r="B23" s="61"/>
      <c r="C23" s="234">
        <v>0</v>
      </c>
      <c r="D23" s="235">
        <f>C$23*(1-'Annexe G  Evolution Portefeuill'!$C20)+C$87*'Annexe B  Plan commercial'!$B$11*Hypothèses!$B$55</f>
        <v>0</v>
      </c>
      <c r="E23" s="235">
        <f>D$23*(1-'Annexe G  Evolution Portefeuill'!$C20)+D$87*'Annexe B  Plan commercial'!$B$11*Hypothèses!$B$55</f>
        <v>0</v>
      </c>
      <c r="F23" s="235">
        <f>E$23*(1-'Annexe G  Evolution Portefeuill'!$C20)+E$87*'Annexe B  Plan commercial'!$B$11*Hypothèses!$B$55</f>
        <v>0</v>
      </c>
      <c r="G23" s="235">
        <f>F$23*(1-'Annexe G  Evolution Portefeuill'!$C20)+F$87*'Annexe B  Plan commercial'!$B$11*Hypothèses!$B$55</f>
        <v>0</v>
      </c>
      <c r="H23" s="235">
        <f>G$23*(1-'Annexe G  Evolution Portefeuill'!$C20)+G$87*'Annexe B  Plan commercial'!$B$11*Hypothèses!$B$55</f>
        <v>0</v>
      </c>
      <c r="I23" s="236">
        <f>H$23*(1-'Annexe G  Evolution Portefeuill'!$C20)+H$87*'Annexe B  Plan commercial'!$B$11*Hypothèses!$B$55</f>
        <v>0</v>
      </c>
      <c r="J23" s="235">
        <f>I$23*(1-'Annexe G  Evolution Portefeuill'!$D20)+I$87*'Annexe B  Plan commercial'!$C$11*Hypothèses!$C$55</f>
        <v>0</v>
      </c>
      <c r="K23" s="235">
        <f ca="1">J$23*(1-'Annexe G  Evolution Portefeuill'!$D20)+J$87*'Annexe B  Plan commercial'!$C$11*Hypothèses!$C$55</f>
        <v>0</v>
      </c>
      <c r="L23" s="235">
        <f ca="1">K$23*(1-'Annexe G  Evolution Portefeuill'!$D20)+K$87*'Annexe B  Plan commercial'!$C$11*Hypothèses!$C$55</f>
        <v>0</v>
      </c>
      <c r="M23" s="235">
        <f ca="1">L$23*(1-'Annexe G  Evolution Portefeuill'!$D20)+L$87*'Annexe B  Plan commercial'!$C$11*Hypothèses!$C$55</f>
        <v>0</v>
      </c>
      <c r="N23" s="235">
        <f ca="1">M$23*(1-'Annexe G  Evolution Portefeuill'!$D20)+M$87*'Annexe B  Plan commercial'!$C$11*Hypothèses!$C$55</f>
        <v>0</v>
      </c>
      <c r="O23" s="235">
        <f ca="1">N$23*(1-'Annexe G  Evolution Portefeuill'!$D20)+N$87*'Annexe B  Plan commercial'!$C$11*Hypothèses!$C$55</f>
        <v>0</v>
      </c>
      <c r="P23" s="235">
        <f ca="1">O$23*(1-'Annexe G  Evolution Portefeuill'!$D20)+O$87*'Annexe B  Plan commercial'!$C$11*Hypothèses!$C$55</f>
        <v>0</v>
      </c>
      <c r="Q23" s="235">
        <f ca="1">P$23*(1-'Annexe G  Evolution Portefeuill'!$D20)+P$87*'Annexe B  Plan commercial'!$C$11*Hypothèses!$C$55</f>
        <v>0</v>
      </c>
      <c r="R23" s="235">
        <f ca="1">Q$23*(1-'Annexe G  Evolution Portefeuill'!$D20)+Q$87*'Annexe B  Plan commercial'!$C$11*Hypothèses!$C$55</f>
        <v>0</v>
      </c>
      <c r="S23" s="235">
        <f ca="1">R$23*(1-'Annexe G  Evolution Portefeuill'!$D20)+R$87*'Annexe B  Plan commercial'!$C$11*Hypothèses!$C$55</f>
        <v>0</v>
      </c>
      <c r="T23" s="235">
        <f ca="1">S$23*(1-'Annexe G  Evolution Portefeuill'!$D20)+S$87*'Annexe B  Plan commercial'!$C$11*Hypothèses!$C$55</f>
        <v>0</v>
      </c>
      <c r="U23" s="235">
        <f ca="1">T$23*(1-'Annexe G  Evolution Portefeuill'!$D20)+T$87*'Annexe B  Plan commercial'!$C$11*Hypothèses!$C$55</f>
        <v>0</v>
      </c>
      <c r="V23" s="237">
        <f ca="1">U$23*(1-'Annexe G  Evolution Portefeuill'!$E$20)+U$87*'Annexe B  Plan commercial'!$D$11*Hypothèses!$D$55</f>
        <v>0</v>
      </c>
      <c r="W23" s="235">
        <f ca="1">V$23*(1-'Annexe G  Evolution Portefeuill'!$E$20)+V$87*'Annexe B  Plan commercial'!$D$11*Hypothèses!$D$55</f>
        <v>0</v>
      </c>
      <c r="X23" s="235">
        <f ca="1">W$23*(1-'Annexe G  Evolution Portefeuill'!$E$20)+W$87*'Annexe B  Plan commercial'!$D$11*Hypothèses!$D$55</f>
        <v>0</v>
      </c>
      <c r="Y23" s="235">
        <f ca="1">X$23*(1-'Annexe G  Evolution Portefeuill'!$E$20)+X$87*'Annexe B  Plan commercial'!$D$11*Hypothèses!$D$55</f>
        <v>0</v>
      </c>
      <c r="Z23" s="235">
        <f ca="1">Y$23*(1-'Annexe G  Evolution Portefeuill'!$E$20)+Y$87*'Annexe B  Plan commercial'!$D$11*Hypothèses!$D$55</f>
        <v>0</v>
      </c>
      <c r="AA23" s="235">
        <f ca="1">Z$23*(1-'Annexe G  Evolution Portefeuill'!$E$20)+Z$87*'Annexe B  Plan commercial'!$D$11*Hypothèses!$D$55</f>
        <v>0</v>
      </c>
      <c r="AB23" s="235">
        <f ca="1">AA$23*(1-'Annexe G  Evolution Portefeuill'!$E$20)+AA$87*'Annexe B  Plan commercial'!$D$11*Hypothèses!$D$55</f>
        <v>0</v>
      </c>
      <c r="AC23" s="235">
        <f ca="1">AB$23*(1-'Annexe G  Evolution Portefeuill'!$E$20)+AB$87*'Annexe B  Plan commercial'!$D$11*Hypothèses!$D$55</f>
        <v>0</v>
      </c>
      <c r="AD23" s="235">
        <f ca="1">AC$23*(1-'Annexe G  Evolution Portefeuill'!$E$20)+AC$87*'Annexe B  Plan commercial'!$D$11*Hypothèses!$D$55</f>
        <v>0</v>
      </c>
      <c r="AE23" s="235">
        <f ca="1">AD$23*(1-'Annexe G  Evolution Portefeuill'!$E$20)+AD$87*'Annexe B  Plan commercial'!$D$11*Hypothèses!$D$55</f>
        <v>0</v>
      </c>
      <c r="AF23" s="235">
        <f ca="1">AE$23*(1-'Annexe G  Evolution Portefeuill'!$E$20)+AE$87*'Annexe B  Plan commercial'!$D$11*Hypothèses!$D$55</f>
        <v>0</v>
      </c>
      <c r="AG23" s="236">
        <f ca="1">AF$23*(1-'Annexe G  Evolution Portefeuill'!$E$20)+AF$87*'Annexe B  Plan commercial'!$D$11*Hypothèses!$D$55</f>
        <v>0</v>
      </c>
      <c r="AH23" s="235">
        <f ca="1">AG$23*(1-'Annexe G  Evolution Portefeuill'!$F$20)+AG$87*'Annexe B  Plan commercial'!$E$11*Hypothèses!$E$55</f>
        <v>0</v>
      </c>
      <c r="AI23" s="235">
        <f ca="1">AH$23*(1-'Annexe G  Evolution Portefeuill'!$F$20)+AH$87*'Annexe B  Plan commercial'!$E$11*Hypothèses!$E$55</f>
        <v>0</v>
      </c>
      <c r="AJ23" s="235">
        <f ca="1">AI$23*(1-'Annexe G  Evolution Portefeuill'!$F$20)+AI$87*'Annexe B  Plan commercial'!$E$11*Hypothèses!$E$55</f>
        <v>0</v>
      </c>
      <c r="AK23" s="235">
        <f ca="1">AJ$23*(1-'Annexe G  Evolution Portefeuill'!$F$20)+AJ$87*'Annexe B  Plan commercial'!$E$11*Hypothèses!$E$55</f>
        <v>0</v>
      </c>
      <c r="AL23" s="235">
        <f ca="1">AK$23*(1-'Annexe G  Evolution Portefeuill'!$F$20)+AK$87*'Annexe B  Plan commercial'!$E$11*Hypothèses!$E$55</f>
        <v>0</v>
      </c>
      <c r="AM23" s="235">
        <f ca="1">AL$23*(1-'Annexe G  Evolution Portefeuill'!$F$20)+AL$87*'Annexe B  Plan commercial'!$E$11*Hypothèses!$E$55</f>
        <v>0</v>
      </c>
      <c r="AN23" s="235">
        <f ca="1">AM$23*(1-'Annexe G  Evolution Portefeuill'!$F$20)+AM$87*'Annexe B  Plan commercial'!$E$11*Hypothèses!$E$55</f>
        <v>0</v>
      </c>
      <c r="AO23" s="235">
        <f ca="1">AN$23*(1-'Annexe G  Evolution Portefeuill'!$F$20)+AN$87*'Annexe B  Plan commercial'!$E$11*Hypothèses!$E$55</f>
        <v>0</v>
      </c>
      <c r="AP23" s="235">
        <f ca="1">AO$23*(1-'Annexe G  Evolution Portefeuill'!$F$20)+AO$87*'Annexe B  Plan commercial'!$E$11*Hypothèses!$E$55</f>
        <v>0</v>
      </c>
      <c r="AQ23" s="235">
        <f ca="1">AP$23*(1-'Annexe G  Evolution Portefeuill'!$F$20)+AP$87*'Annexe B  Plan commercial'!$E$11*Hypothèses!$E$55</f>
        <v>0</v>
      </c>
      <c r="AR23" s="235">
        <f ca="1">AQ$23*(1-'Annexe G  Evolution Portefeuill'!$F$20)+AQ$87*'Annexe B  Plan commercial'!$E$11*Hypothèses!$E$55</f>
        <v>0</v>
      </c>
      <c r="AS23" s="235">
        <f ca="1">AR$23*(1-'Annexe G  Evolution Portefeuill'!$F$20)+AR$87*'Annexe B  Plan commercial'!$E$11*Hypothèses!$E$55</f>
        <v>0</v>
      </c>
      <c r="AT23" s="237">
        <f ca="1">AS$23*(1-'Annexe G  Evolution Portefeuill'!$G$20)+AS$87*'Annexe B  Plan commercial'!$F$11*Hypothèses!$F$55</f>
        <v>0</v>
      </c>
      <c r="AU23" s="235">
        <f ca="1">AT$23*(1-'Annexe G  Evolution Portefeuill'!$G$20)+AT$87*'Annexe B  Plan commercial'!$F$11*Hypothèses!$F$55</f>
        <v>0</v>
      </c>
      <c r="AV23" s="235">
        <f ca="1">AU$23*(1-'Annexe G  Evolution Portefeuill'!$G$20)+AU$87*'Annexe B  Plan commercial'!$F$11*Hypothèses!$F$55</f>
        <v>0</v>
      </c>
      <c r="AW23" s="235">
        <f ca="1">AV$23*(1-'Annexe G  Evolution Portefeuill'!$G$20)+AV$87*'Annexe B  Plan commercial'!$F$11*Hypothèses!$F$55</f>
        <v>0</v>
      </c>
      <c r="AX23" s="235">
        <f ca="1">AW$23*(1-'Annexe G  Evolution Portefeuill'!$G$20)+AW$87*'Annexe B  Plan commercial'!$F$11*Hypothèses!$F$55</f>
        <v>0</v>
      </c>
      <c r="AY23" s="235">
        <f ca="1">AX$23*(1-'Annexe G  Evolution Portefeuill'!$G$20)+AX$87*'Annexe B  Plan commercial'!$F$11*Hypothèses!$F$55</f>
        <v>0</v>
      </c>
      <c r="AZ23" s="235">
        <f ca="1">AY$23*(1-'Annexe G  Evolution Portefeuill'!$G$20)+AY$87*'Annexe B  Plan commercial'!$F$11*Hypothèses!$F$55</f>
        <v>0</v>
      </c>
      <c r="BA23" s="235">
        <f ca="1">AZ$23*(1-'Annexe G  Evolution Portefeuill'!$G$20)+AZ$87*'Annexe B  Plan commercial'!$F$11*Hypothèses!$F$55</f>
        <v>0</v>
      </c>
      <c r="BB23" s="235">
        <f ca="1">BA$23*(1-'Annexe G  Evolution Portefeuill'!$G$20)+BA$87*'Annexe B  Plan commercial'!$F$11*Hypothèses!$F$55</f>
        <v>0</v>
      </c>
      <c r="BC23" s="235">
        <f ca="1">BB$23*(1-'Annexe G  Evolution Portefeuill'!$G$20)+BB$87*'Annexe B  Plan commercial'!$F$11*Hypothèses!$F$55</f>
        <v>0</v>
      </c>
      <c r="BD23" s="235">
        <f ca="1">BC$23*(1-'Annexe G  Evolution Portefeuill'!$G$20)+BC$87*'Annexe B  Plan commercial'!$F$11*Hypothèses!$F$55</f>
        <v>0</v>
      </c>
      <c r="BE23" s="236">
        <f ca="1">BD$23*(1-'Annexe G  Evolution Portefeuill'!$G$20)+BD$87*'Annexe B  Plan commercial'!$F$11*Hypothèses!$F$55</f>
        <v>0</v>
      </c>
      <c r="BF23" s="235">
        <f ca="1">BE$23*(1-'Annexe G  Evolution Portefeuill'!$H$20)+BE$87*'Annexe B  Plan commercial'!$G$11*Hypothèses!$G$55</f>
        <v>0</v>
      </c>
      <c r="BG23" s="235">
        <f ca="1">BF$23*(1-'Annexe G  Evolution Portefeuill'!$H$20)+BF$87*'Annexe B  Plan commercial'!$G$11*Hypothèses!$G$55</f>
        <v>0</v>
      </c>
      <c r="BH23" s="235">
        <f ca="1">BG$23*(1-'Annexe G  Evolution Portefeuill'!$H$20)+BG$87*'Annexe B  Plan commercial'!$G$11*Hypothèses!$G$55</f>
        <v>0.83999999999999986</v>
      </c>
      <c r="BI23" s="235">
        <f ca="1">BH$23*(1-'Annexe G  Evolution Portefeuill'!$H$20)+BH$87*'Annexe B  Plan commercial'!$G$11*Hypothèses!$G$55</f>
        <v>1.6757999999999997</v>
      </c>
      <c r="BJ23" s="235">
        <f ca="1">BI$23*(1-'Annexe G  Evolution Portefeuill'!$H$20)+BI$87*'Annexe B  Plan commercial'!$G$11*Hypothèses!$G$55</f>
        <v>2.5074209999999999</v>
      </c>
      <c r="BK23" s="235">
        <f ca="1">BJ$23*(1-'Annexe G  Evolution Portefeuill'!$H$20)+BJ$87*'Annexe B  Plan commercial'!$G$11*Hypothèses!$G$55</f>
        <v>3.3348838949999999</v>
      </c>
      <c r="BL23" s="235">
        <f ca="1">BK$23*(1-'Annexe G  Evolution Portefeuill'!$H$20)+BK$87*'Annexe B  Plan commercial'!$G$11*Hypothèses!$G$55</f>
        <v>4.1582094755250001</v>
      </c>
      <c r="BM23" s="235">
        <f ca="1">BL$23*(1-'Annexe G  Evolution Portefeuill'!$H$20)+BL$87*'Annexe B  Plan commercial'!$G$11*Hypothèses!$G$55</f>
        <v>12.398388201447123</v>
      </c>
      <c r="BN23" s="235">
        <f ca="1">BM$23*(1-'Annexe G  Evolution Portefeuill'!$H$20)+BM$87*'Annexe B  Plan commercial'!$G$11*Hypothèses!$G$55</f>
        <v>20.597366033739636</v>
      </c>
      <c r="BO23" s="235">
        <f ca="1">BN$23*(1-'Annexe G  Evolution Portefeuill'!$H$20)+BN$87*'Annexe B  Plan commercial'!$G$11*Hypothèses!$G$55</f>
        <v>28.755348976870685</v>
      </c>
      <c r="BP23" s="235">
        <f ca="1">BO$23*(1-'Annexe G  Evolution Portefeuill'!$H$20)+BO$87*'Annexe B  Plan commercial'!$G$11*Hypothèses!$G$55</f>
        <v>36.872542005286078</v>
      </c>
      <c r="BQ23" s="235">
        <f ca="1">BP$23*(1-'Annexe G  Evolution Portefeuill'!$H$20)+BP$87*'Annexe B  Plan commercial'!$G$11*Hypothèses!$G$55</f>
        <v>44.9491490685594</v>
      </c>
      <c r="BR23" s="238">
        <f ca="1">BQ$23*(1-'Annexe G  Evolution Portefeuill'!$I$20)+BQ$87*'Annexe B  Plan commercial'!$G$11*Hypothèses!$G$55</f>
        <v>52.985373096516355</v>
      </c>
      <c r="BS23" s="235">
        <f ca="1">BR$23*(1-'Annexe G  Evolution Portefeuill'!$I$20)+BR$87*'Annexe B  Plan commercial'!$G$11*Hypothèses!$G$55</f>
        <v>61.821416004333528</v>
      </c>
      <c r="BT23" s="235">
        <f ca="1">BS$23*(1-'Annexe G  Evolution Portefeuill'!$I$20)+BS$87*'Annexe B  Plan commercial'!$G$11*Hypothèses!$G$55</f>
        <v>70.613278697611605</v>
      </c>
      <c r="BU23" s="235">
        <f ca="1">BT$23*(1-'Annexe G  Evolution Portefeuill'!$I$20)+BT$87*'Annexe B  Plan commercial'!$G$11*Hypothèses!$G$55</f>
        <v>79.361182077423294</v>
      </c>
      <c r="BV23" s="235">
        <f ca="1">BU$23*(1-'Annexe G  Evolution Portefeuill'!$I$20)+BU$87*'Annexe B  Plan commercial'!$G$11*Hypothèses!$G$55</f>
        <v>88.065345940335931</v>
      </c>
      <c r="BW23" s="235">
        <f ca="1">BV$23*(1-'Annexe G  Evolution Portefeuill'!$I$20)+BV$87*'Annexe B  Plan commercial'!$G$11*Hypothèses!$G$55</f>
        <v>96.725988983934002</v>
      </c>
      <c r="BX23" s="235">
        <f ca="1">BW$23*(1-'Annexe G  Evolution Portefeuill'!$I$20)+BW$87*'Annexe B  Plan commercial'!$G$11*Hypothèses!$G$55</f>
        <v>107.02332881231408</v>
      </c>
      <c r="BY23" s="235">
        <f ca="1">BX$23*(1-'Annexe G  Evolution Portefeuill'!$I$20)+BX$87*'Annexe B  Plan commercial'!$G$11*Hypothèses!$G$55</f>
        <v>120.54510553517106</v>
      </c>
      <c r="BZ23" s="235">
        <f ca="1">BY$23*(1-'Annexe G  Evolution Portefeuill'!$I$20)+BY$87*'Annexe B  Plan commercial'!$G$11*Hypothèses!$G$55</f>
        <v>133.99927337441375</v>
      </c>
      <c r="CA23" s="235">
        <f ca="1">BZ$23*(1-'Annexe G  Evolution Portefeuill'!$I$20)+BZ$87*'Annexe B  Plan commercial'!$G$11*Hypothèses!$G$55</f>
        <v>147.38617037446025</v>
      </c>
      <c r="CB23" s="235">
        <f ca="1">CA$23*(1-'Annexe G  Evolution Portefeuill'!$I$20)+CA$87*'Annexe B  Plan commercial'!$G$11*Hypothèses!$G$55</f>
        <v>162.38613288950651</v>
      </c>
      <c r="CC23" s="239">
        <f ca="1">CB$23*(1-'Annexe G  Evolution Portefeuill'!$I$20)+CB$87*'Annexe B  Plan commercial'!$G$11*Hypothèses!$G$55</f>
        <v>177.31109559197753</v>
      </c>
      <c r="CD23" s="240"/>
    </row>
    <row r="24" spans="1:82" ht="14" outlineLevel="1">
      <c r="A24" s="233" t="s">
        <v>144</v>
      </c>
      <c r="B24" s="61"/>
      <c r="C24" s="234">
        <v>0</v>
      </c>
      <c r="D24" s="235">
        <f>C$24*(1-'Annexe G  Evolution Portefeuill'!$C20)+C$88*'Annexe B  Plan commercial'!$B$17*Hypothèses!$B$56</f>
        <v>0</v>
      </c>
      <c r="E24" s="235">
        <f>D$24*(1-'Annexe G  Evolution Portefeuill'!$C20)+D$88*'Annexe B  Plan commercial'!$B$17*Hypothèses!$B$56</f>
        <v>0</v>
      </c>
      <c r="F24" s="235">
        <f>E$24*(1-'Annexe G  Evolution Portefeuill'!$C20)+E$88*'Annexe B  Plan commercial'!$B$17*Hypothèses!$B$56</f>
        <v>0</v>
      </c>
      <c r="G24" s="235">
        <f>F$24*(1-'Annexe G  Evolution Portefeuill'!$C20)+F$88*'Annexe B  Plan commercial'!$B$17*Hypothèses!$B$56</f>
        <v>0</v>
      </c>
      <c r="H24" s="235">
        <f>G$24*(1-'Annexe G  Evolution Portefeuill'!$C20)+G$88*'Annexe B  Plan commercial'!$B$17*Hypothèses!$B$56</f>
        <v>0</v>
      </c>
      <c r="I24" s="236">
        <f>H$24*(1-'Annexe G  Evolution Portefeuill'!$C20)+H$88*'Annexe B  Plan commercial'!$B$17*Hypothèses!$B$56</f>
        <v>0</v>
      </c>
      <c r="J24" s="235">
        <f>I$24*(1-'Annexe G  Evolution Portefeuill'!$D20)+I$88*'Annexe B  Plan commercial'!$C$17*Hypothèses!$C$56</f>
        <v>0</v>
      </c>
      <c r="K24" s="235">
        <f ca="1">J$24*(1-'Annexe G  Evolution Portefeuill'!$D20)+J$88*'Annexe B  Plan commercial'!$C$17*Hypothèses!$C$56</f>
        <v>0</v>
      </c>
      <c r="L24" s="235">
        <f ca="1">K$24*(1-'Annexe G  Evolution Portefeuill'!$D20)+K$88*'Annexe B  Plan commercial'!$C$17*Hypothèses!$C$56</f>
        <v>0</v>
      </c>
      <c r="M24" s="235">
        <f ca="1">L$24*(1-'Annexe G  Evolution Portefeuill'!$D20)+L$88*'Annexe B  Plan commercial'!$C$17*Hypothèses!$C$56</f>
        <v>0</v>
      </c>
      <c r="N24" s="235">
        <f ca="1">M$24*(1-'Annexe G  Evolution Portefeuill'!$D20)+M$88*'Annexe B  Plan commercial'!$C$17*Hypothèses!$C$56</f>
        <v>0</v>
      </c>
      <c r="O24" s="235">
        <f ca="1">N$24*(1-'Annexe G  Evolution Portefeuill'!$D20)+N$88*'Annexe B  Plan commercial'!$C$17*Hypothèses!$C$56</f>
        <v>0</v>
      </c>
      <c r="P24" s="235">
        <f ca="1">O$24*(1-'Annexe G  Evolution Portefeuill'!$D20)+O$88*'Annexe B  Plan commercial'!$C$17*Hypothèses!$C$56</f>
        <v>0</v>
      </c>
      <c r="Q24" s="235">
        <f ca="1">P$24*(1-'Annexe G  Evolution Portefeuill'!$D20)+P$88*'Annexe B  Plan commercial'!$C$17*Hypothèses!$C$56</f>
        <v>0</v>
      </c>
      <c r="R24" s="235">
        <f ca="1">Q$24*(1-'Annexe G  Evolution Portefeuill'!$D20)+Q$88*'Annexe B  Plan commercial'!$C$17*Hypothèses!$C$56</f>
        <v>0</v>
      </c>
      <c r="S24" s="235">
        <f ca="1">R$24*(1-'Annexe G  Evolution Portefeuill'!$D20)+R$88*'Annexe B  Plan commercial'!$C$17*Hypothèses!$C$56</f>
        <v>0</v>
      </c>
      <c r="T24" s="235">
        <f ca="1">S$24*(1-'Annexe G  Evolution Portefeuill'!$D20)+S$88*'Annexe B  Plan commercial'!$C$17*Hypothèses!$C$56</f>
        <v>0</v>
      </c>
      <c r="U24" s="235">
        <f ca="1">T$24*(1-'Annexe G  Evolution Portefeuill'!$D20)+T$88*'Annexe B  Plan commercial'!$C$17*Hypothèses!$C$56</f>
        <v>0</v>
      </c>
      <c r="V24" s="237">
        <f ca="1">U$24*(1-'Annexe G  Evolution Portefeuill'!$E20)+U$88*'Annexe B  Plan commercial'!$D$17*Hypothèses!$D$56</f>
        <v>0</v>
      </c>
      <c r="W24" s="235">
        <f ca="1">V$24*(1-'Annexe G  Evolution Portefeuill'!$E20)+V$88*'Annexe B  Plan commercial'!$D$17*Hypothèses!$D$56</f>
        <v>0</v>
      </c>
      <c r="X24" s="235">
        <f ca="1">W$24*(1-'Annexe G  Evolution Portefeuill'!$E20)+W$88*'Annexe B  Plan commercial'!$D$17*Hypothèses!$D$56</f>
        <v>0</v>
      </c>
      <c r="Y24" s="235">
        <f ca="1">X$24*(1-'Annexe G  Evolution Portefeuill'!$E20)+X$88*'Annexe B  Plan commercial'!$D$17*Hypothèses!$D$56</f>
        <v>0</v>
      </c>
      <c r="Z24" s="235">
        <f ca="1">Y$24*(1-'Annexe G  Evolution Portefeuill'!$E20)+Y$88*'Annexe B  Plan commercial'!$D$17*Hypothèses!$D$56</f>
        <v>0</v>
      </c>
      <c r="AA24" s="235">
        <f ca="1">Z$24*(1-'Annexe G  Evolution Portefeuill'!$E20)+Z$88*'Annexe B  Plan commercial'!$D$17*Hypothèses!$D$56</f>
        <v>0</v>
      </c>
      <c r="AB24" s="235">
        <f ca="1">AA$24*(1-'Annexe G  Evolution Portefeuill'!$E20)+AA$88*'Annexe B  Plan commercial'!$D$17*Hypothèses!$D$56</f>
        <v>0</v>
      </c>
      <c r="AC24" s="235">
        <f ca="1">AB$24*(1-'Annexe G  Evolution Portefeuill'!$E20)+AB$88*'Annexe B  Plan commercial'!$D$17*Hypothèses!$D$56</f>
        <v>0</v>
      </c>
      <c r="AD24" s="235">
        <f ca="1">AC$24*(1-'Annexe G  Evolution Portefeuill'!$E20)+AC$88*'Annexe B  Plan commercial'!$D$17*Hypothèses!$D$56</f>
        <v>0</v>
      </c>
      <c r="AE24" s="235">
        <f ca="1">AD$24*(1-'Annexe G  Evolution Portefeuill'!$E20)+AD$88*'Annexe B  Plan commercial'!$D$17*Hypothèses!$D$56</f>
        <v>0</v>
      </c>
      <c r="AF24" s="235">
        <f ca="1">AE$24*(1-'Annexe G  Evolution Portefeuill'!$E20)+AE$88*'Annexe B  Plan commercial'!$D$17*Hypothèses!$D$56</f>
        <v>0</v>
      </c>
      <c r="AG24" s="236">
        <f ca="1">AF$24*(1-'Annexe G  Evolution Portefeuill'!$E20)+AF$88*'Annexe B  Plan commercial'!$D$17*Hypothèses!$D$56</f>
        <v>0</v>
      </c>
      <c r="AH24" s="235">
        <f ca="1">AG$24*(1-'Annexe G  Evolution Portefeuill'!$F20)+AG$88*'Annexe B  Plan commercial'!$E$17*Hypothèses!$E$56</f>
        <v>0</v>
      </c>
      <c r="AI24" s="235">
        <f ca="1">AH$24*(1-'Annexe G  Evolution Portefeuill'!$F20)+AH$88*'Annexe B  Plan commercial'!$E$17*Hypothèses!$E$56</f>
        <v>0</v>
      </c>
      <c r="AJ24" s="235">
        <f ca="1">AI$24*(1-'Annexe G  Evolution Portefeuill'!$F20)+AI$88*'Annexe B  Plan commercial'!$E$17*Hypothèses!$E$56</f>
        <v>0</v>
      </c>
      <c r="AK24" s="235">
        <f ca="1">AJ$24*(1-'Annexe G  Evolution Portefeuill'!$F20)+AJ$88*'Annexe B  Plan commercial'!$E$17*Hypothèses!$E$56</f>
        <v>0</v>
      </c>
      <c r="AL24" s="235">
        <f ca="1">AK$24*(1-'Annexe G  Evolution Portefeuill'!$F20)+AK$88*'Annexe B  Plan commercial'!$E$17*Hypothèses!$E$56</f>
        <v>0</v>
      </c>
      <c r="AM24" s="235">
        <f ca="1">AL$24*(1-'Annexe G  Evolution Portefeuill'!$F20)+AL$88*'Annexe B  Plan commercial'!$E$17*Hypothèses!$E$56</f>
        <v>0</v>
      </c>
      <c r="AN24" s="235">
        <f ca="1">AM$24*(1-'Annexe G  Evolution Portefeuill'!$F20)+AM$88*'Annexe B  Plan commercial'!$E$17*Hypothèses!$E$56</f>
        <v>0</v>
      </c>
      <c r="AO24" s="235">
        <f ca="1">AN$24*(1-'Annexe G  Evolution Portefeuill'!$F20)+AN$88*'Annexe B  Plan commercial'!$E$17*Hypothèses!$E$56</f>
        <v>0</v>
      </c>
      <c r="AP24" s="235">
        <f ca="1">AO$24*(1-'Annexe G  Evolution Portefeuill'!$F20)+AO$88*'Annexe B  Plan commercial'!$E$17*Hypothèses!$E$56</f>
        <v>0</v>
      </c>
      <c r="AQ24" s="235">
        <f ca="1">AP$24*(1-'Annexe G  Evolution Portefeuill'!$F20)+AP$88*'Annexe B  Plan commercial'!$E$17*Hypothèses!$E$56</f>
        <v>0</v>
      </c>
      <c r="AR24" s="235">
        <f ca="1">AQ$24*(1-'Annexe G  Evolution Portefeuill'!$F20)+AQ$88*'Annexe B  Plan commercial'!$E$17*Hypothèses!$E$56</f>
        <v>0</v>
      </c>
      <c r="AS24" s="235">
        <f ca="1">AR$24*(1-'Annexe G  Evolution Portefeuill'!$F20)+AR$88*'Annexe B  Plan commercial'!$E$17*Hypothèses!$E$56</f>
        <v>0</v>
      </c>
      <c r="AT24" s="237">
        <f ca="1">AS$24*(1-'Annexe G  Evolution Portefeuill'!$G20)+AS$88*'Annexe B  Plan commercial'!$F$17*Hypothèses!$F$56</f>
        <v>0</v>
      </c>
      <c r="AU24" s="235">
        <f ca="1">AT$24*(1-'Annexe G  Evolution Portefeuill'!$G20)+AT$88*'Annexe B  Plan commercial'!$F$17*Hypothèses!$F$56</f>
        <v>0</v>
      </c>
      <c r="AV24" s="235">
        <f ca="1">AU$24*(1-'Annexe G  Evolution Portefeuill'!$G20)+AU$88*'Annexe B  Plan commercial'!$F$17*Hypothèses!$F$56</f>
        <v>0</v>
      </c>
      <c r="AW24" s="235">
        <f ca="1">AV$24*(1-'Annexe G  Evolution Portefeuill'!$G20)+AV$88*'Annexe B  Plan commercial'!$F$17*Hypothèses!$F$56</f>
        <v>0</v>
      </c>
      <c r="AX24" s="235">
        <f ca="1">AW$24*(1-'Annexe G  Evolution Portefeuill'!$G20)+AW$88*'Annexe B  Plan commercial'!$F$17*Hypothèses!$F$56</f>
        <v>0</v>
      </c>
      <c r="AY24" s="235">
        <f ca="1">AX$24*(1-'Annexe G  Evolution Portefeuill'!$G20)+AX$88*'Annexe B  Plan commercial'!$F$17*Hypothèses!$F$56</f>
        <v>0</v>
      </c>
      <c r="AZ24" s="235">
        <f ca="1">AY$24*(1-'Annexe G  Evolution Portefeuill'!$G20)+AY$88*'Annexe B  Plan commercial'!$F$17*Hypothèses!$F$56</f>
        <v>0</v>
      </c>
      <c r="BA24" s="235">
        <f ca="1">AZ$24*(1-'Annexe G  Evolution Portefeuill'!$G20)+AZ$88*'Annexe B  Plan commercial'!$F$17*Hypothèses!$F$56</f>
        <v>0</v>
      </c>
      <c r="BB24" s="235">
        <f ca="1">BA$24*(1-'Annexe G  Evolution Portefeuill'!$G20)+BA$88*'Annexe B  Plan commercial'!$F$17*Hypothèses!$F$56</f>
        <v>0</v>
      </c>
      <c r="BC24" s="235">
        <f ca="1">BB$24*(1-'Annexe G  Evolution Portefeuill'!$G20)+BB$88*'Annexe B  Plan commercial'!$F$17*Hypothèses!$F$56</f>
        <v>0</v>
      </c>
      <c r="BD24" s="235">
        <f ca="1">BC$24*(1-'Annexe G  Evolution Portefeuill'!$G20)+BC$88*'Annexe B  Plan commercial'!$F$17*Hypothèses!$F$56</f>
        <v>0</v>
      </c>
      <c r="BE24" s="236">
        <f ca="1">BD$24*(1-'Annexe G  Evolution Portefeuill'!$G20)+BD$88*'Annexe B  Plan commercial'!$F$17*Hypothèses!$F$56</f>
        <v>0</v>
      </c>
      <c r="BF24" s="235">
        <f ca="1">BE$24*(1-'Annexe G  Evolution Portefeuill'!$H20)+BE$88*'Annexe B  Plan commercial'!$G$17*Hypothèses!$G$56</f>
        <v>0</v>
      </c>
      <c r="BG24" s="235">
        <f ca="1">BF$24*(1-'Annexe G  Evolution Portefeuill'!$H20)+BF$88*'Annexe B  Plan commercial'!$G$17*Hypothèses!$G$56</f>
        <v>0</v>
      </c>
      <c r="BH24" s="235">
        <f ca="1">BG$24*(1-'Annexe G  Evolution Portefeuill'!$H20)+BG$88*'Annexe B  Plan commercial'!$G$17*Hypothèses!$G$56</f>
        <v>0</v>
      </c>
      <c r="BI24" s="235">
        <f ca="1">BH$24*(1-'Annexe G  Evolution Portefeuill'!$H20)+BH$88*'Annexe B  Plan commercial'!$G$17*Hypothèses!$G$56</f>
        <v>0</v>
      </c>
      <c r="BJ24" s="235">
        <f ca="1">BI$24*(1-'Annexe G  Evolution Portefeuill'!$H20)+BI$88*'Annexe B  Plan commercial'!$G$17*Hypothèses!$G$56</f>
        <v>0</v>
      </c>
      <c r="BK24" s="235">
        <f ca="1">BJ$24*(1-'Annexe G  Evolution Portefeuill'!$H20)+BJ$88*'Annexe B  Plan commercial'!$G$17*Hypothèses!$G$56</f>
        <v>0</v>
      </c>
      <c r="BL24" s="235">
        <f ca="1">BK$24*(1-'Annexe G  Evolution Portefeuill'!$H20)+BK$88*'Annexe B  Plan commercial'!$G$17*Hypothèses!$G$56</f>
        <v>0</v>
      </c>
      <c r="BM24" s="235">
        <f ca="1">BL$24*(1-'Annexe G  Evolution Portefeuill'!$H20)+BL$88*'Annexe B  Plan commercial'!$G$17*Hypothèses!$G$56</f>
        <v>0</v>
      </c>
      <c r="BN24" s="235">
        <f ca="1">BM$24*(1-'Annexe G  Evolution Portefeuill'!$H20)+BM$88*'Annexe B  Plan commercial'!$G$17*Hypothèses!$G$56</f>
        <v>0</v>
      </c>
      <c r="BO24" s="235">
        <f ca="1">BN$24*(1-'Annexe G  Evolution Portefeuill'!$H20)+BN$88*'Annexe B  Plan commercial'!$G$17*Hypothèses!$G$56</f>
        <v>0</v>
      </c>
      <c r="BP24" s="235">
        <f ca="1">BO$24*(1-'Annexe G  Evolution Portefeuill'!$H20)+BO$88*'Annexe B  Plan commercial'!$G$17*Hypothèses!$G$56</f>
        <v>0</v>
      </c>
      <c r="BQ24" s="235">
        <f ca="1">BP$24*(1-'Annexe G  Evolution Portefeuill'!$H20)+BP$88*'Annexe B  Plan commercial'!$G$17*Hypothèses!$G$56</f>
        <v>0</v>
      </c>
      <c r="BR24" s="238">
        <f ca="1">BQ$24*(1-'Annexe G  Evolution Portefeuill'!$I20)+BQ$88*'Annexe B  Plan commercial'!$G$17*Hypothèses!$G$56</f>
        <v>0</v>
      </c>
      <c r="BS24" s="235">
        <f ca="1">BR$24*(1-'Annexe G  Evolution Portefeuill'!$I20)+BR$88*'Annexe B  Plan commercial'!$G$17*Hypothèses!$G$56</f>
        <v>0</v>
      </c>
      <c r="BT24" s="235">
        <f ca="1">BS$24*(1-'Annexe G  Evolution Portefeuill'!$I20)+BS$88*'Annexe B  Plan commercial'!$G$17*Hypothèses!$G$56</f>
        <v>0</v>
      </c>
      <c r="BU24" s="235">
        <f ca="1">BT$24*(1-'Annexe G  Evolution Portefeuill'!$I20)+BT$88*'Annexe B  Plan commercial'!$G$17*Hypothèses!$G$56</f>
        <v>0.83999999999999986</v>
      </c>
      <c r="BV24" s="235">
        <f ca="1">BU$24*(1-'Annexe G  Evolution Portefeuill'!$I20)+BU$88*'Annexe B  Plan commercial'!$G$17*Hypothèses!$G$56</f>
        <v>1.6757999999999997</v>
      </c>
      <c r="BW24" s="235">
        <f ca="1">BV$24*(1-'Annexe G  Evolution Portefeuill'!$I20)+BV$88*'Annexe B  Plan commercial'!$G$17*Hypothèses!$G$56</f>
        <v>2.5074209999999999</v>
      </c>
      <c r="BX24" s="235">
        <f ca="1">BW$24*(1-'Annexe G  Evolution Portefeuill'!$I20)+BW$88*'Annexe B  Plan commercial'!$G$17*Hypothèses!$G$56</f>
        <v>4.1748838949999998</v>
      </c>
      <c r="BY24" s="235">
        <f ca="1">BX$24*(1-'Annexe G  Evolution Portefeuill'!$I20)+BX$88*'Annexe B  Plan commercial'!$G$17*Hypothèses!$G$56</f>
        <v>18.165150440167228</v>
      </c>
      <c r="BZ24" s="235">
        <f ca="1">BY$24*(1-'Annexe G  Evolution Portefeuill'!$I20)+BY$88*'Annexe B  Plan commercial'!$G$17*Hypothèses!$G$56</f>
        <v>32.085465652608619</v>
      </c>
      <c r="CA24" s="235">
        <f ca="1">BZ$24*(1-'Annexe G  Evolution Portefeuill'!$I20)+BZ$88*'Annexe B  Plan commercial'!$G$17*Hypothèses!$G$56</f>
        <v>45.936179288987802</v>
      </c>
      <c r="CB24" s="235">
        <f ca="1">CA$24*(1-'Annexe G  Evolution Portefeuill'!$I20)+CA$88*'Annexe B  Plan commercial'!$G$17*Hypothèses!$G$56</f>
        <v>59.717639357185092</v>
      </c>
      <c r="CC24" s="239">
        <f ca="1">CB$24*(1-'Annexe G  Evolution Portefeuill'!$I20)+CB$88*'Annexe B  Plan commercial'!$G$17*Hypothèses!$G$56</f>
        <v>73.430192125041387</v>
      </c>
      <c r="CD24" s="240"/>
    </row>
    <row r="25" spans="1:82" ht="15">
      <c r="A25" s="233" t="s">
        <v>145</v>
      </c>
      <c r="B25" s="241"/>
      <c r="C25" s="234">
        <v>0</v>
      </c>
      <c r="D25" s="235">
        <f>C$25*(1-'Annexe G  Evolution Portefeuill'!$C20)+C$89*'Annexe B  Plan commercial'!$B$23*Hypothèses!$B$57</f>
        <v>0</v>
      </c>
      <c r="E25" s="235">
        <f>D$25*(1-'Annexe G  Evolution Portefeuill'!$C20)+D$89*'Annexe B  Plan commercial'!$B$23*Hypothèses!$B$57</f>
        <v>0</v>
      </c>
      <c r="F25" s="235">
        <f>E$25*(1-'Annexe G  Evolution Portefeuill'!$C20)+E$89*'Annexe B  Plan commercial'!$B$23*Hypothèses!$B$57</f>
        <v>0</v>
      </c>
      <c r="G25" s="235">
        <f>F$25*(1-'Annexe G  Evolution Portefeuill'!$C20)+F$89*'Annexe B  Plan commercial'!$B$23*Hypothèses!$B$57</f>
        <v>0</v>
      </c>
      <c r="H25" s="235">
        <f>G$25*(1-'Annexe G  Evolution Portefeuill'!$C20)+G$89*'Annexe B  Plan commercial'!$B$23*Hypothèses!$B$57</f>
        <v>0</v>
      </c>
      <c r="I25" s="235">
        <f>H$25*(1-'Annexe G  Evolution Portefeuill'!$C20)+H$89*'Annexe B  Plan commercial'!$B$23*Hypothèses!$B$57</f>
        <v>0</v>
      </c>
      <c r="J25" s="235">
        <f>I$25*(1-'Annexe G  Evolution Portefeuill'!$D20)+I$89*'Annexe B  Plan commercial'!$C$23*Hypothèses!$C$57</f>
        <v>0</v>
      </c>
      <c r="K25" s="235">
        <f ca="1">J$25*(1-'Annexe G  Evolution Portefeuill'!$D20)+J$89*'Annexe B  Plan commercial'!$C$23*Hypothèses!$C$57</f>
        <v>0</v>
      </c>
      <c r="L25" s="235">
        <f ca="1">K$25*(1-'Annexe G  Evolution Portefeuill'!$D20)+K$89*'Annexe B  Plan commercial'!$C$23*Hypothèses!$C$57</f>
        <v>0</v>
      </c>
      <c r="M25" s="235">
        <f ca="1">L$25*(1-'Annexe G  Evolution Portefeuill'!$D20)+L$89*'Annexe B  Plan commercial'!$C$23*Hypothèses!$C$57</f>
        <v>0</v>
      </c>
      <c r="N25" s="235">
        <f ca="1">M$25*(1-'Annexe G  Evolution Portefeuill'!$D20)+M$89*'Annexe B  Plan commercial'!$C$23*Hypothèses!$C$57</f>
        <v>0</v>
      </c>
      <c r="O25" s="235">
        <f ca="1">N$25*(1-'Annexe G  Evolution Portefeuill'!$D20)+N$89*'Annexe B  Plan commercial'!$C$23*Hypothèses!$C$57</f>
        <v>0</v>
      </c>
      <c r="P25" s="235">
        <f ca="1">O$25*(1-'Annexe G  Evolution Portefeuill'!$D20)+O$89*'Annexe B  Plan commercial'!$C$23*Hypothèses!$C$57</f>
        <v>0</v>
      </c>
      <c r="Q25" s="235">
        <f ca="1">P$25*(1-'Annexe G  Evolution Portefeuill'!$D20)+P$89*'Annexe B  Plan commercial'!$C$23*Hypothèses!$C$57</f>
        <v>0</v>
      </c>
      <c r="R25" s="235">
        <f ca="1">Q$25*(1-'Annexe G  Evolution Portefeuill'!$D20)+Q$89*'Annexe B  Plan commercial'!$C$23*Hypothèses!$C$57</f>
        <v>0</v>
      </c>
      <c r="S25" s="235">
        <f ca="1">R$25*(1-'Annexe G  Evolution Portefeuill'!$D20)+R$89*'Annexe B  Plan commercial'!$C$23*Hypothèses!$C$57</f>
        <v>0</v>
      </c>
      <c r="T25" s="235">
        <f ca="1">S$25*(1-'Annexe G  Evolution Portefeuill'!$D20)+S$89*'Annexe B  Plan commercial'!$C$23*Hypothèses!$C$57</f>
        <v>0</v>
      </c>
      <c r="U25" s="235">
        <f ca="1">T$25*(1-'Annexe G  Evolution Portefeuill'!$D20)+T$89*'Annexe B  Plan commercial'!$C$23*Hypothèses!$C$57</f>
        <v>0</v>
      </c>
      <c r="V25" s="237">
        <f ca="1">U$25*(1-'Annexe G  Evolution Portefeuill'!$E20)+U$89*'Annexe B  Plan commercial'!$D$23*Hypothèses!$D$57</f>
        <v>0</v>
      </c>
      <c r="W25" s="235">
        <f ca="1">V$25*(1-'Annexe G  Evolution Portefeuill'!$E20)+V$89*'Annexe B  Plan commercial'!$D$23*Hypothèses!$D$57</f>
        <v>0</v>
      </c>
      <c r="X25" s="235">
        <f ca="1">W$25*(1-'Annexe G  Evolution Portefeuill'!$E20)+W$89*'Annexe B  Plan commercial'!$D$23*Hypothèses!$D$57</f>
        <v>0</v>
      </c>
      <c r="Y25" s="235">
        <f ca="1">X$25*(1-'Annexe G  Evolution Portefeuill'!$E20)+X$89*'Annexe B  Plan commercial'!$D$23*Hypothèses!$D$57</f>
        <v>0</v>
      </c>
      <c r="Z25" s="235">
        <f ca="1">Y$25*(1-'Annexe G  Evolution Portefeuill'!$E20)+Y$89*'Annexe B  Plan commercial'!$D$23*Hypothèses!$D$57</f>
        <v>0</v>
      </c>
      <c r="AA25" s="235">
        <f ca="1">Z$25*(1-'Annexe G  Evolution Portefeuill'!$E20)+Z$89*'Annexe B  Plan commercial'!$D$23*Hypothèses!$D$57</f>
        <v>0</v>
      </c>
      <c r="AB25" s="235">
        <f ca="1">AA$25*(1-'Annexe G  Evolution Portefeuill'!$E20)+AA$89*'Annexe B  Plan commercial'!$D$23*Hypothèses!$D$57</f>
        <v>0</v>
      </c>
      <c r="AC25" s="235">
        <f ca="1">AB$25*(1-'Annexe G  Evolution Portefeuill'!$E20)+AB$89*'Annexe B  Plan commercial'!$D$23*Hypothèses!$D$57</f>
        <v>0</v>
      </c>
      <c r="AD25" s="235">
        <f ca="1">AC$25*(1-'Annexe G  Evolution Portefeuill'!$E20)+AC$89*'Annexe B  Plan commercial'!$D$23*Hypothèses!$D$57</f>
        <v>0</v>
      </c>
      <c r="AE25" s="235">
        <f ca="1">AD$25*(1-'Annexe G  Evolution Portefeuill'!$E20)+AD$89*'Annexe B  Plan commercial'!$D$23*Hypothèses!$D$57</f>
        <v>0</v>
      </c>
      <c r="AF25" s="235">
        <f ca="1">AE$25*(1-'Annexe G  Evolution Portefeuill'!$E20)+AE$89*'Annexe B  Plan commercial'!$D$23*Hypothèses!$D$57</f>
        <v>0</v>
      </c>
      <c r="AG25" s="236">
        <f ca="1">AF$25*(1-'Annexe G  Evolution Portefeuill'!$E20)+AF$89*'Annexe B  Plan commercial'!$D$23*Hypothèses!$D$57</f>
        <v>0</v>
      </c>
      <c r="AH25" s="235">
        <f ca="1">AG$25*(1-'Annexe G  Evolution Portefeuill'!$F20)+AG$89*'Annexe B  Plan commercial'!$E$23*Hypothèses!$E$57</f>
        <v>0</v>
      </c>
      <c r="AI25" s="235">
        <f ca="1">AH$25*(1-'Annexe G  Evolution Portefeuill'!$F20)+AH$89*'Annexe B  Plan commercial'!$E$23*Hypothèses!$E$57</f>
        <v>0</v>
      </c>
      <c r="AJ25" s="235">
        <f ca="1">AI$25*(1-'Annexe G  Evolution Portefeuill'!$F20)+AI$89*'Annexe B  Plan commercial'!$E$23*Hypothèses!$E$57</f>
        <v>0</v>
      </c>
      <c r="AK25" s="235">
        <f ca="1">AJ$25*(1-'Annexe G  Evolution Portefeuill'!$F20)+AJ$89*'Annexe B  Plan commercial'!$E$23*Hypothèses!$E$57</f>
        <v>0</v>
      </c>
      <c r="AL25" s="235">
        <f ca="1">AK$25*(1-'Annexe G  Evolution Portefeuill'!$F20)+AK$89*'Annexe B  Plan commercial'!$E$23*Hypothèses!$E$57</f>
        <v>0</v>
      </c>
      <c r="AM25" s="235">
        <f ca="1">AL$25*(1-'Annexe G  Evolution Portefeuill'!$F20)+AL$89*'Annexe B  Plan commercial'!$E$23*Hypothèses!$E$57</f>
        <v>0</v>
      </c>
      <c r="AN25" s="235">
        <f ca="1">AM$25*(1-'Annexe G  Evolution Portefeuill'!$F20)+AM$89*'Annexe B  Plan commercial'!$E$23*Hypothèses!$E$57</f>
        <v>0</v>
      </c>
      <c r="AO25" s="235">
        <f ca="1">AN$25*(1-'Annexe G  Evolution Portefeuill'!$F20)+AN$89*'Annexe B  Plan commercial'!$E$23*Hypothèses!$E$57</f>
        <v>0</v>
      </c>
      <c r="AP25" s="235">
        <f ca="1">AO$25*(1-'Annexe G  Evolution Portefeuill'!$F20)+AO$89*'Annexe B  Plan commercial'!$E$23*Hypothèses!$E$57</f>
        <v>0</v>
      </c>
      <c r="AQ25" s="235">
        <f ca="1">AP$25*(1-'Annexe G  Evolution Portefeuill'!$F20)+AP$89*'Annexe B  Plan commercial'!$E$23*Hypothèses!$E$57</f>
        <v>0</v>
      </c>
      <c r="AR25" s="235">
        <f ca="1">AQ$25*(1-'Annexe G  Evolution Portefeuill'!$F20)+AQ$89*'Annexe B  Plan commercial'!$E$23*Hypothèses!$E$57</f>
        <v>0</v>
      </c>
      <c r="AS25" s="235">
        <f ca="1">AR$25*(1-'Annexe G  Evolution Portefeuill'!$F20)+AR$89*'Annexe B  Plan commercial'!$E$23*Hypothèses!$E$57</f>
        <v>0</v>
      </c>
      <c r="AT25" s="237">
        <f ca="1">AS$25*(1-'Annexe G  Evolution Portefeuill'!$G21)+AS$89*'Annexe B  Plan commercial'!$F$23*Hypothèses!$F$57</f>
        <v>0</v>
      </c>
      <c r="AU25" s="235">
        <f ca="1">AT$25*(1-'Annexe G  Evolution Portefeuill'!$G21)+AT$89*'Annexe B  Plan commercial'!$F$23*Hypothèses!$F$57</f>
        <v>0</v>
      </c>
      <c r="AV25" s="235">
        <f ca="1">AU$25*(1-'Annexe G  Evolution Portefeuill'!$G21)+AU$89*'Annexe B  Plan commercial'!$F$23*Hypothèses!$F$57</f>
        <v>0</v>
      </c>
      <c r="AW25" s="235">
        <f ca="1">AV$25*(1-'Annexe G  Evolution Portefeuill'!$G21)+AV$89*'Annexe B  Plan commercial'!$F$23*Hypothèses!$F$57</f>
        <v>0</v>
      </c>
      <c r="AX25" s="235">
        <f ca="1">AW$25*(1-'Annexe G  Evolution Portefeuill'!$G21)+AW$89*'Annexe B  Plan commercial'!$F$23*Hypothèses!$F$57</f>
        <v>0</v>
      </c>
      <c r="AY25" s="235">
        <f ca="1">AX$25*(1-'Annexe G  Evolution Portefeuill'!$G21)+AX$89*'Annexe B  Plan commercial'!$F$23*Hypothèses!$F$57</f>
        <v>0</v>
      </c>
      <c r="AZ25" s="235">
        <f ca="1">AY$25*(1-'Annexe G  Evolution Portefeuill'!$G21)+AY$89*'Annexe B  Plan commercial'!$F$23*Hypothèses!$F$57</f>
        <v>0</v>
      </c>
      <c r="BA25" s="235">
        <f ca="1">AZ$25*(1-'Annexe G  Evolution Portefeuill'!$G21)+AZ$89*'Annexe B  Plan commercial'!$F$23*Hypothèses!$F$57</f>
        <v>0</v>
      </c>
      <c r="BB25" s="235">
        <f ca="1">BA$25*(1-'Annexe G  Evolution Portefeuill'!$G21)+BA$89*'Annexe B  Plan commercial'!$F$23*Hypothèses!$F$57</f>
        <v>0</v>
      </c>
      <c r="BC25" s="235">
        <f ca="1">BB$25*(1-'Annexe G  Evolution Portefeuill'!$G21)+BB$89*'Annexe B  Plan commercial'!$F$23*Hypothèses!$F$57</f>
        <v>0</v>
      </c>
      <c r="BD25" s="235">
        <f ca="1">BC$25*(1-'Annexe G  Evolution Portefeuill'!$G21)+BC$89*'Annexe B  Plan commercial'!$F$23*Hypothèses!$F$57</f>
        <v>0</v>
      </c>
      <c r="BE25" s="236">
        <f ca="1">BD$25*(1-'Annexe G  Evolution Portefeuill'!$G21)+BD$89*'Annexe B  Plan commercial'!$F$23*Hypothèses!$F$57</f>
        <v>0</v>
      </c>
      <c r="BF25" s="235">
        <f ca="1">BE$25*(1-'Annexe G  Evolution Portefeuill'!$H21)+BE$89*'Annexe B  Plan commercial'!$G$23*Hypothèses!$G$57</f>
        <v>0</v>
      </c>
      <c r="BG25" s="235">
        <f ca="1">BF$25*(1-'Annexe G  Evolution Portefeuill'!$H21)+BF$89*'Annexe B  Plan commercial'!$G$23*Hypothèses!$G$57</f>
        <v>0</v>
      </c>
      <c r="BH25" s="235">
        <f ca="1">BG$25*(1-'Annexe G  Evolution Portefeuill'!$H21)+BG$89*'Annexe B  Plan commercial'!$G$23*Hypothèses!$G$57</f>
        <v>0</v>
      </c>
      <c r="BI25" s="235">
        <f ca="1">BH$25*(1-'Annexe G  Evolution Portefeuill'!$H21)+BH$89*'Annexe B  Plan commercial'!$G$23*Hypothèses!$G$57</f>
        <v>0</v>
      </c>
      <c r="BJ25" s="235">
        <f ca="1">BI$25*(1-'Annexe G  Evolution Portefeuill'!$H21)+BI$89*'Annexe B  Plan commercial'!$G$23*Hypothèses!$G$57</f>
        <v>0</v>
      </c>
      <c r="BK25" s="235">
        <f ca="1">BJ$25*(1-'Annexe G  Evolution Portefeuill'!$H21)+BJ$89*'Annexe B  Plan commercial'!$G$23*Hypothèses!$G$57</f>
        <v>0</v>
      </c>
      <c r="BL25" s="235">
        <f ca="1">BK$25*(1-'Annexe G  Evolution Portefeuill'!$H21)+BK$89*'Annexe B  Plan commercial'!$G$23*Hypothèses!$G$57</f>
        <v>0</v>
      </c>
      <c r="BM25" s="235">
        <f ca="1">BL$25*(1-'Annexe G  Evolution Portefeuill'!$H21)+BL$89*'Annexe B  Plan commercial'!$G$23*Hypothèses!$G$57</f>
        <v>0</v>
      </c>
      <c r="BN25" s="235">
        <f ca="1">BM$25*(1-'Annexe G  Evolution Portefeuill'!$H21)+BM$89*'Annexe B  Plan commercial'!$G$23*Hypothèses!$G$57</f>
        <v>0</v>
      </c>
      <c r="BO25" s="235">
        <f ca="1">BN$25*(1-'Annexe G  Evolution Portefeuill'!$H21)+BN$89*'Annexe B  Plan commercial'!$G$23*Hypothèses!$G$57</f>
        <v>0</v>
      </c>
      <c r="BP25" s="235">
        <f ca="1">BO$25*(1-'Annexe G  Evolution Portefeuill'!$H21)+BO$89*'Annexe B  Plan commercial'!$G$23*Hypothèses!$G$57</f>
        <v>0</v>
      </c>
      <c r="BQ25" s="235">
        <f ca="1">BP$25*(1-'Annexe G  Evolution Portefeuill'!$H21)+BP$89*'Annexe B  Plan commercial'!$G$23*Hypothèses!$G$57</f>
        <v>0</v>
      </c>
      <c r="BR25" s="238">
        <f ca="1">BQ$25*(1-'Annexe G  Evolution Portefeuill'!$I21)+BQ$89*'Annexe B  Plan commercial'!$G$23*Hypothèses!$G$57</f>
        <v>0</v>
      </c>
      <c r="BS25" s="235">
        <f ca="1">BR$25*(1-'Annexe G  Evolution Portefeuill'!$I21)+BR$89*'Annexe B  Plan commercial'!$G$23*Hypothèses!$G$57</f>
        <v>0</v>
      </c>
      <c r="BT25" s="235">
        <f ca="1">BS$25*(1-'Annexe G  Evolution Portefeuill'!$I21)+BS$89*'Annexe B  Plan commercial'!$G$23*Hypothèses!$G$57</f>
        <v>0</v>
      </c>
      <c r="BU25" s="235">
        <f ca="1">BT$25*(1-'Annexe G  Evolution Portefeuill'!$I21)+BT$89*'Annexe B  Plan commercial'!$G$23*Hypothèses!$G$57</f>
        <v>0</v>
      </c>
      <c r="BV25" s="235">
        <f ca="1">BU$25*(1-'Annexe G  Evolution Portefeuill'!$I21)+BU$89*'Annexe B  Plan commercial'!$G$23*Hypothèses!$G$57</f>
        <v>0</v>
      </c>
      <c r="BW25" s="235">
        <f ca="1">BV$25*(1-'Annexe G  Evolution Portefeuill'!$I21)+BV$89*'Annexe B  Plan commercial'!$G$23*Hypothèses!$G$57</f>
        <v>0</v>
      </c>
      <c r="BX25" s="235">
        <f ca="1">BW$25*(1-'Annexe G  Evolution Portefeuill'!$I21)+BW$89*'Annexe B  Plan commercial'!$G$23*Hypothèses!$G$57</f>
        <v>0</v>
      </c>
      <c r="BY25" s="235">
        <f ca="1">BX$25*(1-'Annexe G  Evolution Portefeuill'!$I21)+BX$89*'Annexe B  Plan commercial'!$G$23*Hypothèses!$G$57</f>
        <v>0</v>
      </c>
      <c r="BZ25" s="235">
        <f ca="1">BY$25*(1-'Annexe G  Evolution Portefeuill'!$I21)+BY$89*'Annexe B  Plan commercial'!$G$23*Hypothèses!$G$57</f>
        <v>0</v>
      </c>
      <c r="CA25" s="235">
        <f ca="1">BZ$25*(1-'Annexe G  Evolution Portefeuill'!$I21)+BZ$89*'Annexe B  Plan commercial'!$G$23*Hypothèses!$G$57</f>
        <v>0</v>
      </c>
      <c r="CB25" s="235">
        <f ca="1">CA$25*(1-'Annexe G  Evolution Portefeuill'!$I21)+CA$89*'Annexe B  Plan commercial'!$G$23*Hypothèses!$G$57</f>
        <v>0</v>
      </c>
      <c r="CC25" s="239">
        <f ca="1">CB$25*(1-'Annexe G  Evolution Portefeuill'!$I21)+CB$89*'Annexe B  Plan commercial'!$G$23*Hypothèses!$G$57</f>
        <v>0</v>
      </c>
      <c r="CD25" s="242"/>
    </row>
    <row r="26" spans="1:82" ht="15">
      <c r="A26" s="243" t="s">
        <v>146</v>
      </c>
      <c r="B26" s="241"/>
      <c r="C26" s="234">
        <v>0</v>
      </c>
      <c r="D26" s="235">
        <f>C$26*(1-'Annexe G  Evolution Portefeuill'!$C20)+C$90*'Annexe B  Plan commercial'!$B$29*Hypothèses!$B$58</f>
        <v>0</v>
      </c>
      <c r="E26" s="235">
        <f>D$26*(1-'Annexe G  Evolution Portefeuill'!$C20)+D$90*'Annexe B  Plan commercial'!$B$29*Hypothèses!$B$58</f>
        <v>0</v>
      </c>
      <c r="F26" s="235">
        <f>E$26*(1-'Annexe G  Evolution Portefeuill'!$C20)+E$90*'Annexe B  Plan commercial'!$B$29*Hypothèses!$B$58</f>
        <v>0</v>
      </c>
      <c r="G26" s="235">
        <f>F$26*(1-'Annexe G  Evolution Portefeuill'!$C20)+F$90*'Annexe B  Plan commercial'!$B$29*Hypothèses!$B$58</f>
        <v>0</v>
      </c>
      <c r="H26" s="235">
        <f>G$26*(1-'Annexe G  Evolution Portefeuill'!$C20)+G$90*'Annexe B  Plan commercial'!$B$29*Hypothèses!$B$58</f>
        <v>0</v>
      </c>
      <c r="I26" s="236">
        <f>H$26*(1-'Annexe G  Evolution Portefeuill'!$C20)+H$90*'Annexe B  Plan commercial'!$B$29*Hypothèses!$B$58</f>
        <v>0</v>
      </c>
      <c r="J26" s="235">
        <f>I$26*(1-'Annexe G  Evolution Portefeuill'!$D20)+I$90*'Annexe B  Plan commercial'!$C$29*Hypothèses!$C$58</f>
        <v>0</v>
      </c>
      <c r="K26" s="235">
        <f ca="1">J$26*(1-'Annexe G  Evolution Portefeuill'!$D20)+J$90*'Annexe B  Plan commercial'!$C$29*Hypothèses!$C$58</f>
        <v>0</v>
      </c>
      <c r="L26" s="235">
        <f ca="1">K$26*(1-'Annexe G  Evolution Portefeuill'!$D20)+K$90*'Annexe B  Plan commercial'!$C$29*Hypothèses!$C$58</f>
        <v>0</v>
      </c>
      <c r="M26" s="235">
        <f ca="1">L$26*(1-'Annexe G  Evolution Portefeuill'!$D20)+L$90*'Annexe B  Plan commercial'!$C$29*Hypothèses!$C$58</f>
        <v>0</v>
      </c>
      <c r="N26" s="235">
        <f ca="1">M$26*(1-'Annexe G  Evolution Portefeuill'!$D20)+M$90*'Annexe B  Plan commercial'!$C$29*Hypothèses!$C$58</f>
        <v>0</v>
      </c>
      <c r="O26" s="235">
        <f ca="1">N$26*(1-'Annexe G  Evolution Portefeuill'!$D20)+N$90*'Annexe B  Plan commercial'!$C$29*Hypothèses!$C$58</f>
        <v>0</v>
      </c>
      <c r="P26" s="235">
        <f ca="1">O$26*(1-'Annexe G  Evolution Portefeuill'!$D20)+O$90*'Annexe B  Plan commercial'!$C$29*Hypothèses!$C$58</f>
        <v>0</v>
      </c>
      <c r="Q26" s="235">
        <f ca="1">P$26*(1-'Annexe G  Evolution Portefeuill'!$D20)+P$90*'Annexe B  Plan commercial'!$C$29*Hypothèses!$C$58</f>
        <v>0</v>
      </c>
      <c r="R26" s="235">
        <f ca="1">Q$26*(1-'Annexe G  Evolution Portefeuill'!$D20)+Q$90*'Annexe B  Plan commercial'!$C$29*Hypothèses!$C$58</f>
        <v>0</v>
      </c>
      <c r="S26" s="235">
        <f ca="1">R$26*(1-'Annexe G  Evolution Portefeuill'!$D20)+R$90*'Annexe B  Plan commercial'!$C$29*Hypothèses!$C$58</f>
        <v>0</v>
      </c>
      <c r="T26" s="235">
        <f ca="1">S$26*(1-'Annexe G  Evolution Portefeuill'!$D20)+S$90*'Annexe B  Plan commercial'!$C$29*Hypothèses!$C$58</f>
        <v>0</v>
      </c>
      <c r="U26" s="235">
        <f ca="1">T$26*(1-'Annexe G  Evolution Portefeuill'!$D20)+T$90*'Annexe B  Plan commercial'!$C$29*Hypothèses!$C$58</f>
        <v>0</v>
      </c>
      <c r="V26" s="237">
        <f ca="1">U$26*(1-'Annexe G  Evolution Portefeuill'!$E20)+U$90*'Annexe B  Plan commercial'!$D$29*Hypothèses!$D$58</f>
        <v>0</v>
      </c>
      <c r="W26" s="235">
        <f ca="1">V$26*(1-'Annexe G  Evolution Portefeuill'!$E20)+V$90*'Annexe B  Plan commercial'!$D$29*Hypothèses!$D$58</f>
        <v>0</v>
      </c>
      <c r="X26" s="235">
        <f ca="1">W$26*(1-'Annexe G  Evolution Portefeuill'!$E20)+W$90*'Annexe B  Plan commercial'!$D$29*Hypothèses!$D$58</f>
        <v>0</v>
      </c>
      <c r="Y26" s="235">
        <f ca="1">X$26*(1-'Annexe G  Evolution Portefeuill'!$E20)+X$90*'Annexe B  Plan commercial'!$D$29*Hypothèses!$D$58</f>
        <v>0</v>
      </c>
      <c r="Z26" s="235">
        <f ca="1">Y$26*(1-'Annexe G  Evolution Portefeuill'!$E20)+Y$90*'Annexe B  Plan commercial'!$D$29*Hypothèses!$D$58</f>
        <v>0</v>
      </c>
      <c r="AA26" s="235">
        <f ca="1">Z$26*(1-'Annexe G  Evolution Portefeuill'!$E20)+Z$90*'Annexe B  Plan commercial'!$D$29*Hypothèses!$D$58</f>
        <v>0</v>
      </c>
      <c r="AB26" s="235">
        <f ca="1">AA$26*(1-'Annexe G  Evolution Portefeuill'!$E20)+AA$90*'Annexe B  Plan commercial'!$D$29*Hypothèses!$D$58</f>
        <v>0</v>
      </c>
      <c r="AC26" s="235">
        <f ca="1">AB$26*(1-'Annexe G  Evolution Portefeuill'!$E20)+AB$90*'Annexe B  Plan commercial'!$D$29*Hypothèses!$D$58</f>
        <v>0</v>
      </c>
      <c r="AD26" s="235">
        <f ca="1">AC$26*(1-'Annexe G  Evolution Portefeuill'!$E20)+AC$90*'Annexe B  Plan commercial'!$D$29*Hypothèses!$D$58</f>
        <v>0</v>
      </c>
      <c r="AE26" s="235">
        <f ca="1">AD$26*(1-'Annexe G  Evolution Portefeuill'!$E20)+AD$90*'Annexe B  Plan commercial'!$D$29*Hypothèses!$D$58</f>
        <v>0</v>
      </c>
      <c r="AF26" s="235">
        <f ca="1">AE$26*(1-'Annexe G  Evolution Portefeuill'!$E20)+AE$90*'Annexe B  Plan commercial'!$D$29*Hypothèses!$D$58</f>
        <v>0</v>
      </c>
      <c r="AG26" s="236">
        <f ca="1">AF$26*(1-'Annexe G  Evolution Portefeuill'!$E20)+AF$90*'Annexe B  Plan commercial'!$D$29*Hypothèses!$D$58</f>
        <v>0</v>
      </c>
      <c r="AH26" s="235">
        <f ca="1">AG$26*(1-'Annexe G  Evolution Portefeuill'!$F20)+AG$90*'Annexe B  Plan commercial'!$E$29*Hypothèses!$E$58</f>
        <v>0</v>
      </c>
      <c r="AI26" s="235">
        <f ca="1">AH$26*(1-'Annexe G  Evolution Portefeuill'!$F20)+AH$90*'Annexe B  Plan commercial'!$E$29*Hypothèses!$E$58</f>
        <v>0</v>
      </c>
      <c r="AJ26" s="235">
        <f ca="1">AI$26*(1-'Annexe G  Evolution Portefeuill'!$F20)+AI$90*'Annexe B  Plan commercial'!$E$29*Hypothèses!$E$58</f>
        <v>0</v>
      </c>
      <c r="AK26" s="235">
        <f ca="1">AJ$26*(1-'Annexe G  Evolution Portefeuill'!$F20)+AJ$90*'Annexe B  Plan commercial'!$E$29*Hypothèses!$E$58</f>
        <v>0</v>
      </c>
      <c r="AL26" s="235">
        <f ca="1">AK$26*(1-'Annexe G  Evolution Portefeuill'!$F20)+AK$90*'Annexe B  Plan commercial'!$E$29*Hypothèses!$E$58</f>
        <v>0</v>
      </c>
      <c r="AM26" s="235">
        <f ca="1">AL$26*(1-'Annexe G  Evolution Portefeuill'!$F20)+AL$90*'Annexe B  Plan commercial'!$E$29*Hypothèses!$E$58</f>
        <v>0</v>
      </c>
      <c r="AN26" s="235">
        <f ca="1">AM$26*(1-'Annexe G  Evolution Portefeuill'!$F20)+AM$90*'Annexe B  Plan commercial'!$E$29*Hypothèses!$E$58</f>
        <v>0</v>
      </c>
      <c r="AO26" s="235">
        <f ca="1">AN$26*(1-'Annexe G  Evolution Portefeuill'!$F20)+AN$90*'Annexe B  Plan commercial'!$E$29*Hypothèses!$E$58</f>
        <v>0</v>
      </c>
      <c r="AP26" s="235">
        <f ca="1">AO$26*(1-'Annexe G  Evolution Portefeuill'!$F20)+AO$90*'Annexe B  Plan commercial'!$E$29*Hypothèses!$E$58</f>
        <v>0</v>
      </c>
      <c r="AQ26" s="235">
        <f ca="1">AP$26*(1-'Annexe G  Evolution Portefeuill'!$F20)+AP$90*'Annexe B  Plan commercial'!$E$29*Hypothèses!$E$58</f>
        <v>0</v>
      </c>
      <c r="AR26" s="235">
        <f ca="1">AQ$26*(1-'Annexe G  Evolution Portefeuill'!$F20)+AQ$90*'Annexe B  Plan commercial'!$E$29*Hypothèses!$E$58</f>
        <v>0</v>
      </c>
      <c r="AS26" s="235">
        <f ca="1">AR$26*(1-'Annexe G  Evolution Portefeuill'!$F20)+AR$90*'Annexe B  Plan commercial'!$E$29*Hypothèses!$E$58</f>
        <v>0</v>
      </c>
      <c r="AT26" s="237">
        <f ca="1">AS$26*(1-'Annexe G  Evolution Portefeuill'!$G22)+AS$90*'Annexe B  Plan commercial'!$F$29*Hypothèses!$F$58</f>
        <v>0</v>
      </c>
      <c r="AU26" s="235">
        <f ca="1">AT$26*(1-'Annexe G  Evolution Portefeuill'!$G22)+AT$90*'Annexe B  Plan commercial'!$F$29*Hypothèses!$F$58</f>
        <v>0</v>
      </c>
      <c r="AV26" s="235">
        <f ca="1">AU$26*(1-'Annexe G  Evolution Portefeuill'!$G22)+AU$90*'Annexe B  Plan commercial'!$F$29*Hypothèses!$F$58</f>
        <v>0</v>
      </c>
      <c r="AW26" s="235">
        <f ca="1">AV$26*(1-'Annexe G  Evolution Portefeuill'!$G22)+AV$90*'Annexe B  Plan commercial'!$F$29*Hypothèses!$F$58</f>
        <v>0</v>
      </c>
      <c r="AX26" s="235">
        <f ca="1">AW$26*(1-'Annexe G  Evolution Portefeuill'!$G22)+AW$90*'Annexe B  Plan commercial'!$F$29*Hypothèses!$F$58</f>
        <v>0</v>
      </c>
      <c r="AY26" s="235">
        <f ca="1">AX$26*(1-'Annexe G  Evolution Portefeuill'!$G22)+AX$90*'Annexe B  Plan commercial'!$F$29*Hypothèses!$F$58</f>
        <v>0</v>
      </c>
      <c r="AZ26" s="235">
        <f ca="1">AY$26*(1-'Annexe G  Evolution Portefeuill'!$G22)+AY$90*'Annexe B  Plan commercial'!$F$29*Hypothèses!$F$58</f>
        <v>0</v>
      </c>
      <c r="BA26" s="235">
        <f ca="1">AZ$26*(1-'Annexe G  Evolution Portefeuill'!$G22)+AZ$90*'Annexe B  Plan commercial'!$F$29*Hypothèses!$F$58</f>
        <v>0</v>
      </c>
      <c r="BB26" s="235">
        <f ca="1">BA$26*(1-'Annexe G  Evolution Portefeuill'!$G22)+BA$90*'Annexe B  Plan commercial'!$F$29*Hypothèses!$F$58</f>
        <v>0</v>
      </c>
      <c r="BC26" s="235">
        <f ca="1">BB$26*(1-'Annexe G  Evolution Portefeuill'!$G22)+BB$90*'Annexe B  Plan commercial'!$F$29*Hypothèses!$F$58</f>
        <v>0</v>
      </c>
      <c r="BD26" s="235">
        <f ca="1">BC$26*(1-'Annexe G  Evolution Portefeuill'!$G22)+BC$90*'Annexe B  Plan commercial'!$F$29*Hypothèses!$F$58</f>
        <v>0</v>
      </c>
      <c r="BE26" s="236">
        <f ca="1">BD$26*(1-'Annexe G  Evolution Portefeuill'!$G22)+BD$90*'Annexe B  Plan commercial'!$F$29*Hypothèses!$F$58</f>
        <v>0</v>
      </c>
      <c r="BF26" s="235">
        <f ca="1">BE$26*(1-'Annexe G  Evolution Portefeuill'!$H22)+BE$90*'Annexe B  Plan commercial'!$G$29*Hypothèses!$G$58</f>
        <v>0</v>
      </c>
      <c r="BG26" s="235">
        <f ca="1">BF$26*(1-'Annexe G  Evolution Portefeuill'!$H22)+BF$90*'Annexe B  Plan commercial'!$G$29*Hypothèses!$G$58</f>
        <v>0</v>
      </c>
      <c r="BH26" s="235">
        <f ca="1">BG$26*(1-'Annexe G  Evolution Portefeuill'!$H22)+BG$90*'Annexe B  Plan commercial'!$G$29*Hypothèses!$G$58</f>
        <v>0</v>
      </c>
      <c r="BI26" s="235">
        <f ca="1">BH$26*(1-'Annexe G  Evolution Portefeuill'!$H22)+BH$90*'Annexe B  Plan commercial'!$G$29*Hypothèses!$G$58</f>
        <v>0</v>
      </c>
      <c r="BJ26" s="235">
        <f ca="1">BI$26*(1-'Annexe G  Evolution Portefeuill'!$H22)+BI$90*'Annexe B  Plan commercial'!$G$29*Hypothèses!$G$58</f>
        <v>0</v>
      </c>
      <c r="BK26" s="235">
        <f ca="1">BJ$26*(1-'Annexe G  Evolution Portefeuill'!$H22)+BJ$90*'Annexe B  Plan commercial'!$G$29*Hypothèses!$G$58</f>
        <v>0</v>
      </c>
      <c r="BL26" s="235">
        <f ca="1">BK$26*(1-'Annexe G  Evolution Portefeuill'!$H22)+BK$90*'Annexe B  Plan commercial'!$G$29*Hypothèses!$G$58</f>
        <v>0</v>
      </c>
      <c r="BM26" s="235">
        <f ca="1">BL$26*(1-'Annexe G  Evolution Portefeuill'!$H22)+BL$90*'Annexe B  Plan commercial'!$G$29*Hypothèses!$G$58</f>
        <v>0</v>
      </c>
      <c r="BN26" s="235">
        <f ca="1">BM$26*(1-'Annexe G  Evolution Portefeuill'!$H22)+BM$90*'Annexe B  Plan commercial'!$G$29*Hypothèses!$G$58</f>
        <v>0</v>
      </c>
      <c r="BO26" s="235">
        <f ca="1">BN$26*(1-'Annexe G  Evolution Portefeuill'!$H22)+BN$90*'Annexe B  Plan commercial'!$G$29*Hypothèses!$G$58</f>
        <v>0</v>
      </c>
      <c r="BP26" s="235">
        <f ca="1">BO$26*(1-'Annexe G  Evolution Portefeuill'!$H22)+BO$90*'Annexe B  Plan commercial'!$G$29*Hypothèses!$G$58</f>
        <v>0</v>
      </c>
      <c r="BQ26" s="235">
        <f ca="1">BP$26*(1-'Annexe G  Evolution Portefeuill'!$H22)+BP$90*'Annexe B  Plan commercial'!$G$29*Hypothèses!$G$58</f>
        <v>0</v>
      </c>
      <c r="BR26" s="238">
        <f ca="1">BQ$26*(1-'Annexe G  Evolution Portefeuill'!$I22)+BQ$90*'Annexe B  Plan commercial'!$G$29*Hypothèses!$G$58</f>
        <v>0</v>
      </c>
      <c r="BS26" s="235">
        <f ca="1">BR$26*(1-'Annexe G  Evolution Portefeuill'!$I22)+BR$90*'Annexe B  Plan commercial'!$G$29*Hypothèses!$G$58</f>
        <v>0</v>
      </c>
      <c r="BT26" s="235">
        <f ca="1">BS$26*(1-'Annexe G  Evolution Portefeuill'!$I22)+BS$90*'Annexe B  Plan commercial'!$G$29*Hypothèses!$G$58</f>
        <v>0</v>
      </c>
      <c r="BU26" s="235">
        <f ca="1">BT$26*(1-'Annexe G  Evolution Portefeuill'!$I22)+BT$90*'Annexe B  Plan commercial'!$G$29*Hypothèses!$G$58</f>
        <v>0</v>
      </c>
      <c r="BV26" s="235">
        <f ca="1">BU$26*(1-'Annexe G  Evolution Portefeuill'!$I22)+BU$90*'Annexe B  Plan commercial'!$G$29*Hypothèses!$G$58</f>
        <v>0</v>
      </c>
      <c r="BW26" s="235">
        <f ca="1">BV$26*(1-'Annexe G  Evolution Portefeuill'!$I22)+BV$90*'Annexe B  Plan commercial'!$G$29*Hypothèses!$G$58</f>
        <v>0</v>
      </c>
      <c r="BX26" s="235">
        <f ca="1">BW$26*(1-'Annexe G  Evolution Portefeuill'!$I22)+BW$90*'Annexe B  Plan commercial'!$G$29*Hypothèses!$G$58</f>
        <v>0</v>
      </c>
      <c r="BY26" s="235">
        <f ca="1">BX$26*(1-'Annexe G  Evolution Portefeuill'!$I22)+BX$90*'Annexe B  Plan commercial'!$G$29*Hypothèses!$G$58</f>
        <v>0</v>
      </c>
      <c r="BZ26" s="235">
        <f ca="1">BY$26*(1-'Annexe G  Evolution Portefeuill'!$I22)+BY$90*'Annexe B  Plan commercial'!$G$29*Hypothèses!$G$58</f>
        <v>0</v>
      </c>
      <c r="CA26" s="235">
        <f ca="1">BZ$26*(1-'Annexe G  Evolution Portefeuill'!$I22)+BZ$90*'Annexe B  Plan commercial'!$G$29*Hypothèses!$G$58</f>
        <v>0</v>
      </c>
      <c r="CB26" s="235">
        <f ca="1">CA$26*(1-'Annexe G  Evolution Portefeuill'!$I22)+CA$90*'Annexe B  Plan commercial'!$G$29*Hypothèses!$G$58</f>
        <v>0</v>
      </c>
      <c r="CC26" s="239">
        <f ca="1">CB$26*(1-'Annexe G  Evolution Portefeuill'!$I22)+CB$90*'Annexe B  Plan commercial'!$G$29*Hypothèses!$G$58</f>
        <v>0</v>
      </c>
      <c r="CD26" s="242"/>
    </row>
    <row r="27" spans="1:82" ht="15">
      <c r="A27" s="233"/>
      <c r="B27" s="241"/>
      <c r="C27" s="227"/>
      <c r="D27" s="228"/>
      <c r="E27" s="228"/>
      <c r="F27" s="228"/>
      <c r="G27" s="228"/>
      <c r="H27" s="228"/>
      <c r="I27" s="229"/>
      <c r="J27" s="228"/>
      <c r="K27" s="228"/>
      <c r="L27" s="228"/>
      <c r="M27" s="228"/>
      <c r="N27" s="228"/>
      <c r="O27" s="228"/>
      <c r="P27" s="228"/>
      <c r="Q27" s="228"/>
      <c r="R27" s="228"/>
      <c r="S27" s="228"/>
      <c r="T27" s="228"/>
      <c r="U27" s="228"/>
      <c r="V27" s="227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9"/>
      <c r="AH27" s="22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7"/>
      <c r="AU27" s="228"/>
      <c r="AV27" s="228"/>
      <c r="AW27" s="228"/>
      <c r="AX27" s="228"/>
      <c r="AY27" s="228"/>
      <c r="AZ27" s="228"/>
      <c r="BA27" s="228"/>
      <c r="BB27" s="228"/>
      <c r="BC27" s="228"/>
      <c r="BD27" s="228"/>
      <c r="BE27" s="229"/>
      <c r="BF27" s="228"/>
      <c r="BG27" s="228"/>
      <c r="BH27" s="228"/>
      <c r="BI27" s="228"/>
      <c r="BJ27" s="228"/>
      <c r="BK27" s="228"/>
      <c r="BL27" s="228"/>
      <c r="BM27" s="228"/>
      <c r="BN27" s="228"/>
      <c r="BO27" s="228"/>
      <c r="BP27" s="228"/>
      <c r="BQ27" s="228"/>
      <c r="BR27" s="230"/>
      <c r="BS27" s="228"/>
      <c r="BT27" s="228"/>
      <c r="BU27" s="228"/>
      <c r="BV27" s="228"/>
      <c r="BW27" s="228"/>
      <c r="BX27" s="228"/>
      <c r="BY27" s="228"/>
      <c r="BZ27" s="228"/>
      <c r="CA27" s="228"/>
      <c r="CB27" s="228"/>
      <c r="CC27" s="231"/>
      <c r="CD27" s="242"/>
    </row>
    <row r="28" spans="1:82" ht="15">
      <c r="A28" s="233" t="s">
        <v>147</v>
      </c>
      <c r="B28" s="241"/>
      <c r="C28" s="227">
        <f t="shared" ref="C28:CC28" si="6">C29+C30+C31</f>
        <v>46.199999999999996</v>
      </c>
      <c r="D28" s="228">
        <f t="shared" si="6"/>
        <v>47.513945843828708</v>
      </c>
      <c r="E28" s="228">
        <f t="shared" si="6"/>
        <v>48.801612770780842</v>
      </c>
      <c r="F28" s="228">
        <f t="shared" si="6"/>
        <v>50.063526359193936</v>
      </c>
      <c r="G28" s="228">
        <f t="shared" si="6"/>
        <v>51.300201675838771</v>
      </c>
      <c r="H28" s="228">
        <f t="shared" si="6"/>
        <v>52.512143486150705</v>
      </c>
      <c r="I28" s="229">
        <f t="shared" si="6"/>
        <v>53.699846460256403</v>
      </c>
      <c r="J28" s="228">
        <f t="shared" si="6"/>
        <v>55.140892598083532</v>
      </c>
      <c r="K28" s="228">
        <f t="shared" ca="1" si="6"/>
        <v>56.743916062419764</v>
      </c>
      <c r="L28" s="228">
        <f t="shared" ca="1" si="6"/>
        <v>57.268886616130104</v>
      </c>
      <c r="M28" s="228">
        <f t="shared" ca="1" si="6"/>
        <v>58.834670185150522</v>
      </c>
      <c r="N28" s="228">
        <f t="shared" ca="1" si="6"/>
        <v>60.373052541713079</v>
      </c>
      <c r="O28" s="228">
        <f t="shared" ca="1" si="6"/>
        <v>61.884513207035795</v>
      </c>
      <c r="P28" s="228">
        <f t="shared" ca="1" si="6"/>
        <v>63.369523310715358</v>
      </c>
      <c r="Q28" s="228">
        <f t="shared" ca="1" si="6"/>
        <v>65.296534822383222</v>
      </c>
      <c r="R28" s="228">
        <f t="shared" ca="1" si="6"/>
        <v>67.189823632596884</v>
      </c>
      <c r="S28" s="228">
        <f t="shared" ca="1" si="6"/>
        <v>69.04997988863181</v>
      </c>
      <c r="T28" s="228">
        <f t="shared" ca="1" si="6"/>
        <v>70.877583410186134</v>
      </c>
      <c r="U28" s="228">
        <f t="shared" ca="1" si="6"/>
        <v>72.673203870113255</v>
      </c>
      <c r="V28" s="227">
        <f t="shared" ca="1" si="6"/>
        <v>74.619083981666932</v>
      </c>
      <c r="W28" s="228">
        <f t="shared" ca="1" si="6"/>
        <v>76.535775891547303</v>
      </c>
      <c r="X28" s="228">
        <f t="shared" ca="1" si="6"/>
        <v>78.423717422779461</v>
      </c>
      <c r="Y28" s="228">
        <f t="shared" ca="1" si="6"/>
        <v>80.283339831043136</v>
      </c>
      <c r="Z28" s="228">
        <f t="shared" ca="1" si="6"/>
        <v>82.115067903182862</v>
      </c>
      <c r="AA28" s="228">
        <f t="shared" ca="1" si="6"/>
        <v>83.919320054240487</v>
      </c>
      <c r="AB28" s="228">
        <f t="shared" ca="1" si="6"/>
        <v>85.696508423032256</v>
      </c>
      <c r="AC28" s="228">
        <f t="shared" ca="1" si="6"/>
        <v>87.681033508693488</v>
      </c>
      <c r="AD28" s="228">
        <f t="shared" ca="1" si="6"/>
        <v>89.635790718069799</v>
      </c>
      <c r="AE28" s="228">
        <f t="shared" ca="1" si="6"/>
        <v>91.561226569305475</v>
      </c>
      <c r="AF28" s="228">
        <f t="shared" ca="1" si="6"/>
        <v>93.45778088277261</v>
      </c>
      <c r="AG28" s="229">
        <f t="shared" ca="1" si="6"/>
        <v>95.325886881537741</v>
      </c>
      <c r="AH28" s="228">
        <f t="shared" ca="1" si="6"/>
        <v>97.356623064084474</v>
      </c>
      <c r="AI28" s="228">
        <f t="shared" ca="1" si="6"/>
        <v>99.360959676258091</v>
      </c>
      <c r="AJ28" s="228">
        <f t="shared" ca="1" si="6"/>
        <v>101.33923991247346</v>
      </c>
      <c r="AK28" s="228">
        <f t="shared" ca="1" si="6"/>
        <v>103.29180250561802</v>
      </c>
      <c r="AL28" s="228">
        <f t="shared" ca="1" si="6"/>
        <v>105.21898178505171</v>
      </c>
      <c r="AM28" s="228">
        <f t="shared" ca="1" si="6"/>
        <v>107.12110773385275</v>
      </c>
      <c r="AN28" s="228">
        <f t="shared" ca="1" si="6"/>
        <v>108.99850604531939</v>
      </c>
      <c r="AO28" s="228">
        <f t="shared" ca="1" si="6"/>
        <v>110.85149817873696</v>
      </c>
      <c r="AP28" s="228">
        <f t="shared" ca="1" si="6"/>
        <v>112.6804014144201</v>
      </c>
      <c r="AQ28" s="228">
        <f t="shared" ca="1" si="6"/>
        <v>114.48552890803936</v>
      </c>
      <c r="AR28" s="228">
        <f t="shared" ca="1" si="6"/>
        <v>116.26718974424156</v>
      </c>
      <c r="AS28" s="228">
        <f t="shared" ca="1" si="6"/>
        <v>118.02568898957314</v>
      </c>
      <c r="AT28" s="227">
        <f t="shared" ca="1" si="6"/>
        <v>119.87935343370498</v>
      </c>
      <c r="AU28" s="228">
        <f t="shared" ca="1" si="6"/>
        <v>121.71077390450723</v>
      </c>
      <c r="AV28" s="228">
        <f t="shared" ca="1" si="6"/>
        <v>123.52021732965987</v>
      </c>
      <c r="AW28" s="228">
        <f t="shared" ca="1" si="6"/>
        <v>125.30794743371067</v>
      </c>
      <c r="AX28" s="228">
        <f t="shared" ca="1" si="6"/>
        <v>127.07422477651285</v>
      </c>
      <c r="AY28" s="228">
        <f t="shared" ca="1" si="6"/>
        <v>128.8193067912014</v>
      </c>
      <c r="AZ28" s="228">
        <f t="shared" ca="1" si="6"/>
        <v>130.5434478217137</v>
      </c>
      <c r="BA28" s="228">
        <f t="shared" ca="1" si="6"/>
        <v>132.83188551586323</v>
      </c>
      <c r="BB28" s="228">
        <f t="shared" ca="1" si="6"/>
        <v>135.09286195768294</v>
      </c>
      <c r="BC28" s="228">
        <f t="shared" ca="1" si="6"/>
        <v>137.32670668220084</v>
      </c>
      <c r="BD28" s="228">
        <f t="shared" ca="1" si="6"/>
        <v>139.5337452700245</v>
      </c>
      <c r="BE28" s="229">
        <f t="shared" ca="1" si="6"/>
        <v>141.7142993947943</v>
      </c>
      <c r="BF28" s="228">
        <f t="shared" ca="1" si="6"/>
        <v>143.62490526266063</v>
      </c>
      <c r="BG28" s="228">
        <f t="shared" ca="1" si="6"/>
        <v>145.51449446598042</v>
      </c>
      <c r="BH28" s="228">
        <f t="shared" ca="1" si="6"/>
        <v>149.3782981880637</v>
      </c>
      <c r="BI28" s="228">
        <f t="shared" ca="1" si="6"/>
        <v>153.19960006920402</v>
      </c>
      <c r="BJ28" s="228">
        <f t="shared" ca="1" si="6"/>
        <v>158.86886762965187</v>
      </c>
      <c r="BK28" s="228">
        <f t="shared" ca="1" si="6"/>
        <v>166.36577324693476</v>
      </c>
      <c r="BL28" s="228">
        <f t="shared" ca="1" si="6"/>
        <v>173.78021290242754</v>
      </c>
      <c r="BM28" s="228">
        <f t="shared" ca="1" si="6"/>
        <v>190.69984277712553</v>
      </c>
      <c r="BN28" s="228">
        <f t="shared" ca="1" si="6"/>
        <v>207.43335672320183</v>
      </c>
      <c r="BO28" s="228">
        <f t="shared" ca="1" si="6"/>
        <v>223.9828020158713</v>
      </c>
      <c r="BP28" s="228">
        <f t="shared" ca="1" si="6"/>
        <v>240.3502034103214</v>
      </c>
      <c r="BQ28" s="228">
        <f t="shared" ca="1" si="6"/>
        <v>256.53756338943253</v>
      </c>
      <c r="BR28" s="230">
        <f t="shared" ca="1" si="6"/>
        <v>272.29032484538402</v>
      </c>
      <c r="BS28" s="228">
        <f t="shared" ca="1" si="6"/>
        <v>288.90405316386409</v>
      </c>
      <c r="BT28" s="228">
        <f t="shared" ca="1" si="6"/>
        <v>305.3184167425224</v>
      </c>
      <c r="BU28" s="228">
        <f t="shared" ca="1" si="6"/>
        <v>322.58580795823678</v>
      </c>
      <c r="BV28" s="228">
        <f t="shared" ca="1" si="6"/>
        <v>339.64599047936258</v>
      </c>
      <c r="BW28" s="228">
        <f t="shared" ca="1" si="6"/>
        <v>356.50145081023493</v>
      </c>
      <c r="BX28" s="228">
        <f t="shared" ca="1" si="6"/>
        <v>376.30464561713671</v>
      </c>
      <c r="BY28" s="228">
        <f t="shared" ca="1" si="6"/>
        <v>423.80283631063048</v>
      </c>
      <c r="BZ28" s="228">
        <f t="shared" ca="1" si="6"/>
        <v>471.67604871580227</v>
      </c>
      <c r="CA28" s="228">
        <f t="shared" ca="1" si="6"/>
        <v>518.97478257211196</v>
      </c>
      <c r="CB28" s="228">
        <f t="shared" ca="1" si="6"/>
        <v>567.80593162214598</v>
      </c>
      <c r="CC28" s="231">
        <f t="shared" ca="1" si="6"/>
        <v>616.05110688357945</v>
      </c>
      <c r="CD28" s="242"/>
    </row>
    <row r="29" spans="1:82" ht="14" outlineLevel="1">
      <c r="A29" s="233" t="s">
        <v>142</v>
      </c>
      <c r="B29" s="61"/>
      <c r="C29" s="244">
        <f>66*0.7</f>
        <v>46.199999999999996</v>
      </c>
      <c r="D29" s="235">
        <f>C29*(1-'Annexe G  Evolution Portefeuill'!$C$21)+C$86*'Annexe B  Plan commercial'!$B6*Hypothèses!$B$54</f>
        <v>47.513945843828708</v>
      </c>
      <c r="E29" s="235">
        <f>D29*(1-'Annexe G  Evolution Portefeuill'!$C$21)+D$86*'Annexe B  Plan commercial'!$B6*Hypothèses!$B$54</f>
        <v>48.801612770780842</v>
      </c>
      <c r="F29" s="235">
        <f>E29*(1-'Annexe G  Evolution Portefeuill'!$C$21)+E$86*'Annexe B  Plan commercial'!$B6*Hypothèses!$B$54</f>
        <v>50.063526359193936</v>
      </c>
      <c r="G29" s="235">
        <f>F29*(1-'Annexe G  Evolution Portefeuill'!$C$21)+F$86*'Annexe B  Plan commercial'!$B6*Hypothèses!$B$54</f>
        <v>51.300201675838771</v>
      </c>
      <c r="H29" s="235">
        <f>G29*(1-'Annexe G  Evolution Portefeuill'!$C$21)+G$86*'Annexe B  Plan commercial'!$B6*Hypothèses!$B$54</f>
        <v>52.512143486150705</v>
      </c>
      <c r="I29" s="236">
        <f>H29*(1-'Annexe G  Evolution Portefeuill'!$C$21)+H$86*'Annexe B  Plan commercial'!$B6*Hypothèses!$B$54</f>
        <v>53.699846460256403</v>
      </c>
      <c r="J29" s="235">
        <f>I29*(1-'Annexe G  Evolution Portefeuill'!$D$21)+I$86*'Annexe B  Plan commercial'!$C6*Hypothèses!$C$54</f>
        <v>55.140892598083532</v>
      </c>
      <c r="K29" s="235">
        <f ca="1">J29*(1-'Annexe G  Evolution Portefeuill'!$D$21)+J$86*'Annexe B  Plan commercial'!$C6*Hypothèses!$C$54</f>
        <v>56.743916062419764</v>
      </c>
      <c r="L29" s="235">
        <f ca="1">K29*(1-'Annexe G  Evolution Portefeuill'!$D$21)+K$86*'Annexe B  Plan commercial'!$C6*Hypothèses!$C$54</f>
        <v>57.268886616130104</v>
      </c>
      <c r="M29" s="235">
        <f ca="1">L29*(1-'Annexe G  Evolution Portefeuill'!$D$21)+L$86*'Annexe B  Plan commercial'!$C6*Hypothèses!$C$54</f>
        <v>58.834670185150522</v>
      </c>
      <c r="N29" s="235">
        <f ca="1">M29*(1-'Annexe G  Evolution Portefeuill'!$D$21)+M$86*'Annexe B  Plan commercial'!$C6*Hypothèses!$C$54</f>
        <v>60.373052541713079</v>
      </c>
      <c r="O29" s="235">
        <f ca="1">N29*(1-'Annexe G  Evolution Portefeuill'!$D$21)+N$86*'Annexe B  Plan commercial'!$C6*Hypothèses!$C$54</f>
        <v>61.884513207035795</v>
      </c>
      <c r="P29" s="235">
        <f ca="1">O29*(1-'Annexe G  Evolution Portefeuill'!$D$21)+O$86*'Annexe B  Plan commercial'!$C6*Hypothèses!$C$54</f>
        <v>63.369523310715358</v>
      </c>
      <c r="Q29" s="235">
        <f ca="1">P29*(1-'Annexe G  Evolution Portefeuill'!$D$21)+P$86*'Annexe B  Plan commercial'!$C6*Hypothèses!$C$54</f>
        <v>65.296534822383222</v>
      </c>
      <c r="R29" s="235">
        <f ca="1">Q29*(1-'Annexe G  Evolution Portefeuill'!$D$21)+Q$86*'Annexe B  Plan commercial'!$C6*Hypothèses!$C$54</f>
        <v>67.189823632596884</v>
      </c>
      <c r="S29" s="235">
        <f ca="1">R29*(1-'Annexe G  Evolution Portefeuill'!$D$21)+R$86*'Annexe B  Plan commercial'!$C6*Hypothèses!$C$54</f>
        <v>69.04997988863181</v>
      </c>
      <c r="T29" s="235">
        <f ca="1">S29*(1-'Annexe G  Evolution Portefeuill'!$D$21)+S$86*'Annexe B  Plan commercial'!$C6*Hypothèses!$C$54</f>
        <v>70.877583410186134</v>
      </c>
      <c r="U29" s="235">
        <f ca="1">T29*(1-'Annexe G  Evolution Portefeuill'!$D$21)+T$86*'Annexe B  Plan commercial'!$C6*Hypothèses!$C$54</f>
        <v>72.673203870113255</v>
      </c>
      <c r="V29" s="237">
        <f ca="1">U29*(1-'Annexe G  Evolution Portefeuill'!$E$21)+U$86*'Annexe B  Plan commercial'!$D6*Hypothèses!$D$54</f>
        <v>74.619083981666932</v>
      </c>
      <c r="W29" s="235">
        <f ca="1">V29*(1-'Annexe G  Evolution Portefeuill'!$E$21)+V$86*'Annexe B  Plan commercial'!$D6*Hypothèses!$D$54</f>
        <v>76.535775891547303</v>
      </c>
      <c r="X29" s="235">
        <f ca="1">W29*(1-'Annexe G  Evolution Portefeuill'!$E$21)+W$86*'Annexe B  Plan commercial'!$D6*Hypothèses!$D$54</f>
        <v>78.423717422779461</v>
      </c>
      <c r="Y29" s="235">
        <f ca="1">X29*(1-'Annexe G  Evolution Portefeuill'!$E$21)+X$86*'Annexe B  Plan commercial'!$D6*Hypothèses!$D$54</f>
        <v>80.283339831043136</v>
      </c>
      <c r="Z29" s="235">
        <f ca="1">Y29*(1-'Annexe G  Evolution Portefeuill'!$E$21)+Y$86*'Annexe B  Plan commercial'!$D6*Hypothèses!$D$54</f>
        <v>82.115067903182862</v>
      </c>
      <c r="AA29" s="235">
        <f ca="1">Z29*(1-'Annexe G  Evolution Portefeuill'!$E$21)+Z$86*'Annexe B  Plan commercial'!$D6*Hypothèses!$D$54</f>
        <v>83.919320054240487</v>
      </c>
      <c r="AB29" s="235">
        <f ca="1">AA29*(1-'Annexe G  Evolution Portefeuill'!$E$21)+AA$86*'Annexe B  Plan commercial'!$D6*Hypothèses!$D$54</f>
        <v>85.696508423032256</v>
      </c>
      <c r="AC29" s="235">
        <f ca="1">AB29*(1-'Annexe G  Evolution Portefeuill'!$E$21)+AB$86*'Annexe B  Plan commercial'!$D6*Hypothèses!$D$54</f>
        <v>87.681033508693488</v>
      </c>
      <c r="AD29" s="235">
        <f ca="1">AC29*(1-'Annexe G  Evolution Portefeuill'!$E$21)+AC$86*'Annexe B  Plan commercial'!$D6*Hypothèses!$D$54</f>
        <v>89.635790718069799</v>
      </c>
      <c r="AE29" s="235">
        <f ca="1">AD29*(1-'Annexe G  Evolution Portefeuill'!$E$21)+AD$86*'Annexe B  Plan commercial'!$D6*Hypothèses!$D$54</f>
        <v>91.561226569305475</v>
      </c>
      <c r="AF29" s="235">
        <f ca="1">AE29*(1-'Annexe G  Evolution Portefeuill'!$E$21)+AE$86*'Annexe B  Plan commercial'!$D6*Hypothèses!$D$54</f>
        <v>93.45778088277261</v>
      </c>
      <c r="AG29" s="236">
        <f ca="1">AF29*(1-'Annexe G  Evolution Portefeuill'!$E$21)+AF$86*'Annexe B  Plan commercial'!$D6*Hypothèses!$D$54</f>
        <v>95.325886881537741</v>
      </c>
      <c r="AH29" s="235">
        <f ca="1">AG29*(1-'Annexe G  Evolution Portefeuill'!$F$21)+AG$86*'Annexe B  Plan commercial'!$E6*Hypothèses!$E$54</f>
        <v>97.356623064084474</v>
      </c>
      <c r="AI29" s="235">
        <f ca="1">AH29*(1-'Annexe G  Evolution Portefeuill'!$F$21)+AH$86*'Annexe B  Plan commercial'!$E6*Hypothèses!$E$54</f>
        <v>99.360959676258091</v>
      </c>
      <c r="AJ29" s="235">
        <f ca="1">AI29*(1-'Annexe G  Evolution Portefeuill'!$F$21)+AI$86*'Annexe B  Plan commercial'!$E6*Hypothèses!$E$54</f>
        <v>101.33923991247346</v>
      </c>
      <c r="AK29" s="235">
        <f ca="1">AJ29*(1-'Annexe G  Evolution Portefeuill'!$F$21)+AJ$86*'Annexe B  Plan commercial'!$E6*Hypothèses!$E$54</f>
        <v>103.29180250561802</v>
      </c>
      <c r="AL29" s="235">
        <f ca="1">AK29*(1-'Annexe G  Evolution Portefeuill'!$F$21)+AK$86*'Annexe B  Plan commercial'!$E6*Hypothèses!$E$54</f>
        <v>105.21898178505171</v>
      </c>
      <c r="AM29" s="235">
        <f ca="1">AL29*(1-'Annexe G  Evolution Portefeuill'!$F$21)+AL$86*'Annexe B  Plan commercial'!$E6*Hypothèses!$E$54</f>
        <v>107.12110773385275</v>
      </c>
      <c r="AN29" s="235">
        <f ca="1">AM29*(1-'Annexe G  Evolution Portefeuill'!$F$21)+AM$86*'Annexe B  Plan commercial'!$E6*Hypothèses!$E$54</f>
        <v>108.99850604531939</v>
      </c>
      <c r="AO29" s="235">
        <f ca="1">AN29*(1-'Annexe G  Evolution Portefeuill'!$F$21)+AN$86*'Annexe B  Plan commercial'!$E6*Hypothèses!$E$54</f>
        <v>110.85149817873696</v>
      </c>
      <c r="AP29" s="235">
        <f ca="1">AO29*(1-'Annexe G  Evolution Portefeuill'!$F$21)+AO$86*'Annexe B  Plan commercial'!$E6*Hypothèses!$E$54</f>
        <v>112.6804014144201</v>
      </c>
      <c r="AQ29" s="235">
        <f ca="1">AP29*(1-'Annexe G  Evolution Portefeuill'!$F$21)+AP$86*'Annexe B  Plan commercial'!$E6*Hypothèses!$E$54</f>
        <v>114.48552890803936</v>
      </c>
      <c r="AR29" s="235">
        <f ca="1">AQ29*(1-'Annexe G  Evolution Portefeuill'!$F$21)+AQ$86*'Annexe B  Plan commercial'!$E6*Hypothèses!$E$54</f>
        <v>116.26718974424156</v>
      </c>
      <c r="AS29" s="235">
        <f ca="1">AR29*(1-'Annexe G  Evolution Portefeuill'!$F$21)+AR$86*'Annexe B  Plan commercial'!$E6*Hypothèses!$E$54</f>
        <v>118.02568898957314</v>
      </c>
      <c r="AT29" s="237">
        <f ca="1">AS29*(1-'Annexe G  Evolution Portefeuill'!$G$21)+AS$86*'Annexe B  Plan commercial'!$F6*Hypothèses!$F$54</f>
        <v>119.87935343370498</v>
      </c>
      <c r="AU29" s="235">
        <f ca="1">AT29*(1-'Annexe G  Evolution Portefeuill'!$G$21)+AT$86*'Annexe B  Plan commercial'!$F6*Hypothèses!$F$54</f>
        <v>121.71077390450723</v>
      </c>
      <c r="AV29" s="235">
        <f ca="1">AU29*(1-'Annexe G  Evolution Portefeuill'!$G$21)+AU$86*'Annexe B  Plan commercial'!$F6*Hypothèses!$F$54</f>
        <v>123.52021732965987</v>
      </c>
      <c r="AW29" s="235">
        <f ca="1">AV29*(1-'Annexe G  Evolution Portefeuill'!$G$21)+AV$86*'Annexe B  Plan commercial'!$F6*Hypothèses!$F$54</f>
        <v>125.30794743371067</v>
      </c>
      <c r="AX29" s="235">
        <f ca="1">AW29*(1-'Annexe G  Evolution Portefeuill'!$G$21)+AW$86*'Annexe B  Plan commercial'!$F6*Hypothèses!$F$54</f>
        <v>127.07422477651285</v>
      </c>
      <c r="AY29" s="235">
        <f ca="1">AX29*(1-'Annexe G  Evolution Portefeuill'!$G$21)+AX$86*'Annexe B  Plan commercial'!$F6*Hypothèses!$F$54</f>
        <v>128.8193067912014</v>
      </c>
      <c r="AZ29" s="235">
        <f ca="1">AY29*(1-'Annexe G  Evolution Portefeuill'!$G$21)+AY$86*'Annexe B  Plan commercial'!$F6*Hypothèses!$F$54</f>
        <v>130.5434478217137</v>
      </c>
      <c r="BA29" s="235">
        <f ca="1">AZ29*(1-'Annexe G  Evolution Portefeuill'!$G$21)+AZ$86*'Annexe B  Plan commercial'!$F6*Hypothèses!$F$54</f>
        <v>132.83188551586323</v>
      </c>
      <c r="BB29" s="235">
        <f ca="1">BA29*(1-'Annexe G  Evolution Portefeuill'!$G$21)+BA$86*'Annexe B  Plan commercial'!$F6*Hypothèses!$F$54</f>
        <v>135.09286195768294</v>
      </c>
      <c r="BC29" s="235">
        <f ca="1">BB29*(1-'Annexe G  Evolution Portefeuill'!$G$21)+BB$86*'Annexe B  Plan commercial'!$F6*Hypothèses!$F$54</f>
        <v>137.32670668220084</v>
      </c>
      <c r="BD29" s="235">
        <f ca="1">BC29*(1-'Annexe G  Evolution Portefeuill'!$G$21)+BC$86*'Annexe B  Plan commercial'!$F6*Hypothèses!$F$54</f>
        <v>139.5337452700245</v>
      </c>
      <c r="BE29" s="236">
        <f ca="1">BD29*(1-'Annexe G  Evolution Portefeuill'!$G$21)+BD$86*'Annexe B  Plan commercial'!$F6*Hypothèses!$F$54</f>
        <v>141.7142993947943</v>
      </c>
      <c r="BF29" s="235">
        <f ca="1">BE29*(1-'Annexe G  Evolution Portefeuill'!$H$21)+BE$86*'Annexe B  Plan commercial'!$G6*Hypothèses!$G$54</f>
        <v>143.62490526266063</v>
      </c>
      <c r="BG29" s="235">
        <f ca="1">BF29*(1-'Annexe G  Evolution Portefeuill'!$H$21)+BF$86*'Annexe B  Plan commercial'!$G6*Hypothèses!$G$54</f>
        <v>145.51449446598042</v>
      </c>
      <c r="BH29" s="235">
        <f ca="1">BG29*(1-'Annexe G  Evolution Portefeuill'!$H$21)+BG$86*'Annexe B  Plan commercial'!$G6*Hypothèses!$G$54</f>
        <v>148.32829818806368</v>
      </c>
      <c r="BI29" s="235">
        <f ca="1">BH29*(1-'Annexe G  Evolution Portefeuill'!$H$21)+BH$86*'Annexe B  Plan commercial'!$G6*Hypothèses!$G$54</f>
        <v>151.11115006920403</v>
      </c>
      <c r="BJ29" s="235">
        <f ca="1">BI29*(1-'Annexe G  Evolution Portefeuill'!$H$21)+BI$86*'Annexe B  Plan commercial'!$G6*Hypothèses!$G$54</f>
        <v>155.75339057965186</v>
      </c>
      <c r="BK29" s="235">
        <f ca="1">BJ29*(1-'Annexe G  Evolution Portefeuill'!$H$21)+BJ$86*'Annexe B  Plan commercial'!$G6*Hypothèses!$G$54</f>
        <v>162.23456644448476</v>
      </c>
      <c r="BL29" s="235">
        <f ca="1">BK29*(1-'Annexe G  Evolution Portefeuill'!$H$21)+BK$86*'Annexe B  Plan commercial'!$G6*Hypothèses!$G$54</f>
        <v>168.64444937480448</v>
      </c>
      <c r="BM29" s="235">
        <f ca="1">BL29*(1-'Annexe G  Evolution Portefeuill'!$H$21)+BL$86*'Annexe B  Plan commercial'!$G6*Hypothèses!$G$54</f>
        <v>175.29436043168164</v>
      </c>
      <c r="BN29" s="235">
        <f ca="1">BM29*(1-'Annexe G  Evolution Portefeuill'!$H$21)+BM$86*'Annexe B  Plan commercial'!$G6*Hypothèses!$G$54</f>
        <v>181.87112246693314</v>
      </c>
      <c r="BO29" s="235">
        <f ca="1">BN29*(1-'Annexe G  Evolution Portefeuill'!$H$21)+BN$86*'Annexe B  Plan commercial'!$G6*Hypothèses!$G$54</f>
        <v>188.37554011979688</v>
      </c>
      <c r="BP29" s="235">
        <f ca="1">BO29*(1-'Annexe G  Evolution Portefeuill'!$H$21)+BO$86*'Annexe B  Plan commercial'!$G6*Hypothèses!$G$54</f>
        <v>194.80840917847911</v>
      </c>
      <c r="BQ29" s="235">
        <f ca="1">BP29*(1-'Annexe G  Evolution Portefeuill'!$H$21)+BP$86*'Annexe B  Plan commercial'!$G6*Hypothèses!$G$54</f>
        <v>201.17051667751582</v>
      </c>
      <c r="BR29" s="238">
        <f ca="1">BQ29*(1-'Annexe G  Evolution Portefeuill'!$I$21)+BQ$86*'Annexe B  Plan commercial'!$H6*Hypothèses!$H$54</f>
        <v>207.26147047738561</v>
      </c>
      <c r="BS29" s="235">
        <f ca="1">BR29*(1-'Annexe G  Evolution Portefeuill'!$I$21)+BR$86*'Annexe B  Plan commercial'!$H6*Hypothèses!$H$54</f>
        <v>213.27933283165697</v>
      </c>
      <c r="BT29" s="235">
        <f ca="1">BS29*(1-'Annexe G  Evolution Portefeuill'!$I$21)+BS$86*'Annexe B  Plan commercial'!$H6*Hypothèses!$H$54</f>
        <v>219.22498083767709</v>
      </c>
      <c r="BU29" s="235">
        <f ca="1">BT29*(1-'Annexe G  Evolution Portefeuill'!$I$21)+BT$86*'Annexe B  Plan commercial'!$H6*Hypothèses!$H$54</f>
        <v>225.09928106762496</v>
      </c>
      <c r="BV29" s="235">
        <f ca="1">BU29*(1-'Annexe G  Evolution Portefeuill'!$I$21)+BU$86*'Annexe B  Plan commercial'!$H6*Hypothèses!$H$54</f>
        <v>230.90308969481345</v>
      </c>
      <c r="BW29" s="235">
        <f ca="1">BV29*(1-'Annexe G  Evolution Portefeuill'!$I$21)+BV$86*'Annexe B  Plan commercial'!$H6*Hypothèses!$H$54</f>
        <v>236.63725261847569</v>
      </c>
      <c r="BX29" s="235">
        <f ca="1">BW29*(1-'Annexe G  Evolution Portefeuill'!$I$21)+BW$86*'Annexe B  Plan commercial'!$H6*Hypothèses!$H$54</f>
        <v>242.30260558705396</v>
      </c>
      <c r="BY29" s="235">
        <f ca="1">BX29*(1-'Annexe G  Evolution Portefeuill'!$I$21)+BX$86*'Annexe B  Plan commercial'!$H6*Hypothèses!$H$54</f>
        <v>256.32377784645769</v>
      </c>
      <c r="BZ29" s="235">
        <f ca="1">BY29*(1-'Annexe G  Evolution Portefeuill'!$I$21)+BY$86*'Annexe B  Plan commercial'!$H6*Hypothèses!$H$54</f>
        <v>271.12169603874855</v>
      </c>
      <c r="CA29" s="235">
        <f ca="1">BZ29*(1-'Annexe G  Evolution Portefeuill'!$I$21)+BZ$86*'Annexe B  Plan commercial'!$H6*Hypothèses!$H$54</f>
        <v>285.74203921273192</v>
      </c>
      <c r="CB29" s="235">
        <f ca="1">CA29*(1-'Annexe G  Evolution Portefeuill'!$I$21)+CA$86*'Annexe B  Plan commercial'!$H6*Hypothèses!$H$54</f>
        <v>300.1869382686275</v>
      </c>
      <c r="CC29" s="239">
        <f ca="1">CB29*(1-'Annexe G  Evolution Portefeuill'!$I$21)+CB$86*'Annexe B  Plan commercial'!$H6*Hypothèses!$H$54</f>
        <v>314.4584985358523</v>
      </c>
      <c r="CD29" s="240"/>
    </row>
    <row r="30" spans="1:82" ht="14" outlineLevel="1">
      <c r="A30" s="233" t="s">
        <v>143</v>
      </c>
      <c r="B30" s="61"/>
      <c r="C30" s="244">
        <v>0</v>
      </c>
      <c r="D30" s="235">
        <f>C$30*(1-'Annexe G  Evolution Portefeuill'!$C21)+C$87*'Annexe B  Plan commercial'!$B12*Hypothèses!$B$55</f>
        <v>0</v>
      </c>
      <c r="E30" s="235">
        <f>D$30*(1-'Annexe G  Evolution Portefeuill'!$C21)+D$87*'Annexe B  Plan commercial'!$B12*Hypothèses!$B$55</f>
        <v>0</v>
      </c>
      <c r="F30" s="235">
        <f>E$30*(1-'Annexe G  Evolution Portefeuill'!$C21)+E$87*'Annexe B  Plan commercial'!$B12*Hypothèses!$B$55</f>
        <v>0</v>
      </c>
      <c r="G30" s="235">
        <f>F$30*(1-'Annexe G  Evolution Portefeuill'!$C21)+F$87*'Annexe B  Plan commercial'!$B12*Hypothèses!$B$55</f>
        <v>0</v>
      </c>
      <c r="H30" s="235">
        <f>G$30*(1-'Annexe G  Evolution Portefeuill'!$C21)+G$87*'Annexe B  Plan commercial'!$B12*Hypothèses!$B$55</f>
        <v>0</v>
      </c>
      <c r="I30" s="236">
        <f>H$30*(1-'Annexe G  Evolution Portefeuill'!$C21)+H$87*'Annexe B  Plan commercial'!$B12*Hypothèses!$B$55</f>
        <v>0</v>
      </c>
      <c r="J30" s="235">
        <f>I$30*(1-'Annexe G  Evolution Portefeuill'!$D21)+I$87*'Annexe B  Plan commercial'!$C12*Hypothèses!$C$55</f>
        <v>0</v>
      </c>
      <c r="K30" s="235">
        <f ca="1">J$30*(1-'Annexe G  Evolution Portefeuill'!$D21)+J$87*'Annexe B  Plan commercial'!$C12*Hypothèses!$C$55</f>
        <v>0</v>
      </c>
      <c r="L30" s="235">
        <f ca="1">K$30*(1-'Annexe G  Evolution Portefeuill'!$D21)+K$87*'Annexe B  Plan commercial'!$C12*Hypothèses!$C$55</f>
        <v>0</v>
      </c>
      <c r="M30" s="235">
        <f ca="1">L$30*(1-'Annexe G  Evolution Portefeuill'!$D21)+L$87*'Annexe B  Plan commercial'!$C12*Hypothèses!$C$55</f>
        <v>0</v>
      </c>
      <c r="N30" s="235">
        <f ca="1">M$30*(1-'Annexe G  Evolution Portefeuill'!$D21)+M$87*'Annexe B  Plan commercial'!$C12*Hypothèses!$C$55</f>
        <v>0</v>
      </c>
      <c r="O30" s="235">
        <f ca="1">N$30*(1-'Annexe G  Evolution Portefeuill'!$D21)+N$87*'Annexe B  Plan commercial'!$C12*Hypothèses!$C$55</f>
        <v>0</v>
      </c>
      <c r="P30" s="235">
        <f ca="1">O$30*(1-'Annexe G  Evolution Portefeuill'!$D21)+O$87*'Annexe B  Plan commercial'!$C12*Hypothèses!$C$55</f>
        <v>0</v>
      </c>
      <c r="Q30" s="235">
        <f ca="1">P$30*(1-'Annexe G  Evolution Portefeuill'!$D21)+P$87*'Annexe B  Plan commercial'!$C12*Hypothèses!$C$55</f>
        <v>0</v>
      </c>
      <c r="R30" s="235">
        <f ca="1">Q$30*(1-'Annexe G  Evolution Portefeuill'!$D21)+Q$87*'Annexe B  Plan commercial'!$C12*Hypothèses!$C$55</f>
        <v>0</v>
      </c>
      <c r="S30" s="235">
        <f ca="1">R$30*(1-'Annexe G  Evolution Portefeuill'!$D21)+R$87*'Annexe B  Plan commercial'!$C12*Hypothèses!$C$55</f>
        <v>0</v>
      </c>
      <c r="T30" s="235">
        <f ca="1">S$30*(1-'Annexe G  Evolution Portefeuill'!$D21)+S$87*'Annexe B  Plan commercial'!$C12*Hypothèses!$C$55</f>
        <v>0</v>
      </c>
      <c r="U30" s="235">
        <f ca="1">T$30*(1-'Annexe G  Evolution Portefeuill'!$D21)+T$87*'Annexe B  Plan commercial'!$C12*Hypothèses!$C$55</f>
        <v>0</v>
      </c>
      <c r="V30" s="237">
        <f ca="1">U$30*(1-'Annexe G  Evolution Portefeuill'!$E21)+U$87*'Annexe B  Plan commercial'!$D12*Hypothèses!$D$55</f>
        <v>0</v>
      </c>
      <c r="W30" s="235">
        <f ca="1">V$30*(1-'Annexe G  Evolution Portefeuill'!$E21)+V$87*'Annexe B  Plan commercial'!$D12*Hypothèses!$D$55</f>
        <v>0</v>
      </c>
      <c r="X30" s="235">
        <f ca="1">W$30*(1-'Annexe G  Evolution Portefeuill'!$E21)+W$87*'Annexe B  Plan commercial'!$D12*Hypothèses!$D$55</f>
        <v>0</v>
      </c>
      <c r="Y30" s="235">
        <f ca="1">X$30*(1-'Annexe G  Evolution Portefeuill'!$E21)+X$87*'Annexe B  Plan commercial'!$D12*Hypothèses!$D$55</f>
        <v>0</v>
      </c>
      <c r="Z30" s="235">
        <f ca="1">Y$30*(1-'Annexe G  Evolution Portefeuill'!$E21)+Y$87*'Annexe B  Plan commercial'!$D12*Hypothèses!$D$55</f>
        <v>0</v>
      </c>
      <c r="AA30" s="235">
        <f ca="1">Z$30*(1-'Annexe G  Evolution Portefeuill'!$E21)+Z$87*'Annexe B  Plan commercial'!$D12*Hypothèses!$D$55</f>
        <v>0</v>
      </c>
      <c r="AB30" s="235">
        <f ca="1">AA$30*(1-'Annexe G  Evolution Portefeuill'!$E21)+AA$87*'Annexe B  Plan commercial'!$D12*Hypothèses!$D$55</f>
        <v>0</v>
      </c>
      <c r="AC30" s="235">
        <f ca="1">AB$30*(1-'Annexe G  Evolution Portefeuill'!$E21)+AB$87*'Annexe B  Plan commercial'!$D12*Hypothèses!$D$55</f>
        <v>0</v>
      </c>
      <c r="AD30" s="235">
        <f ca="1">AC$30*(1-'Annexe G  Evolution Portefeuill'!$E21)+AC$87*'Annexe B  Plan commercial'!$D12*Hypothèses!$D$55</f>
        <v>0</v>
      </c>
      <c r="AE30" s="235">
        <f ca="1">AD$30*(1-'Annexe G  Evolution Portefeuill'!$E21)+AD$87*'Annexe B  Plan commercial'!$D12*Hypothèses!$D$55</f>
        <v>0</v>
      </c>
      <c r="AF30" s="235">
        <f ca="1">AE$30*(1-'Annexe G  Evolution Portefeuill'!$E21)+AE$87*'Annexe B  Plan commercial'!$D12*Hypothèses!$D$55</f>
        <v>0</v>
      </c>
      <c r="AG30" s="236">
        <f ca="1">AF$30*(1-'Annexe G  Evolution Portefeuill'!$E21)+AF$87*'Annexe B  Plan commercial'!$D12*Hypothèses!$D$55</f>
        <v>0</v>
      </c>
      <c r="AH30" s="235">
        <f ca="1">AG$30*(1-'Annexe G  Evolution Portefeuill'!$F21)+AG$87*'Annexe B  Plan commercial'!$E12*Hypothèses!$E$55</f>
        <v>0</v>
      </c>
      <c r="AI30" s="235">
        <f ca="1">AH$30*(1-'Annexe G  Evolution Portefeuill'!$F21)+AH$87*'Annexe B  Plan commercial'!$E12*Hypothèses!$E$55</f>
        <v>0</v>
      </c>
      <c r="AJ30" s="235">
        <f ca="1">AI$30*(1-'Annexe G  Evolution Portefeuill'!$F21)+AI$87*'Annexe B  Plan commercial'!$E12*Hypothèses!$E$55</f>
        <v>0</v>
      </c>
      <c r="AK30" s="235">
        <f ca="1">AJ$30*(1-'Annexe G  Evolution Portefeuill'!$F21)+AJ$87*'Annexe B  Plan commercial'!$E12*Hypothèses!$E$55</f>
        <v>0</v>
      </c>
      <c r="AL30" s="235">
        <f ca="1">AK$30*(1-'Annexe G  Evolution Portefeuill'!$F21)+AK$87*'Annexe B  Plan commercial'!$E12*Hypothèses!$E$55</f>
        <v>0</v>
      </c>
      <c r="AM30" s="235">
        <f ca="1">AL$30*(1-'Annexe G  Evolution Portefeuill'!$F21)+AL$87*'Annexe B  Plan commercial'!$E12*Hypothèses!$E$55</f>
        <v>0</v>
      </c>
      <c r="AN30" s="235">
        <f ca="1">AM$30*(1-'Annexe G  Evolution Portefeuill'!$F21)+AM$87*'Annexe B  Plan commercial'!$E12*Hypothèses!$E$55</f>
        <v>0</v>
      </c>
      <c r="AO30" s="235">
        <f ca="1">AN$30*(1-'Annexe G  Evolution Portefeuill'!$F21)+AN$87*'Annexe B  Plan commercial'!$E12*Hypothèses!$E$55</f>
        <v>0</v>
      </c>
      <c r="AP30" s="235">
        <f ca="1">AO$30*(1-'Annexe G  Evolution Portefeuill'!$F21)+AO$87*'Annexe B  Plan commercial'!$E12*Hypothèses!$E$55</f>
        <v>0</v>
      </c>
      <c r="AQ30" s="235">
        <f ca="1">AP$30*(1-'Annexe G  Evolution Portefeuill'!$F21)+AP$87*'Annexe B  Plan commercial'!$E12*Hypothèses!$E$55</f>
        <v>0</v>
      </c>
      <c r="AR30" s="235">
        <f ca="1">AQ$30*(1-'Annexe G  Evolution Portefeuill'!$F21)+AQ$87*'Annexe B  Plan commercial'!$E12*Hypothèses!$E$55</f>
        <v>0</v>
      </c>
      <c r="AS30" s="235">
        <f ca="1">AR$30*(1-'Annexe G  Evolution Portefeuill'!$F21)+AR$87*'Annexe B  Plan commercial'!$E12*Hypothèses!$E$55</f>
        <v>0</v>
      </c>
      <c r="AT30" s="237">
        <f ca="1">AS$30*(1-'Annexe G  Evolution Portefeuill'!$G21)+AS$87*'Annexe B  Plan commercial'!$F12*Hypothèses!$F$55</f>
        <v>0</v>
      </c>
      <c r="AU30" s="235">
        <f ca="1">AT$30*(1-'Annexe G  Evolution Portefeuill'!$G21)+AT$87*'Annexe B  Plan commercial'!$F12*Hypothèses!$F$55</f>
        <v>0</v>
      </c>
      <c r="AV30" s="235">
        <f ca="1">AU$30*(1-'Annexe G  Evolution Portefeuill'!$G21)+AU$87*'Annexe B  Plan commercial'!$F12*Hypothèses!$F$55</f>
        <v>0</v>
      </c>
      <c r="AW30" s="235">
        <f ca="1">AV$30*(1-'Annexe G  Evolution Portefeuill'!$G21)+AV$87*'Annexe B  Plan commercial'!$F12*Hypothèses!$F$55</f>
        <v>0</v>
      </c>
      <c r="AX30" s="235">
        <f ca="1">AW$30*(1-'Annexe G  Evolution Portefeuill'!$G21)+AW$87*'Annexe B  Plan commercial'!$F12*Hypothèses!$F$55</f>
        <v>0</v>
      </c>
      <c r="AY30" s="235">
        <f ca="1">AX$30*(1-'Annexe G  Evolution Portefeuill'!$G21)+AX$87*'Annexe B  Plan commercial'!$F12*Hypothèses!$F$55</f>
        <v>0</v>
      </c>
      <c r="AZ30" s="235">
        <f ca="1">AY$30*(1-'Annexe G  Evolution Portefeuill'!$G21)+AY$87*'Annexe B  Plan commercial'!$F12*Hypothèses!$F$55</f>
        <v>0</v>
      </c>
      <c r="BA30" s="235">
        <f ca="1">AZ$30*(1-'Annexe G  Evolution Portefeuill'!$G21)+AZ$87*'Annexe B  Plan commercial'!$F12*Hypothèses!$F$55</f>
        <v>0</v>
      </c>
      <c r="BB30" s="235">
        <f ca="1">BA$30*(1-'Annexe G  Evolution Portefeuill'!$G21)+BA$87*'Annexe B  Plan commercial'!$F12*Hypothèses!$F$55</f>
        <v>0</v>
      </c>
      <c r="BC30" s="235">
        <f ca="1">BB$30*(1-'Annexe G  Evolution Portefeuill'!$G21)+BB$87*'Annexe B  Plan commercial'!$F12*Hypothèses!$F$55</f>
        <v>0</v>
      </c>
      <c r="BD30" s="235">
        <f ca="1">BC$30*(1-'Annexe G  Evolution Portefeuill'!$G21)+BC$87*'Annexe B  Plan commercial'!$F12*Hypothèses!$F$55</f>
        <v>0</v>
      </c>
      <c r="BE30" s="236">
        <f ca="1">BD$30*(1-'Annexe G  Evolution Portefeuill'!$G21)+BD$87*'Annexe B  Plan commercial'!$F12*Hypothèses!$F$55</f>
        <v>0</v>
      </c>
      <c r="BF30" s="235">
        <f ca="1">BE$30*(1-'Annexe G  Evolution Portefeuill'!$H21)+BE$87*'Annexe B  Plan commercial'!$G12*Hypothèses!$G$55</f>
        <v>0</v>
      </c>
      <c r="BG30" s="235">
        <f ca="1">BF$30*(1-'Annexe G  Evolution Portefeuill'!$H21)+BF$87*'Annexe B  Plan commercial'!$G12*Hypothèses!$G$55</f>
        <v>0</v>
      </c>
      <c r="BH30" s="235">
        <f ca="1">BG$30*(1-'Annexe G  Evolution Portefeuill'!$H21)+BG$87*'Annexe B  Plan commercial'!$G12*Hypothèses!$G$55</f>
        <v>1.0499999999999998</v>
      </c>
      <c r="BI30" s="235">
        <f ca="1">BH$30*(1-'Annexe G  Evolution Portefeuill'!$H21)+BH$87*'Annexe B  Plan commercial'!$G12*Hypothèses!$G$55</f>
        <v>2.0884499999999999</v>
      </c>
      <c r="BJ30" s="235">
        <f ca="1">BI$30*(1-'Annexe G  Evolution Portefeuill'!$H21)+BI$87*'Annexe B  Plan commercial'!$G12*Hypothèses!$G$55</f>
        <v>3.1154770499999995</v>
      </c>
      <c r="BK30" s="235">
        <f ca="1">BJ$30*(1-'Annexe G  Evolution Portefeuill'!$H21)+BJ$87*'Annexe B  Plan commercial'!$G12*Hypothèses!$G$55</f>
        <v>4.1312068024499995</v>
      </c>
      <c r="BL30" s="235">
        <f ca="1">BK$30*(1-'Annexe G  Evolution Portefeuill'!$H21)+BK$87*'Annexe B  Plan commercial'!$G12*Hypothèses!$G$55</f>
        <v>5.1357635276230491</v>
      </c>
      <c r="BM30" s="235">
        <f ca="1">BL$30*(1-'Annexe G  Evolution Portefeuill'!$H21)+BL$87*'Annexe B  Plan commercial'!$G12*Hypothèses!$G$55</f>
        <v>15.405482345443883</v>
      </c>
      <c r="BN30" s="235">
        <f ca="1">BM$30*(1-'Annexe G  Evolution Portefeuill'!$H21)+BM$87*'Annexe B  Plan commercial'!$G12*Hypothèses!$G$55</f>
        <v>25.562234256268688</v>
      </c>
      <c r="BO30" s="235">
        <f ca="1">BN$30*(1-'Annexe G  Evolution Portefeuill'!$H21)+BN$87*'Annexe B  Plan commercial'!$G12*Hypothèses!$G$55</f>
        <v>35.607261896074419</v>
      </c>
      <c r="BP30" s="235">
        <f ca="1">BO$30*(1-'Annexe G  Evolution Portefeuill'!$H21)+BO$87*'Annexe B  Plan commercial'!$G12*Hypothèses!$G$55</f>
        <v>45.541794231842289</v>
      </c>
      <c r="BQ30" s="235">
        <f ca="1">BP$30*(1-'Annexe G  Evolution Portefeuill'!$H21)+BP$87*'Annexe B  Plan commercial'!$G12*Hypothèses!$G$55</f>
        <v>55.367046711916714</v>
      </c>
      <c r="BR30" s="238">
        <f ca="1">BQ$30*(1-'Annexe G  Evolution Portefeuill'!$I21)+BQ$87*'Annexe B  Plan commercial'!$H12*Hypothèses!$H$55</f>
        <v>65.028854367998406</v>
      </c>
      <c r="BS30" s="235">
        <f ca="1">BR$30*(1-'Annexe G  Evolution Portefeuill'!$I21)+BR$87*'Annexe B  Plan commercial'!$H12*Hypothèses!$H$55</f>
        <v>75.624720332207104</v>
      </c>
      <c r="BT30" s="235">
        <f ca="1">BS$30*(1-'Annexe G  Evolution Portefeuill'!$I21)+BS$87*'Annexe B  Plan commercial'!$H12*Hypothèses!$H$55</f>
        <v>86.093435904845293</v>
      </c>
      <c r="BU30" s="235">
        <f ca="1">BT$30*(1-'Annexe G  Evolution Portefeuill'!$I21)+BT$87*'Annexe B  Plan commercial'!$H12*Hypothèses!$H$55</f>
        <v>96.43652689061183</v>
      </c>
      <c r="BV30" s="235">
        <f ca="1">BU$30*(1-'Annexe G  Evolution Portefeuill'!$I21)+BU$87*'Annexe B  Plan commercial'!$H12*Hypothèses!$H$55</f>
        <v>106.65550078454916</v>
      </c>
      <c r="BW30" s="235">
        <f ca="1">BV$30*(1-'Annexe G  Evolution Portefeuill'!$I21)+BV$87*'Annexe B  Plan commercial'!$H12*Hypothèses!$H$55</f>
        <v>116.75184699175925</v>
      </c>
      <c r="BX30" s="235">
        <f ca="1">BW$30*(1-'Annexe G  Evolution Portefeuill'!$I21)+BW$87*'Annexe B  Plan commercial'!$H12*Hypothèses!$H$55</f>
        <v>128.82703704448281</v>
      </c>
      <c r="BY30" s="235">
        <f ca="1">BX$30*(1-'Annexe G  Evolution Portefeuill'!$I21)+BX$87*'Annexe B  Plan commercial'!$H12*Hypothèses!$H$55</f>
        <v>144.8522293085972</v>
      </c>
      <c r="BZ30" s="235">
        <f ca="1">BY$30*(1-'Annexe G  Evolution Portefeuill'!$I21)+BY$87*'Annexe B  Plan commercial'!$H12*Hypothèses!$H$55</f>
        <v>160.68511926554223</v>
      </c>
      <c r="CA30" s="235">
        <f ca="1">BZ$30*(1-'Annexe G  Evolution Portefeuill'!$I21)+BZ$87*'Annexe B  Plan commercial'!$H12*Hypothèses!$H$55</f>
        <v>176.32801454300392</v>
      </c>
      <c r="CB30" s="235">
        <f ca="1">CA$30*(1-'Annexe G  Evolution Portefeuill'!$I21)+CA$87*'Annexe B  Plan commercial'!$H12*Hypothèses!$H$55</f>
        <v>193.88319507713607</v>
      </c>
      <c r="CC30" s="239">
        <f ca="1">CB$30*(1-'Annexe G  Evolution Portefeuill'!$I21)+CB$87*'Annexe B  Plan commercial'!$H12*Hypothèses!$H$55</f>
        <v>211.22771344485861</v>
      </c>
      <c r="CD30" s="240"/>
    </row>
    <row r="31" spans="1:82" ht="14" outlineLevel="1">
      <c r="A31" s="233" t="s">
        <v>144</v>
      </c>
      <c r="B31" s="61"/>
      <c r="C31" s="244">
        <v>0</v>
      </c>
      <c r="D31" s="235">
        <f>C$31*(1-'Annexe G  Evolution Portefeuill'!$C21)+C$88*'Annexe B  Plan commercial'!$B18*Hypothèses!$B$56</f>
        <v>0</v>
      </c>
      <c r="E31" s="235">
        <f>D$31*(1-'Annexe G  Evolution Portefeuill'!$C21)+D$88*'Annexe B  Plan commercial'!$B18*Hypothèses!$B$56</f>
        <v>0</v>
      </c>
      <c r="F31" s="235">
        <f>E$31*(1-'Annexe G  Evolution Portefeuill'!$C21)+E$88*'Annexe B  Plan commercial'!$B18*Hypothèses!$B$56</f>
        <v>0</v>
      </c>
      <c r="G31" s="235">
        <f>F$31*(1-'Annexe G  Evolution Portefeuill'!$C21)+F$88*'Annexe B  Plan commercial'!$B18*Hypothèses!$B$56</f>
        <v>0</v>
      </c>
      <c r="H31" s="235">
        <f>G$31*(1-'Annexe G  Evolution Portefeuill'!$C21)+G$88*'Annexe B  Plan commercial'!$B18*Hypothèses!$B$56</f>
        <v>0</v>
      </c>
      <c r="I31" s="236">
        <f>H$31*(1-'Annexe G  Evolution Portefeuill'!$C21)+H$88*'Annexe B  Plan commercial'!$B18*Hypothèses!$B$56</f>
        <v>0</v>
      </c>
      <c r="J31" s="235">
        <f>I$31*(1-'Annexe G  Evolution Portefeuill'!$D21)+I$88*'Annexe B  Plan commercial'!$C18*Hypothèses!$C$56</f>
        <v>0</v>
      </c>
      <c r="K31" s="235">
        <f ca="1">J$31*(1-'Annexe G  Evolution Portefeuill'!$D21)+J$88*'Annexe B  Plan commercial'!$C18*Hypothèses!$C$56</f>
        <v>0</v>
      </c>
      <c r="L31" s="235">
        <f ca="1">K$31*(1-'Annexe G  Evolution Portefeuill'!$D21)+K$88*'Annexe B  Plan commercial'!$C18*Hypothèses!$C$56</f>
        <v>0</v>
      </c>
      <c r="M31" s="235">
        <f ca="1">L$31*(1-'Annexe G  Evolution Portefeuill'!$D21)+L$88*'Annexe B  Plan commercial'!$C18*Hypothèses!$C$56</f>
        <v>0</v>
      </c>
      <c r="N31" s="235">
        <f ca="1">M$31*(1-'Annexe G  Evolution Portefeuill'!$D21)+M$88*'Annexe B  Plan commercial'!$C18*Hypothèses!$C$56</f>
        <v>0</v>
      </c>
      <c r="O31" s="235">
        <f ca="1">N$31*(1-'Annexe G  Evolution Portefeuill'!$D21)+N$88*'Annexe B  Plan commercial'!$C18*Hypothèses!$C$56</f>
        <v>0</v>
      </c>
      <c r="P31" s="235">
        <f ca="1">O$31*(1-'Annexe G  Evolution Portefeuill'!$D21)+O$88*'Annexe B  Plan commercial'!$C18*Hypothèses!$C$56</f>
        <v>0</v>
      </c>
      <c r="Q31" s="235">
        <f ca="1">P$31*(1-'Annexe G  Evolution Portefeuill'!$D21)+P$88*'Annexe B  Plan commercial'!$C18*Hypothèses!$C$56</f>
        <v>0</v>
      </c>
      <c r="R31" s="235">
        <f ca="1">Q$31*(1-'Annexe G  Evolution Portefeuill'!$D21)+Q$88*'Annexe B  Plan commercial'!$C18*Hypothèses!$C$56</f>
        <v>0</v>
      </c>
      <c r="S31" s="235">
        <f ca="1">R$31*(1-'Annexe G  Evolution Portefeuill'!$D21)+R$88*'Annexe B  Plan commercial'!$C18*Hypothèses!$C$56</f>
        <v>0</v>
      </c>
      <c r="T31" s="235">
        <f ca="1">S$31*(1-'Annexe G  Evolution Portefeuill'!$D21)+S$88*'Annexe B  Plan commercial'!$C18*Hypothèses!$C$56</f>
        <v>0</v>
      </c>
      <c r="U31" s="235">
        <f ca="1">T$31*(1-'Annexe G  Evolution Portefeuill'!$D21)+T$88*'Annexe B  Plan commercial'!$C18*Hypothèses!$C$56</f>
        <v>0</v>
      </c>
      <c r="V31" s="237">
        <f ca="1">U$31*(1-'Annexe G  Evolution Portefeuill'!$E21)+U$88*'Annexe B  Plan commercial'!$D18*Hypothèses!$D$56</f>
        <v>0</v>
      </c>
      <c r="W31" s="235">
        <f ca="1">V$31*(1-'Annexe G  Evolution Portefeuill'!$E21)+V$88*'Annexe B  Plan commercial'!$D18*Hypothèses!$D$56</f>
        <v>0</v>
      </c>
      <c r="X31" s="235">
        <f ca="1">W$31*(1-'Annexe G  Evolution Portefeuill'!$E21)+W$88*'Annexe B  Plan commercial'!$D18*Hypothèses!$D$56</f>
        <v>0</v>
      </c>
      <c r="Y31" s="235">
        <f ca="1">X$31*(1-'Annexe G  Evolution Portefeuill'!$E21)+X$88*'Annexe B  Plan commercial'!$D18*Hypothèses!$D$56</f>
        <v>0</v>
      </c>
      <c r="Z31" s="235">
        <f ca="1">Y$31*(1-'Annexe G  Evolution Portefeuill'!$E21)+Y$88*'Annexe B  Plan commercial'!$D18*Hypothèses!$D$56</f>
        <v>0</v>
      </c>
      <c r="AA31" s="235">
        <f ca="1">Z$31*(1-'Annexe G  Evolution Portefeuill'!$E21)+Z$88*'Annexe B  Plan commercial'!$D18*Hypothèses!$D$56</f>
        <v>0</v>
      </c>
      <c r="AB31" s="235">
        <f ca="1">AA$31*(1-'Annexe G  Evolution Portefeuill'!$E21)+AA$88*'Annexe B  Plan commercial'!$D18*Hypothèses!$D$56</f>
        <v>0</v>
      </c>
      <c r="AC31" s="235">
        <f ca="1">AB$31*(1-'Annexe G  Evolution Portefeuill'!$E21)+AB$88*'Annexe B  Plan commercial'!$D18*Hypothèses!$D$56</f>
        <v>0</v>
      </c>
      <c r="AD31" s="235">
        <f ca="1">AC$31*(1-'Annexe G  Evolution Portefeuill'!$E21)+AC$88*'Annexe B  Plan commercial'!$D18*Hypothèses!$D$56</f>
        <v>0</v>
      </c>
      <c r="AE31" s="235">
        <f ca="1">AD$31*(1-'Annexe G  Evolution Portefeuill'!$E21)+AD$88*'Annexe B  Plan commercial'!$D18*Hypothèses!$D$56</f>
        <v>0</v>
      </c>
      <c r="AF31" s="235">
        <f ca="1">AE$31*(1-'Annexe G  Evolution Portefeuill'!$E21)+AE$88*'Annexe B  Plan commercial'!$D18*Hypothèses!$D$56</f>
        <v>0</v>
      </c>
      <c r="AG31" s="236">
        <f ca="1">AF$31*(1-'Annexe G  Evolution Portefeuill'!$E21)+AF$88*'Annexe B  Plan commercial'!$D18*Hypothèses!$D$56</f>
        <v>0</v>
      </c>
      <c r="AH31" s="235">
        <f ca="1">AG$31*(1-'Annexe G  Evolution Portefeuill'!$F21)+AG$88*'Annexe B  Plan commercial'!$E18*Hypothèses!$E$56</f>
        <v>0</v>
      </c>
      <c r="AI31" s="235">
        <f ca="1">AH$31*(1-'Annexe G  Evolution Portefeuill'!$F21)+AH$88*'Annexe B  Plan commercial'!$E18*Hypothèses!$E$56</f>
        <v>0</v>
      </c>
      <c r="AJ31" s="235">
        <f ca="1">AI$31*(1-'Annexe G  Evolution Portefeuill'!$F21)+AI$88*'Annexe B  Plan commercial'!$E18*Hypothèses!$E$56</f>
        <v>0</v>
      </c>
      <c r="AK31" s="235">
        <f ca="1">AJ$31*(1-'Annexe G  Evolution Portefeuill'!$F21)+AJ$88*'Annexe B  Plan commercial'!$E18*Hypothèses!$E$56</f>
        <v>0</v>
      </c>
      <c r="AL31" s="235">
        <f ca="1">AK$31*(1-'Annexe G  Evolution Portefeuill'!$F21)+AK$88*'Annexe B  Plan commercial'!$E18*Hypothèses!$E$56</f>
        <v>0</v>
      </c>
      <c r="AM31" s="235">
        <f ca="1">AL$31*(1-'Annexe G  Evolution Portefeuill'!$F21)+AL$88*'Annexe B  Plan commercial'!$E18*Hypothèses!$E$56</f>
        <v>0</v>
      </c>
      <c r="AN31" s="235">
        <f ca="1">AM$31*(1-'Annexe G  Evolution Portefeuill'!$F21)+AM$88*'Annexe B  Plan commercial'!$E18*Hypothèses!$E$56</f>
        <v>0</v>
      </c>
      <c r="AO31" s="235">
        <f ca="1">AN$31*(1-'Annexe G  Evolution Portefeuill'!$F21)+AN$88*'Annexe B  Plan commercial'!$E18*Hypothèses!$E$56</f>
        <v>0</v>
      </c>
      <c r="AP31" s="235">
        <f ca="1">AO$31*(1-'Annexe G  Evolution Portefeuill'!$F21)+AO$88*'Annexe B  Plan commercial'!$E18*Hypothèses!$E$56</f>
        <v>0</v>
      </c>
      <c r="AQ31" s="235">
        <f ca="1">AP$31*(1-'Annexe G  Evolution Portefeuill'!$F21)+AP$88*'Annexe B  Plan commercial'!$E18*Hypothèses!$E$56</f>
        <v>0</v>
      </c>
      <c r="AR31" s="235">
        <f ca="1">AQ$31*(1-'Annexe G  Evolution Portefeuill'!$F21)+AQ$88*'Annexe B  Plan commercial'!$E18*Hypothèses!$E$56</f>
        <v>0</v>
      </c>
      <c r="AS31" s="235">
        <f ca="1">AR$31*(1-'Annexe G  Evolution Portefeuill'!$F21)+AR$88*'Annexe B  Plan commercial'!$E18*Hypothèses!$E$56</f>
        <v>0</v>
      </c>
      <c r="AT31" s="237">
        <f ca="1">AS$31*(1-'Annexe G  Evolution Portefeuill'!$G21)+AS$88*'Annexe B  Plan commercial'!$F18*Hypothèses!$F$56</f>
        <v>0</v>
      </c>
      <c r="AU31" s="235">
        <f ca="1">AT$31*(1-'Annexe G  Evolution Portefeuill'!$G21)+AT$88*'Annexe B  Plan commercial'!$F18*Hypothèses!$F$56</f>
        <v>0</v>
      </c>
      <c r="AV31" s="235">
        <f ca="1">AU$31*(1-'Annexe G  Evolution Portefeuill'!$G21)+AU$88*'Annexe B  Plan commercial'!$F18*Hypothèses!$F$56</f>
        <v>0</v>
      </c>
      <c r="AW31" s="235">
        <f ca="1">AV$31*(1-'Annexe G  Evolution Portefeuill'!$G21)+AV$88*'Annexe B  Plan commercial'!$F18*Hypothèses!$F$56</f>
        <v>0</v>
      </c>
      <c r="AX31" s="235">
        <f ca="1">AW$31*(1-'Annexe G  Evolution Portefeuill'!$G21)+AW$88*'Annexe B  Plan commercial'!$F18*Hypothèses!$F$56</f>
        <v>0</v>
      </c>
      <c r="AY31" s="235">
        <f ca="1">AX$31*(1-'Annexe G  Evolution Portefeuill'!$G21)+AX$88*'Annexe B  Plan commercial'!$F18*Hypothèses!$F$56</f>
        <v>0</v>
      </c>
      <c r="AZ31" s="235">
        <f ca="1">AY$31*(1-'Annexe G  Evolution Portefeuill'!$G21)+AY$88*'Annexe B  Plan commercial'!$F18*Hypothèses!$F$56</f>
        <v>0</v>
      </c>
      <c r="BA31" s="235">
        <f ca="1">AZ$31*(1-'Annexe G  Evolution Portefeuill'!$G21)+AZ$88*'Annexe B  Plan commercial'!$F18*Hypothèses!$F$56</f>
        <v>0</v>
      </c>
      <c r="BB31" s="235">
        <f ca="1">BA$31*(1-'Annexe G  Evolution Portefeuill'!$G21)+BA$88*'Annexe B  Plan commercial'!$F18*Hypothèses!$F$56</f>
        <v>0</v>
      </c>
      <c r="BC31" s="235">
        <f ca="1">BB$31*(1-'Annexe G  Evolution Portefeuill'!$G21)+BB$88*'Annexe B  Plan commercial'!$F18*Hypothèses!$F$56</f>
        <v>0</v>
      </c>
      <c r="BD31" s="235">
        <f ca="1">BC$31*(1-'Annexe G  Evolution Portefeuill'!$G21)+BC$88*'Annexe B  Plan commercial'!$F18*Hypothèses!$F$56</f>
        <v>0</v>
      </c>
      <c r="BE31" s="236">
        <f ca="1">BD$31*(1-'Annexe G  Evolution Portefeuill'!$G21)+BD$88*'Annexe B  Plan commercial'!$F18*Hypothèses!$F$56</f>
        <v>0</v>
      </c>
      <c r="BF31" s="235">
        <f ca="1">BE$31*(1-'Annexe G  Evolution Portefeuill'!$H21)+BE$88*'Annexe B  Plan commercial'!$G18*Hypothèses!$G$56</f>
        <v>0</v>
      </c>
      <c r="BG31" s="235">
        <f ca="1">BF$31*(1-'Annexe G  Evolution Portefeuill'!$H21)+BF$88*'Annexe B  Plan commercial'!$G18*Hypothèses!$G$56</f>
        <v>0</v>
      </c>
      <c r="BH31" s="235">
        <f ca="1">BG$31*(1-'Annexe G  Evolution Portefeuill'!$H21)+BG$88*'Annexe B  Plan commercial'!$G18*Hypothèses!$G$56</f>
        <v>0</v>
      </c>
      <c r="BI31" s="235">
        <f ca="1">BH$31*(1-'Annexe G  Evolution Portefeuill'!$H21)+BH$88*'Annexe B  Plan commercial'!$G18*Hypothèses!$G$56</f>
        <v>0</v>
      </c>
      <c r="BJ31" s="235">
        <f ca="1">BI$31*(1-'Annexe G  Evolution Portefeuill'!$H21)+BI$88*'Annexe B  Plan commercial'!$G18*Hypothèses!$G$56</f>
        <v>0</v>
      </c>
      <c r="BK31" s="235">
        <f ca="1">BJ$31*(1-'Annexe G  Evolution Portefeuill'!$H21)+BJ$88*'Annexe B  Plan commercial'!$G18*Hypothèses!$G$56</f>
        <v>0</v>
      </c>
      <c r="BL31" s="235">
        <f ca="1">BK$31*(1-'Annexe G  Evolution Portefeuill'!$H21)+BK$88*'Annexe B  Plan commercial'!$G18*Hypothèses!$G$56</f>
        <v>0</v>
      </c>
      <c r="BM31" s="235">
        <f ca="1">BL$31*(1-'Annexe G  Evolution Portefeuill'!$H21)+BL$88*'Annexe B  Plan commercial'!$G18*Hypothèses!$G$56</f>
        <v>0</v>
      </c>
      <c r="BN31" s="235">
        <f ca="1">BM$31*(1-'Annexe G  Evolution Portefeuill'!$H21)+BM$88*'Annexe B  Plan commercial'!$G18*Hypothèses!$G$56</f>
        <v>0</v>
      </c>
      <c r="BO31" s="235">
        <f ca="1">BN$31*(1-'Annexe G  Evolution Portefeuill'!$H21)+BN$88*'Annexe B  Plan commercial'!$G18*Hypothèses!$G$56</f>
        <v>0</v>
      </c>
      <c r="BP31" s="235">
        <f ca="1">BO$31*(1-'Annexe G  Evolution Portefeuill'!$H21)+BO$88*'Annexe B  Plan commercial'!$G18*Hypothèses!$G$56</f>
        <v>0</v>
      </c>
      <c r="BQ31" s="235">
        <f ca="1">BP$31*(1-'Annexe G  Evolution Portefeuill'!$H21)+BP$88*'Annexe B  Plan commercial'!$G18*Hypothèses!$G$56</f>
        <v>0</v>
      </c>
      <c r="BR31" s="238">
        <f ca="1">BQ$31*(1-'Annexe G  Evolution Portefeuill'!$I21)+BQ$88*'Annexe B  Plan commercial'!$H18*Hypothèses!$H$56</f>
        <v>0</v>
      </c>
      <c r="BS31" s="235">
        <f ca="1">BR$31*(1-'Annexe G  Evolution Portefeuill'!$I21)+BR$88*'Annexe B  Plan commercial'!$H18*Hypothèses!$H$56</f>
        <v>0</v>
      </c>
      <c r="BT31" s="235">
        <f ca="1">BS$31*(1-'Annexe G  Evolution Portefeuill'!$I21)+BS$88*'Annexe B  Plan commercial'!$H18*Hypothèses!$H$56</f>
        <v>0</v>
      </c>
      <c r="BU31" s="235">
        <f ca="1">BT$31*(1-'Annexe G  Evolution Portefeuill'!$I21)+BT$88*'Annexe B  Plan commercial'!$H18*Hypothèses!$H$56</f>
        <v>1.0499999999999998</v>
      </c>
      <c r="BV31" s="235">
        <f ca="1">BU$31*(1-'Annexe G  Evolution Portefeuill'!$I21)+BU$88*'Annexe B  Plan commercial'!$H18*Hypothèses!$H$56</f>
        <v>2.0873999999999997</v>
      </c>
      <c r="BW31" s="235">
        <f ca="1">BV$31*(1-'Annexe G  Evolution Portefeuill'!$I21)+BV$88*'Annexe B  Plan commercial'!$H18*Hypothèses!$H$56</f>
        <v>3.1123511999999995</v>
      </c>
      <c r="BX31" s="235">
        <f ca="1">BW$31*(1-'Annexe G  Evolution Portefeuill'!$I21)+BW$88*'Annexe B  Plan commercial'!$H18*Hypothèses!$H$56</f>
        <v>5.1750029855999991</v>
      </c>
      <c r="BY31" s="235">
        <f ca="1">BX$31*(1-'Annexe G  Evolution Portefeuill'!$I21)+BX$88*'Annexe B  Plan commercial'!$H18*Hypothèses!$H$56</f>
        <v>22.626829155575582</v>
      </c>
      <c r="BZ31" s="235">
        <f ca="1">BY$31*(1-'Annexe G  Evolution Portefeuill'!$I21)+BY$88*'Annexe B  Plan commercial'!$H18*Hypothèses!$H$56</f>
        <v>39.869233411511459</v>
      </c>
      <c r="CA31" s="235">
        <f ca="1">BZ$31*(1-'Annexe G  Evolution Portefeuill'!$I21)+BZ$88*'Annexe B  Plan commercial'!$H18*Hypothèses!$H$56</f>
        <v>56.904728816376107</v>
      </c>
      <c r="CB31" s="235">
        <f ca="1">CA$31*(1-'Annexe G  Evolution Portefeuill'!$I21)+CA$88*'Annexe B  Plan commercial'!$H18*Hypothèses!$H$56</f>
        <v>73.735798276382383</v>
      </c>
      <c r="CC31" s="239">
        <f ca="1">CB$31*(1-'Annexe G  Evolution Portefeuill'!$I21)+CB$88*'Annexe B  Plan commercial'!$H18*Hypothèses!$H$56</f>
        <v>90.364894902868571</v>
      </c>
      <c r="CD31" s="240"/>
    </row>
    <row r="32" spans="1:82" ht="15">
      <c r="A32" s="243" t="s">
        <v>145</v>
      </c>
      <c r="B32" s="241"/>
      <c r="C32" s="244">
        <v>0</v>
      </c>
      <c r="D32" s="235">
        <f>C$32*(1-'Annexe G  Evolution Portefeuill'!$C21)+C$87*'Annexe B  Plan commercial'!$B24*Hypothèses!$B$57</f>
        <v>0</v>
      </c>
      <c r="E32" s="235">
        <f>D$32*(1-'Annexe G  Evolution Portefeuill'!$C21)+D$87*'Annexe B  Plan commercial'!$B24*Hypothèses!$B$57</f>
        <v>0</v>
      </c>
      <c r="F32" s="235">
        <f>E$32*(1-'Annexe G  Evolution Portefeuill'!$C21)+E$87*'Annexe B  Plan commercial'!$B24*Hypothèses!$B$57</f>
        <v>0</v>
      </c>
      <c r="G32" s="235">
        <f>F$32*(1-'Annexe G  Evolution Portefeuill'!$C21)+F$87*'Annexe B  Plan commercial'!$B24*Hypothèses!$B$57</f>
        <v>0</v>
      </c>
      <c r="H32" s="235">
        <f>G$32*(1-'Annexe G  Evolution Portefeuill'!$C21)+G$87*'Annexe B  Plan commercial'!$B24*Hypothèses!$B$57</f>
        <v>0</v>
      </c>
      <c r="I32" s="236">
        <f>H$32*(1-'Annexe G  Evolution Portefeuill'!$C21)+H$87*'Annexe B  Plan commercial'!$B24*Hypothèses!$B$57</f>
        <v>0</v>
      </c>
      <c r="J32" s="235">
        <f>I$32*(1-'Annexe G  Evolution Portefeuill'!$D21)+I$89*'Annexe B  Plan commercial'!$C24*Hypothèses!$C$57</f>
        <v>0</v>
      </c>
      <c r="K32" s="235">
        <f ca="1">J$32*(1-'Annexe G  Evolution Portefeuill'!$D21)+J$89*'Annexe B  Plan commercial'!$C24*Hypothèses!$C$57</f>
        <v>0</v>
      </c>
      <c r="L32" s="235">
        <f ca="1">K$32*(1-'Annexe G  Evolution Portefeuill'!$D21)+K$89*'Annexe B  Plan commercial'!$C24*Hypothèses!$C$57</f>
        <v>0</v>
      </c>
      <c r="M32" s="235">
        <f ca="1">L$32*(1-'Annexe G  Evolution Portefeuill'!$D21)+L$89*'Annexe B  Plan commercial'!$C24*Hypothèses!$C$57</f>
        <v>0</v>
      </c>
      <c r="N32" s="235">
        <f ca="1">M$32*(1-'Annexe G  Evolution Portefeuill'!$D21)+M$89*'Annexe B  Plan commercial'!$C24*Hypothèses!$C$57</f>
        <v>0</v>
      </c>
      <c r="O32" s="235">
        <f ca="1">N$32*(1-'Annexe G  Evolution Portefeuill'!$D21)+N$89*'Annexe B  Plan commercial'!$C24*Hypothèses!$C$57</f>
        <v>0</v>
      </c>
      <c r="P32" s="235">
        <f ca="1">O$32*(1-'Annexe G  Evolution Portefeuill'!$D21)+O$89*'Annexe B  Plan commercial'!$C24*Hypothèses!$C$57</f>
        <v>0</v>
      </c>
      <c r="Q32" s="235">
        <f ca="1">P$32*(1-'Annexe G  Evolution Portefeuill'!$D21)+P$89*'Annexe B  Plan commercial'!$C24*Hypothèses!$C$57</f>
        <v>0</v>
      </c>
      <c r="R32" s="235">
        <f ca="1">Q$32*(1-'Annexe G  Evolution Portefeuill'!$D21)+Q$89*'Annexe B  Plan commercial'!$C24*Hypothèses!$C$57</f>
        <v>0</v>
      </c>
      <c r="S32" s="235">
        <f ca="1">R$32*(1-'Annexe G  Evolution Portefeuill'!$D21)+R$89*'Annexe B  Plan commercial'!$C24*Hypothèses!$C$57</f>
        <v>0</v>
      </c>
      <c r="T32" s="235">
        <f ca="1">S$32*(1-'Annexe G  Evolution Portefeuill'!$D21)+S$89*'Annexe B  Plan commercial'!$C24*Hypothèses!$C$57</f>
        <v>0</v>
      </c>
      <c r="U32" s="235">
        <f ca="1">T$32*(1-'Annexe G  Evolution Portefeuill'!$D21)+T$89*'Annexe B  Plan commercial'!$C24*Hypothèses!$C$57</f>
        <v>0</v>
      </c>
      <c r="V32" s="237">
        <f ca="1">U$32*(1-'Annexe G  Evolution Portefeuill'!$E21)+U$89*'Annexe B  Plan commercial'!$D24*Hypothèses!$D$57</f>
        <v>0</v>
      </c>
      <c r="W32" s="235">
        <f ca="1">V$32*(1-'Annexe G  Evolution Portefeuill'!$E21)+V$89*'Annexe B  Plan commercial'!$D24*Hypothèses!$D$57</f>
        <v>0</v>
      </c>
      <c r="X32" s="235">
        <f ca="1">W$32*(1-'Annexe G  Evolution Portefeuill'!$E21)+W$89*'Annexe B  Plan commercial'!$D24*Hypothèses!$D$57</f>
        <v>0</v>
      </c>
      <c r="Y32" s="235">
        <f ca="1">X$32*(1-'Annexe G  Evolution Portefeuill'!$E21)+X$89*'Annexe B  Plan commercial'!$D24*Hypothèses!$D$57</f>
        <v>0</v>
      </c>
      <c r="Z32" s="235">
        <f ca="1">Y$32*(1-'Annexe G  Evolution Portefeuill'!$E21)+Y$89*'Annexe B  Plan commercial'!$D24*Hypothèses!$D$57</f>
        <v>0</v>
      </c>
      <c r="AA32" s="235">
        <f ca="1">Z$32*(1-'Annexe G  Evolution Portefeuill'!$E21)+Z$89*'Annexe B  Plan commercial'!$D24*Hypothèses!$D$57</f>
        <v>0</v>
      </c>
      <c r="AB32" s="235">
        <f ca="1">AA$32*(1-'Annexe G  Evolution Portefeuill'!$E21)+AA$89*'Annexe B  Plan commercial'!$D24*Hypothèses!$D$57</f>
        <v>0</v>
      </c>
      <c r="AC32" s="235">
        <f ca="1">AB$32*(1-'Annexe G  Evolution Portefeuill'!$E21)+AB$89*'Annexe B  Plan commercial'!$D24*Hypothèses!$D$57</f>
        <v>0</v>
      </c>
      <c r="AD32" s="235">
        <f ca="1">AC$32*(1-'Annexe G  Evolution Portefeuill'!$E21)+AC$89*'Annexe B  Plan commercial'!$D24*Hypothèses!$D$57</f>
        <v>0</v>
      </c>
      <c r="AE32" s="235">
        <f ca="1">AD$32*(1-'Annexe G  Evolution Portefeuill'!$E21)+AD$89*'Annexe B  Plan commercial'!$D24*Hypothèses!$D$57</f>
        <v>0</v>
      </c>
      <c r="AF32" s="235">
        <f ca="1">AE$32*(1-'Annexe G  Evolution Portefeuill'!$E21)+AE$89*'Annexe B  Plan commercial'!$D24*Hypothèses!$D$57</f>
        <v>0</v>
      </c>
      <c r="AG32" s="236">
        <f ca="1">AF$32*(1-'Annexe G  Evolution Portefeuill'!$E21)+AF$89*'Annexe B  Plan commercial'!$D24*Hypothèses!$D$57</f>
        <v>0</v>
      </c>
      <c r="AH32" s="235">
        <f ca="1">AG$32*(1-'Annexe G  Evolution Portefeuill'!$F21)+AG$89*'Annexe B  Plan commercial'!$E24*Hypothèses!$E$57</f>
        <v>0</v>
      </c>
      <c r="AI32" s="235">
        <f ca="1">AH$32*(1-'Annexe G  Evolution Portefeuill'!$F21)+AH$89*'Annexe B  Plan commercial'!$E24*Hypothèses!$E$57</f>
        <v>0</v>
      </c>
      <c r="AJ32" s="235">
        <f ca="1">AI$32*(1-'Annexe G  Evolution Portefeuill'!$F21)+AI$89*'Annexe B  Plan commercial'!$E24*Hypothèses!$E$57</f>
        <v>0</v>
      </c>
      <c r="AK32" s="235">
        <f ca="1">AJ$32*(1-'Annexe G  Evolution Portefeuill'!$F21)+AJ$89*'Annexe B  Plan commercial'!$E24*Hypothèses!$E$57</f>
        <v>0</v>
      </c>
      <c r="AL32" s="235">
        <f ca="1">AK$32*(1-'Annexe G  Evolution Portefeuill'!$F21)+AK$89*'Annexe B  Plan commercial'!$E24*Hypothèses!$E$57</f>
        <v>0</v>
      </c>
      <c r="AM32" s="235">
        <f ca="1">AL$32*(1-'Annexe G  Evolution Portefeuill'!$F21)+AL$89*'Annexe B  Plan commercial'!$E24*Hypothèses!$E$57</f>
        <v>0</v>
      </c>
      <c r="AN32" s="235">
        <f ca="1">AM$32*(1-'Annexe G  Evolution Portefeuill'!$F21)+AM$89*'Annexe B  Plan commercial'!$E24*Hypothèses!$E$57</f>
        <v>0</v>
      </c>
      <c r="AO32" s="235">
        <f ca="1">AN$32*(1-'Annexe G  Evolution Portefeuill'!$F21)+AN$89*'Annexe B  Plan commercial'!$E24*Hypothèses!$E$57</f>
        <v>0</v>
      </c>
      <c r="AP32" s="235">
        <f ca="1">AO$32*(1-'Annexe G  Evolution Portefeuill'!$F21)+AO$89*'Annexe B  Plan commercial'!$E24*Hypothèses!$E$57</f>
        <v>0</v>
      </c>
      <c r="AQ32" s="235">
        <f ca="1">AP$32*(1-'Annexe G  Evolution Portefeuill'!$F21)+AP$89*'Annexe B  Plan commercial'!$E24*Hypothèses!$E$57</f>
        <v>0</v>
      </c>
      <c r="AR32" s="235">
        <f ca="1">AQ$32*(1-'Annexe G  Evolution Portefeuill'!$F21)+AQ$89*'Annexe B  Plan commercial'!$E24*Hypothèses!$E$57</f>
        <v>0</v>
      </c>
      <c r="AS32" s="235">
        <f ca="1">AR$32*(1-'Annexe G  Evolution Portefeuill'!$F21)+AR$89*'Annexe B  Plan commercial'!$E24*Hypothèses!$E$57</f>
        <v>0</v>
      </c>
      <c r="AT32" s="237">
        <f ca="1">AS$32*(1-'Annexe G  Evolution Portefeuill'!$G21)+AS$89*'Annexe B  Plan commercial'!$F24*Hypothèses!$F$57</f>
        <v>0</v>
      </c>
      <c r="AU32" s="235">
        <f ca="1">AT$32*(1-'Annexe G  Evolution Portefeuill'!$G21)+AT$89*'Annexe B  Plan commercial'!$F24*Hypothèses!$F$57</f>
        <v>0</v>
      </c>
      <c r="AV32" s="235">
        <f ca="1">AU$32*(1-'Annexe G  Evolution Portefeuill'!$G21)+AU$89*'Annexe B  Plan commercial'!$F24*Hypothèses!$F$57</f>
        <v>0</v>
      </c>
      <c r="AW32" s="235">
        <f ca="1">AV$32*(1-'Annexe G  Evolution Portefeuill'!$G21)+AV$89*'Annexe B  Plan commercial'!$F24*Hypothèses!$F$57</f>
        <v>0</v>
      </c>
      <c r="AX32" s="235">
        <f ca="1">AW$32*(1-'Annexe G  Evolution Portefeuill'!$G21)+AW$89*'Annexe B  Plan commercial'!$F24*Hypothèses!$F$57</f>
        <v>0</v>
      </c>
      <c r="AY32" s="235">
        <f ca="1">AX$32*(1-'Annexe G  Evolution Portefeuill'!$G21)+AX$89*'Annexe B  Plan commercial'!$F24*Hypothèses!$F$57</f>
        <v>0</v>
      </c>
      <c r="AZ32" s="235">
        <f ca="1">AY$32*(1-'Annexe G  Evolution Portefeuill'!$G21)+AY$89*'Annexe B  Plan commercial'!$F24*Hypothèses!$F$57</f>
        <v>0</v>
      </c>
      <c r="BA32" s="235">
        <f ca="1">AZ$32*(1-'Annexe G  Evolution Portefeuill'!$G21)+AZ$89*'Annexe B  Plan commercial'!$F24*Hypothèses!$F$57</f>
        <v>0</v>
      </c>
      <c r="BB32" s="235">
        <f ca="1">BA$32*(1-'Annexe G  Evolution Portefeuill'!$G21)+BA$89*'Annexe B  Plan commercial'!$F24*Hypothèses!$F$57</f>
        <v>0</v>
      </c>
      <c r="BC32" s="235">
        <f ca="1">BB$32*(1-'Annexe G  Evolution Portefeuill'!$G21)+BB$89*'Annexe B  Plan commercial'!$F24*Hypothèses!$F$57</f>
        <v>0</v>
      </c>
      <c r="BD32" s="235">
        <f ca="1">BC$32*(1-'Annexe G  Evolution Portefeuill'!$G21)+BC$89*'Annexe B  Plan commercial'!$F24*Hypothèses!$F$57</f>
        <v>0</v>
      </c>
      <c r="BE32" s="236">
        <f ca="1">BD$32*(1-'Annexe G  Evolution Portefeuill'!$G21)+BD$89*'Annexe B  Plan commercial'!$F24*Hypothèses!$F$57</f>
        <v>0</v>
      </c>
      <c r="BF32" s="235">
        <f ca="1">BE$32*(1-'Annexe G  Evolution Portefeuill'!$H21)+BE$89*'Annexe B  Plan commercial'!$G24*Hypothèses!$G$57</f>
        <v>0</v>
      </c>
      <c r="BG32" s="235">
        <f ca="1">BF$32*(1-'Annexe G  Evolution Portefeuill'!$H21)+BF$89*'Annexe B  Plan commercial'!$G24*Hypothèses!$G$57</f>
        <v>0</v>
      </c>
      <c r="BH32" s="235">
        <f ca="1">BG$32*(1-'Annexe G  Evolution Portefeuill'!$H21)+BG$89*'Annexe B  Plan commercial'!$G24*Hypothèses!$G$57</f>
        <v>0</v>
      </c>
      <c r="BI32" s="235">
        <f ca="1">BH$32*(1-'Annexe G  Evolution Portefeuill'!$H21)+BH$89*'Annexe B  Plan commercial'!$G24*Hypothèses!$G$57</f>
        <v>0</v>
      </c>
      <c r="BJ32" s="235">
        <f ca="1">BI$32*(1-'Annexe G  Evolution Portefeuill'!$H21)+BI$89*'Annexe B  Plan commercial'!$G24*Hypothèses!$G$57</f>
        <v>0</v>
      </c>
      <c r="BK32" s="235">
        <f ca="1">BJ$32*(1-'Annexe G  Evolution Portefeuill'!$H21)+BJ$89*'Annexe B  Plan commercial'!$G24*Hypothèses!$G$57</f>
        <v>0</v>
      </c>
      <c r="BL32" s="235">
        <f ca="1">BK$32*(1-'Annexe G  Evolution Portefeuill'!$H21)+BK$89*'Annexe B  Plan commercial'!$G24*Hypothèses!$G$57</f>
        <v>0</v>
      </c>
      <c r="BM32" s="235">
        <f ca="1">BL$32*(1-'Annexe G  Evolution Portefeuill'!$H21)+BL$89*'Annexe B  Plan commercial'!$G24*Hypothèses!$G$57</f>
        <v>0</v>
      </c>
      <c r="BN32" s="235">
        <f ca="1">BM$32*(1-'Annexe G  Evolution Portefeuill'!$H21)+BM$89*'Annexe B  Plan commercial'!$G24*Hypothèses!$G$57</f>
        <v>0</v>
      </c>
      <c r="BO32" s="235">
        <f ca="1">BN$32*(1-'Annexe G  Evolution Portefeuill'!$H21)+BN$89*'Annexe B  Plan commercial'!$G24*Hypothèses!$G$57</f>
        <v>0</v>
      </c>
      <c r="BP32" s="235">
        <f ca="1">BO$32*(1-'Annexe G  Evolution Portefeuill'!$H21)+BO$89*'Annexe B  Plan commercial'!$G24*Hypothèses!$G$57</f>
        <v>0</v>
      </c>
      <c r="BQ32" s="235">
        <f ca="1">BP$32*(1-'Annexe G  Evolution Portefeuill'!$H21)+BP$89*'Annexe B  Plan commercial'!$G24*Hypothèses!$G$57</f>
        <v>0</v>
      </c>
      <c r="BR32" s="238">
        <f ca="1">BQ$32*(1-'Annexe G  Evolution Portefeuill'!$I21)+BQ$89*'Annexe B  Plan commercial'!$H24*Hypothèses!$H$57</f>
        <v>0</v>
      </c>
      <c r="BS32" s="235">
        <f ca="1">BR$32*(1-'Annexe G  Evolution Portefeuill'!$I21)+BR$89*'Annexe B  Plan commercial'!$H24*Hypothèses!$H$57</f>
        <v>0</v>
      </c>
      <c r="BT32" s="235">
        <f ca="1">BS$32*(1-'Annexe G  Evolution Portefeuill'!$I21)+BS$89*'Annexe B  Plan commercial'!$H24*Hypothèses!$H$57</f>
        <v>0</v>
      </c>
      <c r="BU32" s="235">
        <f ca="1">BT$32*(1-'Annexe G  Evolution Portefeuill'!$I21)+BT$89*'Annexe B  Plan commercial'!$H24*Hypothèses!$H$57</f>
        <v>0</v>
      </c>
      <c r="BV32" s="235">
        <f ca="1">BU$32*(1-'Annexe G  Evolution Portefeuill'!$I21)+BU$89*'Annexe B  Plan commercial'!$H24*Hypothèses!$H$57</f>
        <v>0</v>
      </c>
      <c r="BW32" s="235">
        <f ca="1">BV$32*(1-'Annexe G  Evolution Portefeuill'!$I21)+BV$89*'Annexe B  Plan commercial'!$H24*Hypothèses!$H$57</f>
        <v>0</v>
      </c>
      <c r="BX32" s="235">
        <f ca="1">BW$32*(1-'Annexe G  Evolution Portefeuill'!$I21)+BW$89*'Annexe B  Plan commercial'!$H24*Hypothèses!$H$57</f>
        <v>0</v>
      </c>
      <c r="BY32" s="235">
        <f ca="1">BX$32*(1-'Annexe G  Evolution Portefeuill'!$I21)+BX$89*'Annexe B  Plan commercial'!$H24*Hypothèses!$H$57</f>
        <v>0</v>
      </c>
      <c r="BZ32" s="235">
        <f ca="1">BY$32*(1-'Annexe G  Evolution Portefeuill'!$I21)+BY$89*'Annexe B  Plan commercial'!$H24*Hypothèses!$H$57</f>
        <v>0</v>
      </c>
      <c r="CA32" s="235">
        <f ca="1">BZ$32*(1-'Annexe G  Evolution Portefeuill'!$I21)+BZ$89*'Annexe B  Plan commercial'!$H24*Hypothèses!$H$57</f>
        <v>0</v>
      </c>
      <c r="CB32" s="235">
        <f ca="1">CA$32*(1-'Annexe G  Evolution Portefeuill'!$I21)+CA$89*'Annexe B  Plan commercial'!$H24*Hypothèses!$H$57</f>
        <v>0</v>
      </c>
      <c r="CC32" s="239">
        <f ca="1">CB$32*(1-'Annexe G  Evolution Portefeuill'!$I21)+CB$89*'Annexe B  Plan commercial'!$H24*Hypothèses!$H$57</f>
        <v>0</v>
      </c>
      <c r="CD32" s="242"/>
    </row>
    <row r="33" spans="1:82" ht="15">
      <c r="A33" s="243" t="s">
        <v>146</v>
      </c>
      <c r="B33" s="241"/>
      <c r="C33" s="244">
        <v>0</v>
      </c>
      <c r="D33" s="235">
        <f>C$33*(1-'Annexe G  Evolution Portefeuill'!$C21)+C$87*'Annexe B  Plan commercial'!$B30*Hypothèses!$B$58</f>
        <v>0</v>
      </c>
      <c r="E33" s="235">
        <f>D$33*(1-'Annexe G  Evolution Portefeuill'!$C21)+D$87*'Annexe B  Plan commercial'!$B30*Hypothèses!$B$58</f>
        <v>0</v>
      </c>
      <c r="F33" s="235">
        <f>E$33*(1-'Annexe G  Evolution Portefeuill'!$C21)+E$87*'Annexe B  Plan commercial'!$B30*Hypothèses!$B$58</f>
        <v>0</v>
      </c>
      <c r="G33" s="235">
        <f>F$33*(1-'Annexe G  Evolution Portefeuill'!$C21)+F$87*'Annexe B  Plan commercial'!$B30*Hypothèses!$B$58</f>
        <v>0</v>
      </c>
      <c r="H33" s="235">
        <f>G$33*(1-'Annexe G  Evolution Portefeuill'!$C21)+G$87*'Annexe B  Plan commercial'!$B30*Hypothèses!$B$58</f>
        <v>0</v>
      </c>
      <c r="I33" s="236">
        <f>H$33*(1-'Annexe G  Evolution Portefeuill'!$C21)+H$87*'Annexe B  Plan commercial'!$B30*Hypothèses!$B$58</f>
        <v>0</v>
      </c>
      <c r="J33" s="235">
        <f>I$33*(1-'Annexe G  Evolution Portefeuill'!$D21)+I$90*'Annexe B  Plan commercial'!$C30*Hypothèses!$C$58</f>
        <v>0</v>
      </c>
      <c r="K33" s="235">
        <f ca="1">J$33*(1-'Annexe G  Evolution Portefeuill'!$D21)+J$90*'Annexe B  Plan commercial'!$C30*Hypothèses!$C$58</f>
        <v>0</v>
      </c>
      <c r="L33" s="235">
        <f ca="1">K$33*(1-'Annexe G  Evolution Portefeuill'!$D21)+K$90*'Annexe B  Plan commercial'!$C30*Hypothèses!$C$58</f>
        <v>0</v>
      </c>
      <c r="M33" s="235">
        <f ca="1">L$33*(1-'Annexe G  Evolution Portefeuill'!$D21)+L$90*'Annexe B  Plan commercial'!$C30*Hypothèses!$C$58</f>
        <v>0</v>
      </c>
      <c r="N33" s="235">
        <f ca="1">M$33*(1-'Annexe G  Evolution Portefeuill'!$D21)+M$90*'Annexe B  Plan commercial'!$C30*Hypothèses!$C$58</f>
        <v>0</v>
      </c>
      <c r="O33" s="235">
        <f ca="1">N$33*(1-'Annexe G  Evolution Portefeuill'!$D21)+N$90*'Annexe B  Plan commercial'!$C30*Hypothèses!$C$58</f>
        <v>0</v>
      </c>
      <c r="P33" s="235">
        <f ca="1">O$33*(1-'Annexe G  Evolution Portefeuill'!$D21)+O$90*'Annexe B  Plan commercial'!$C30*Hypothèses!$C$58</f>
        <v>0</v>
      </c>
      <c r="Q33" s="235">
        <f ca="1">P$33*(1-'Annexe G  Evolution Portefeuill'!$D21)+P$90*'Annexe B  Plan commercial'!$C30*Hypothèses!$C$58</f>
        <v>0</v>
      </c>
      <c r="R33" s="235">
        <f ca="1">Q$33*(1-'Annexe G  Evolution Portefeuill'!$D21)+Q$90*'Annexe B  Plan commercial'!$C30*Hypothèses!$C$58</f>
        <v>0</v>
      </c>
      <c r="S33" s="235">
        <f ca="1">R$33*(1-'Annexe G  Evolution Portefeuill'!$D21)+R$90*'Annexe B  Plan commercial'!$C30*Hypothèses!$C$58</f>
        <v>0</v>
      </c>
      <c r="T33" s="235">
        <f ca="1">S$33*(1-'Annexe G  Evolution Portefeuill'!$D21)+S$90*'Annexe B  Plan commercial'!$C30*Hypothèses!$C$58</f>
        <v>0</v>
      </c>
      <c r="U33" s="235">
        <f ca="1">T$33*(1-'Annexe G  Evolution Portefeuill'!$D21)+T$90*'Annexe B  Plan commercial'!$C30*Hypothèses!$C$58</f>
        <v>0</v>
      </c>
      <c r="V33" s="237">
        <f ca="1">U$33*(1-'Annexe G  Evolution Portefeuill'!$E21)+U$90*'Annexe B  Plan commercial'!$D30*Hypothèses!$D$58</f>
        <v>0</v>
      </c>
      <c r="W33" s="235">
        <f ca="1">V$33*(1-'Annexe G  Evolution Portefeuill'!$E21)+V$90*'Annexe B  Plan commercial'!$D30*Hypothèses!$D$58</f>
        <v>0</v>
      </c>
      <c r="X33" s="235">
        <f ca="1">W$33*(1-'Annexe G  Evolution Portefeuill'!$E21)+W$90*'Annexe B  Plan commercial'!$D30*Hypothèses!$D$58</f>
        <v>0</v>
      </c>
      <c r="Y33" s="235">
        <f ca="1">X$33*(1-'Annexe G  Evolution Portefeuill'!$E21)+X$90*'Annexe B  Plan commercial'!$D30*Hypothèses!$D$58</f>
        <v>0</v>
      </c>
      <c r="Z33" s="235">
        <f ca="1">Y$33*(1-'Annexe G  Evolution Portefeuill'!$E21)+Y$90*'Annexe B  Plan commercial'!$D30*Hypothèses!$D$58</f>
        <v>0</v>
      </c>
      <c r="AA33" s="235">
        <f ca="1">Z$33*(1-'Annexe G  Evolution Portefeuill'!$E21)+Z$90*'Annexe B  Plan commercial'!$D30*Hypothèses!$D$58</f>
        <v>0</v>
      </c>
      <c r="AB33" s="235">
        <f ca="1">AA$33*(1-'Annexe G  Evolution Portefeuill'!$E21)+AA$90*'Annexe B  Plan commercial'!$D30*Hypothèses!$D$58</f>
        <v>0</v>
      </c>
      <c r="AC33" s="235">
        <f ca="1">AB$33*(1-'Annexe G  Evolution Portefeuill'!$E21)+AB$90*'Annexe B  Plan commercial'!$D30*Hypothèses!$D$58</f>
        <v>0</v>
      </c>
      <c r="AD33" s="235">
        <f ca="1">AC$33*(1-'Annexe G  Evolution Portefeuill'!$E21)+AC$90*'Annexe B  Plan commercial'!$D30*Hypothèses!$D$58</f>
        <v>0</v>
      </c>
      <c r="AE33" s="235">
        <f ca="1">AD$33*(1-'Annexe G  Evolution Portefeuill'!$E21)+AD$90*'Annexe B  Plan commercial'!$D30*Hypothèses!$D$58</f>
        <v>0</v>
      </c>
      <c r="AF33" s="235">
        <f ca="1">AE$33*(1-'Annexe G  Evolution Portefeuill'!$E21)+AE$90*'Annexe B  Plan commercial'!$D30*Hypothèses!$D$58</f>
        <v>0</v>
      </c>
      <c r="AG33" s="236">
        <f ca="1">AF$33*(1-'Annexe G  Evolution Portefeuill'!$E21)+AF$90*'Annexe B  Plan commercial'!$D30*Hypothèses!$D$58</f>
        <v>0</v>
      </c>
      <c r="AH33" s="235">
        <f ca="1">AG$33*(1-'Annexe G  Evolution Portefeuill'!$F21)+AG$90*'Annexe B  Plan commercial'!$E30*Hypothèses!$E$58</f>
        <v>0</v>
      </c>
      <c r="AI33" s="235">
        <f ca="1">AH$33*(1-'Annexe G  Evolution Portefeuill'!$F21)+AH$90*'Annexe B  Plan commercial'!$E30*Hypothèses!$E$58</f>
        <v>0</v>
      </c>
      <c r="AJ33" s="235">
        <f ca="1">AI$33*(1-'Annexe G  Evolution Portefeuill'!$F21)+AI$90*'Annexe B  Plan commercial'!$E30*Hypothèses!$E$58</f>
        <v>0</v>
      </c>
      <c r="AK33" s="235">
        <f ca="1">AJ$33*(1-'Annexe G  Evolution Portefeuill'!$F21)+AJ$90*'Annexe B  Plan commercial'!$E30*Hypothèses!$E$58</f>
        <v>0</v>
      </c>
      <c r="AL33" s="235">
        <f ca="1">AK$33*(1-'Annexe G  Evolution Portefeuill'!$F21)+AK$90*'Annexe B  Plan commercial'!$E30*Hypothèses!$E$58</f>
        <v>0</v>
      </c>
      <c r="AM33" s="235">
        <f ca="1">AL$33*(1-'Annexe G  Evolution Portefeuill'!$F21)+AL$90*'Annexe B  Plan commercial'!$E30*Hypothèses!$E$58</f>
        <v>0</v>
      </c>
      <c r="AN33" s="235">
        <f ca="1">AM$33*(1-'Annexe G  Evolution Portefeuill'!$F21)+AM$90*'Annexe B  Plan commercial'!$E30*Hypothèses!$E$58</f>
        <v>0</v>
      </c>
      <c r="AO33" s="235">
        <f ca="1">AN$33*(1-'Annexe G  Evolution Portefeuill'!$F21)+AN$90*'Annexe B  Plan commercial'!$E30*Hypothèses!$E$58</f>
        <v>0</v>
      </c>
      <c r="AP33" s="235">
        <f ca="1">AO$33*(1-'Annexe G  Evolution Portefeuill'!$F21)+AO$90*'Annexe B  Plan commercial'!$E30*Hypothèses!$E$58</f>
        <v>0</v>
      </c>
      <c r="AQ33" s="235">
        <f ca="1">AP$33*(1-'Annexe G  Evolution Portefeuill'!$F21)+AP$90*'Annexe B  Plan commercial'!$E30*Hypothèses!$E$58</f>
        <v>0</v>
      </c>
      <c r="AR33" s="235">
        <f ca="1">AQ$33*(1-'Annexe G  Evolution Portefeuill'!$F21)+AQ$90*'Annexe B  Plan commercial'!$E30*Hypothèses!$E$58</f>
        <v>0</v>
      </c>
      <c r="AS33" s="235">
        <f ca="1">AR$33*(1-'Annexe G  Evolution Portefeuill'!$F21)+AR$90*'Annexe B  Plan commercial'!$E30*Hypothèses!$E$58</f>
        <v>0</v>
      </c>
      <c r="AT33" s="237">
        <f ca="1">AS$33*(1-'Annexe G  Evolution Portefeuill'!$G21)+AS$90*'Annexe B  Plan commercial'!$F30*Hypothèses!$F$58</f>
        <v>0</v>
      </c>
      <c r="AU33" s="235">
        <f ca="1">AT$33*(1-'Annexe G  Evolution Portefeuill'!$G21)+AT$90*'Annexe B  Plan commercial'!$F30*Hypothèses!$F$58</f>
        <v>0</v>
      </c>
      <c r="AV33" s="235">
        <f ca="1">AU$33*(1-'Annexe G  Evolution Portefeuill'!$G21)+AU$90*'Annexe B  Plan commercial'!$F30*Hypothèses!$F$58</f>
        <v>0</v>
      </c>
      <c r="AW33" s="235">
        <f ca="1">AV$33*(1-'Annexe G  Evolution Portefeuill'!$G21)+AV$90*'Annexe B  Plan commercial'!$F30*Hypothèses!$F$58</f>
        <v>0</v>
      </c>
      <c r="AX33" s="235">
        <f ca="1">AW$33*(1-'Annexe G  Evolution Portefeuill'!$G21)+AW$90*'Annexe B  Plan commercial'!$F30*Hypothèses!$F$58</f>
        <v>0</v>
      </c>
      <c r="AY33" s="235">
        <f ca="1">AX$33*(1-'Annexe G  Evolution Portefeuill'!$G21)+AX$90*'Annexe B  Plan commercial'!$F30*Hypothèses!$F$58</f>
        <v>0</v>
      </c>
      <c r="AZ33" s="235">
        <f ca="1">AY$33*(1-'Annexe G  Evolution Portefeuill'!$G21)+AY$90*'Annexe B  Plan commercial'!$F30*Hypothèses!$F$58</f>
        <v>0</v>
      </c>
      <c r="BA33" s="235">
        <f ca="1">AZ$33*(1-'Annexe G  Evolution Portefeuill'!$G21)+AZ$90*'Annexe B  Plan commercial'!$F30*Hypothèses!$F$58</f>
        <v>0</v>
      </c>
      <c r="BB33" s="235">
        <f ca="1">BA$33*(1-'Annexe G  Evolution Portefeuill'!$G21)+BA$90*'Annexe B  Plan commercial'!$F30*Hypothèses!$F$58</f>
        <v>0</v>
      </c>
      <c r="BC33" s="235">
        <f ca="1">BB$33*(1-'Annexe G  Evolution Portefeuill'!$G21)+BB$90*'Annexe B  Plan commercial'!$F30*Hypothèses!$F$58</f>
        <v>0</v>
      </c>
      <c r="BD33" s="235">
        <f ca="1">BC$33*(1-'Annexe G  Evolution Portefeuill'!$G21)+BC$90*'Annexe B  Plan commercial'!$F30*Hypothèses!$F$58</f>
        <v>0</v>
      </c>
      <c r="BE33" s="236">
        <f ca="1">BD$33*(1-'Annexe G  Evolution Portefeuill'!$G21)+BD$90*'Annexe B  Plan commercial'!$F30*Hypothèses!$F$58</f>
        <v>0</v>
      </c>
      <c r="BF33" s="235">
        <f ca="1">BE$33*(1-'Annexe G  Evolution Portefeuill'!$H21)+BE$90*'Annexe B  Plan commercial'!$G30*Hypothèses!$G$58</f>
        <v>0</v>
      </c>
      <c r="BG33" s="235">
        <f ca="1">BF$33*(1-'Annexe G  Evolution Portefeuill'!$H21)+BF$90*'Annexe B  Plan commercial'!$G30*Hypothèses!$G$58</f>
        <v>0</v>
      </c>
      <c r="BH33" s="235">
        <f ca="1">BG$33*(1-'Annexe G  Evolution Portefeuill'!$H21)+BG$90*'Annexe B  Plan commercial'!$G30*Hypothèses!$G$58</f>
        <v>0</v>
      </c>
      <c r="BI33" s="235">
        <f ca="1">BH$33*(1-'Annexe G  Evolution Portefeuill'!$H21)+BH$90*'Annexe B  Plan commercial'!$G30*Hypothèses!$G$58</f>
        <v>0</v>
      </c>
      <c r="BJ33" s="235">
        <f ca="1">BI$33*(1-'Annexe G  Evolution Portefeuill'!$H21)+BI$90*'Annexe B  Plan commercial'!$G30*Hypothèses!$G$58</f>
        <v>0</v>
      </c>
      <c r="BK33" s="235">
        <f ca="1">BJ$33*(1-'Annexe G  Evolution Portefeuill'!$H21)+BJ$90*'Annexe B  Plan commercial'!$G30*Hypothèses!$G$58</f>
        <v>0</v>
      </c>
      <c r="BL33" s="235">
        <f ca="1">BK$33*(1-'Annexe G  Evolution Portefeuill'!$H21)+BK$90*'Annexe B  Plan commercial'!$G30*Hypothèses!$G$58</f>
        <v>0</v>
      </c>
      <c r="BM33" s="235">
        <f ca="1">BL$33*(1-'Annexe G  Evolution Portefeuill'!$H21)+BL$90*'Annexe B  Plan commercial'!$G30*Hypothèses!$G$58</f>
        <v>0</v>
      </c>
      <c r="BN33" s="235">
        <f ca="1">BM$33*(1-'Annexe G  Evolution Portefeuill'!$H21)+BM$90*'Annexe B  Plan commercial'!$G30*Hypothèses!$G$58</f>
        <v>0</v>
      </c>
      <c r="BO33" s="235">
        <f ca="1">BN$33*(1-'Annexe G  Evolution Portefeuill'!$H21)+BN$90*'Annexe B  Plan commercial'!$G30*Hypothèses!$G$58</f>
        <v>0</v>
      </c>
      <c r="BP33" s="235">
        <f ca="1">BO$33*(1-'Annexe G  Evolution Portefeuill'!$H21)+BO$90*'Annexe B  Plan commercial'!$G30*Hypothèses!$G$58</f>
        <v>0</v>
      </c>
      <c r="BQ33" s="235">
        <f ca="1">BP$33*(1-'Annexe G  Evolution Portefeuill'!$H21)+BP$90*'Annexe B  Plan commercial'!$G30*Hypothèses!$G$58</f>
        <v>0</v>
      </c>
      <c r="BR33" s="238">
        <f ca="1">BQ$33*(1-'Annexe G  Evolution Portefeuill'!$I22)+BQ$90*'Annexe B  Plan commercial'!$H30*Hypothèses!$H$58</f>
        <v>0</v>
      </c>
      <c r="BS33" s="235">
        <f ca="1">BR$33*(1-'Annexe G  Evolution Portefeuill'!$I22)+BR$90*'Annexe B  Plan commercial'!$H30*Hypothèses!$H$58</f>
        <v>0</v>
      </c>
      <c r="BT33" s="235">
        <f ca="1">BS$33*(1-'Annexe G  Evolution Portefeuill'!$I22)+BS$90*'Annexe B  Plan commercial'!$H30*Hypothèses!$H$58</f>
        <v>0</v>
      </c>
      <c r="BU33" s="235">
        <f ca="1">BT$33*(1-'Annexe G  Evolution Portefeuill'!$I22)+BT$90*'Annexe B  Plan commercial'!$H30*Hypothèses!$H$58</f>
        <v>0</v>
      </c>
      <c r="BV33" s="235">
        <f ca="1">BU$33*(1-'Annexe G  Evolution Portefeuill'!$I22)+BU$90*'Annexe B  Plan commercial'!$H30*Hypothèses!$H$58</f>
        <v>0</v>
      </c>
      <c r="BW33" s="235">
        <f ca="1">BV$33*(1-'Annexe G  Evolution Portefeuill'!$I22)+BV$90*'Annexe B  Plan commercial'!$H30*Hypothèses!$H$58</f>
        <v>0</v>
      </c>
      <c r="BX33" s="235">
        <f ca="1">BW$33*(1-'Annexe G  Evolution Portefeuill'!$I22)+BW$90*'Annexe B  Plan commercial'!$H30*Hypothèses!$H$58</f>
        <v>0</v>
      </c>
      <c r="BY33" s="235">
        <f ca="1">BX$33*(1-'Annexe G  Evolution Portefeuill'!$I22)+BX$90*'Annexe B  Plan commercial'!$H30*Hypothèses!$H$58</f>
        <v>0</v>
      </c>
      <c r="BZ33" s="235">
        <f ca="1">BY$33*(1-'Annexe G  Evolution Portefeuill'!$I22)+BY$90*'Annexe B  Plan commercial'!$H30*Hypothèses!$H$58</f>
        <v>0</v>
      </c>
      <c r="CA33" s="235">
        <f ca="1">BZ$33*(1-'Annexe G  Evolution Portefeuill'!$I22)+BZ$90*'Annexe B  Plan commercial'!$H30*Hypothèses!$H$58</f>
        <v>0</v>
      </c>
      <c r="CB33" s="235">
        <f ca="1">CA$33*(1-'Annexe G  Evolution Portefeuill'!$I22)+CA$90*'Annexe B  Plan commercial'!$H30*Hypothèses!$H$58</f>
        <v>0</v>
      </c>
      <c r="CC33" s="239">
        <f ca="1">CB$33*(1-'Annexe G  Evolution Portefeuill'!$I22)+CB$90*'Annexe B  Plan commercial'!$H30*Hypothèses!$H$58</f>
        <v>0</v>
      </c>
      <c r="CD33" s="242"/>
    </row>
    <row r="34" spans="1:82" ht="15">
      <c r="A34" s="233"/>
      <c r="B34" s="241"/>
      <c r="C34" s="227"/>
      <c r="D34" s="228"/>
      <c r="E34" s="228"/>
      <c r="F34" s="228"/>
      <c r="G34" s="228"/>
      <c r="H34" s="228"/>
      <c r="I34" s="229"/>
      <c r="J34" s="228"/>
      <c r="K34" s="228"/>
      <c r="L34" s="228"/>
      <c r="M34" s="228"/>
      <c r="N34" s="228"/>
      <c r="O34" s="228"/>
      <c r="P34" s="228"/>
      <c r="Q34" s="228"/>
      <c r="R34" s="228"/>
      <c r="S34" s="228"/>
      <c r="T34" s="228"/>
      <c r="U34" s="228"/>
      <c r="V34" s="227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9"/>
      <c r="AH34" s="228"/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28"/>
      <c r="AT34" s="227"/>
      <c r="AU34" s="228"/>
      <c r="AV34" s="228"/>
      <c r="AW34" s="228"/>
      <c r="AX34" s="228"/>
      <c r="AY34" s="228"/>
      <c r="AZ34" s="228"/>
      <c r="BA34" s="228"/>
      <c r="BB34" s="228"/>
      <c r="BC34" s="228"/>
      <c r="BD34" s="228"/>
      <c r="BE34" s="229"/>
      <c r="BF34" s="228"/>
      <c r="BG34" s="228"/>
      <c r="BH34" s="228"/>
      <c r="BI34" s="228"/>
      <c r="BJ34" s="228"/>
      <c r="BK34" s="228"/>
      <c r="BL34" s="228"/>
      <c r="BM34" s="228"/>
      <c r="BN34" s="228"/>
      <c r="BO34" s="228"/>
      <c r="BP34" s="228"/>
      <c r="BQ34" s="228"/>
      <c r="BR34" s="230"/>
      <c r="BS34" s="228"/>
      <c r="BT34" s="228"/>
      <c r="BU34" s="228"/>
      <c r="BV34" s="228"/>
      <c r="BW34" s="228"/>
      <c r="BX34" s="228"/>
      <c r="BY34" s="228"/>
      <c r="BZ34" s="228"/>
      <c r="CA34" s="228"/>
      <c r="CB34" s="228"/>
      <c r="CC34" s="231"/>
      <c r="CD34" s="242"/>
    </row>
    <row r="35" spans="1:82" ht="15">
      <c r="A35" s="233" t="s">
        <v>148</v>
      </c>
      <c r="B35" s="241"/>
      <c r="C35" s="227">
        <f t="shared" ref="C35:CC35" si="7">C36+C37+C38</f>
        <v>30.099999999999998</v>
      </c>
      <c r="D35" s="228">
        <f t="shared" si="7"/>
        <v>30.372091939546596</v>
      </c>
      <c r="E35" s="228">
        <f t="shared" si="7"/>
        <v>30.633300201511329</v>
      </c>
      <c r="F35" s="228">
        <f t="shared" si="7"/>
        <v>30.884060132997472</v>
      </c>
      <c r="G35" s="228">
        <f t="shared" si="7"/>
        <v>31.124789667224171</v>
      </c>
      <c r="H35" s="228">
        <f t="shared" si="7"/>
        <v>31.355890020081802</v>
      </c>
      <c r="I35" s="229">
        <f t="shared" si="7"/>
        <v>31.577746358825127</v>
      </c>
      <c r="J35" s="228">
        <f t="shared" si="7"/>
        <v>31.631344215348228</v>
      </c>
      <c r="K35" s="228">
        <f t="shared" ca="1" si="7"/>
        <v>31.776610365997037</v>
      </c>
      <c r="L35" s="228">
        <f t="shared" ca="1" si="7"/>
        <v>31.391646935222486</v>
      </c>
      <c r="M35" s="228">
        <f t="shared" ca="1" si="7"/>
        <v>31.545542187955821</v>
      </c>
      <c r="N35" s="228">
        <f t="shared" ca="1" si="7"/>
        <v>31.693897211590755</v>
      </c>
      <c r="O35" s="228">
        <f t="shared" ca="1" si="7"/>
        <v>31.836911454374832</v>
      </c>
      <c r="P35" s="228">
        <f t="shared" ca="1" si="7"/>
        <v>31.974777184418681</v>
      </c>
      <c r="Q35" s="228">
        <f t="shared" ca="1" si="7"/>
        <v>32.341674290582297</v>
      </c>
      <c r="R35" s="228">
        <f t="shared" ca="1" si="7"/>
        <v>32.69536310092402</v>
      </c>
      <c r="S35" s="228">
        <f t="shared" ca="1" si="7"/>
        <v>33.036319114093445</v>
      </c>
      <c r="T35" s="228">
        <f t="shared" ca="1" si="7"/>
        <v>33.36500071078877</v>
      </c>
      <c r="U35" s="228">
        <f t="shared" ca="1" si="7"/>
        <v>33.681849770003062</v>
      </c>
      <c r="V35" s="227">
        <f t="shared" ca="1" si="7"/>
        <v>33.751058145665112</v>
      </c>
      <c r="W35" s="228">
        <f t="shared" ca="1" si="7"/>
        <v>33.817913436554647</v>
      </c>
      <c r="X35" s="228">
        <f t="shared" ca="1" si="7"/>
        <v>33.882495647553938</v>
      </c>
      <c r="Y35" s="228">
        <f t="shared" ca="1" si="7"/>
        <v>33.944882063379254</v>
      </c>
      <c r="Z35" s="228">
        <f t="shared" ca="1" si="7"/>
        <v>34.005147341066504</v>
      </c>
      <c r="AA35" s="228">
        <f t="shared" ca="1" si="7"/>
        <v>34.063363599312396</v>
      </c>
      <c r="AB35" s="228">
        <f t="shared" ca="1" si="7"/>
        <v>34.119600504777921</v>
      </c>
      <c r="AC35" s="228">
        <f t="shared" ca="1" si="7"/>
        <v>34.267523172418159</v>
      </c>
      <c r="AD35" s="228">
        <f t="shared" ca="1" si="7"/>
        <v>34.410416469358623</v>
      </c>
      <c r="AE35" s="228">
        <f t="shared" ca="1" si="7"/>
        <v>34.548451394203113</v>
      </c>
      <c r="AF35" s="228">
        <f t="shared" ca="1" si="7"/>
        <v>34.681793131602888</v>
      </c>
      <c r="AG35" s="229">
        <f t="shared" ca="1" si="7"/>
        <v>34.810601249931075</v>
      </c>
      <c r="AH35" s="228">
        <f t="shared" ca="1" si="7"/>
        <v>34.712464424785225</v>
      </c>
      <c r="AI35" s="228">
        <f t="shared" ca="1" si="7"/>
        <v>34.617369841218895</v>
      </c>
      <c r="AJ35" s="228">
        <f t="shared" ca="1" si="7"/>
        <v>34.525223189743123</v>
      </c>
      <c r="AK35" s="228">
        <f t="shared" ca="1" si="7"/>
        <v>34.435933084463102</v>
      </c>
      <c r="AL35" s="228">
        <f t="shared" ca="1" si="7"/>
        <v>34.349410972446762</v>
      </c>
      <c r="AM35" s="228">
        <f t="shared" ca="1" si="7"/>
        <v>34.265571045902931</v>
      </c>
      <c r="AN35" s="228">
        <f t="shared" ca="1" si="7"/>
        <v>34.184330157081959</v>
      </c>
      <c r="AO35" s="228">
        <f t="shared" ca="1" si="7"/>
        <v>34.105607735814438</v>
      </c>
      <c r="AP35" s="228">
        <f t="shared" ca="1" si="7"/>
        <v>34.029325709606205</v>
      </c>
      <c r="AQ35" s="228">
        <f t="shared" ca="1" si="7"/>
        <v>33.955408426210425</v>
      </c>
      <c r="AR35" s="228">
        <f t="shared" ca="1" si="7"/>
        <v>33.88378257859992</v>
      </c>
      <c r="AS35" s="228">
        <f t="shared" ca="1" si="7"/>
        <v>33.814377132265342</v>
      </c>
      <c r="AT35" s="227">
        <f t="shared" ca="1" si="7"/>
        <v>33.453940360698724</v>
      </c>
      <c r="AU35" s="228">
        <f t="shared" ca="1" si="7"/>
        <v>33.104316692279106</v>
      </c>
      <c r="AV35" s="228">
        <f t="shared" ca="1" si="7"/>
        <v>32.765181733912073</v>
      </c>
      <c r="AW35" s="228">
        <f t="shared" ca="1" si="7"/>
        <v>32.436220824296051</v>
      </c>
      <c r="AX35" s="228">
        <f t="shared" ca="1" si="7"/>
        <v>32.117128741968514</v>
      </c>
      <c r="AY35" s="228">
        <f t="shared" ca="1" si="7"/>
        <v>31.807609422110801</v>
      </c>
      <c r="AZ35" s="228">
        <f t="shared" ca="1" si="7"/>
        <v>31.507375681848817</v>
      </c>
      <c r="BA35" s="228">
        <f t="shared" ca="1" si="7"/>
        <v>31.333146224995367</v>
      </c>
      <c r="BB35" s="228">
        <f t="shared" ca="1" si="7"/>
        <v>31.164143651847521</v>
      </c>
      <c r="BC35" s="228">
        <f t="shared" ca="1" si="7"/>
        <v>31.00021115589411</v>
      </c>
      <c r="BD35" s="228">
        <f t="shared" ca="1" si="7"/>
        <v>30.841196634819301</v>
      </c>
      <c r="BE35" s="229">
        <f t="shared" ca="1" si="7"/>
        <v>30.686952549376738</v>
      </c>
      <c r="BF35" s="228">
        <f t="shared" ca="1" si="7"/>
        <v>30.660083596694957</v>
      </c>
      <c r="BG35" s="228">
        <f t="shared" ca="1" si="7"/>
        <v>30.633913236782902</v>
      </c>
      <c r="BH35" s="228">
        <f t="shared" ca="1" si="7"/>
        <v>31.028423306228561</v>
      </c>
      <c r="BI35" s="228">
        <f t="shared" ca="1" si="7"/>
        <v>31.412676113868628</v>
      </c>
      <c r="BJ35" s="228">
        <f t="shared" ca="1" si="7"/>
        <v>32.206938348510057</v>
      </c>
      <c r="BK35" s="228">
        <f t="shared" ca="1" si="7"/>
        <v>33.400549765050812</v>
      </c>
      <c r="BL35" s="228">
        <f t="shared" ca="1" si="7"/>
        <v>34.563127284761499</v>
      </c>
      <c r="BM35" s="228">
        <f t="shared" ca="1" si="7"/>
        <v>37.619728418682641</v>
      </c>
      <c r="BN35" s="228">
        <f t="shared" ca="1" si="7"/>
        <v>40.596857923121831</v>
      </c>
      <c r="BO35" s="228">
        <f t="shared" ca="1" si="7"/>
        <v>43.496582060445604</v>
      </c>
      <c r="BP35" s="228">
        <f t="shared" ca="1" si="7"/>
        <v>46.320913370198951</v>
      </c>
      <c r="BQ35" s="228">
        <f t="shared" ca="1" si="7"/>
        <v>49.071812065898712</v>
      </c>
      <c r="BR35" s="230">
        <f t="shared" ca="1" si="7"/>
        <v>51.94747464377388</v>
      </c>
      <c r="BS35" s="228">
        <f t="shared" ca="1" si="7"/>
        <v>54.969872644935791</v>
      </c>
      <c r="BT35" s="228">
        <f t="shared" ca="1" si="7"/>
        <v>57.925777890072141</v>
      </c>
      <c r="BU35" s="228">
        <f t="shared" ca="1" si="7"/>
        <v>61.026653219815486</v>
      </c>
      <c r="BV35" s="228">
        <f t="shared" ca="1" si="7"/>
        <v>64.059309292304476</v>
      </c>
      <c r="BW35" s="228">
        <f t="shared" ca="1" si="7"/>
        <v>67.025246931198723</v>
      </c>
      <c r="BX35" s="228">
        <f t="shared" ca="1" si="7"/>
        <v>70.555933942037285</v>
      </c>
      <c r="BY35" s="228">
        <f t="shared" ca="1" si="7"/>
        <v>79.782668317413396</v>
      </c>
      <c r="BZ35" s="228">
        <f t="shared" ca="1" si="7"/>
        <v>89.016414536531258</v>
      </c>
      <c r="CA35" s="228">
        <f t="shared" ca="1" si="7"/>
        <v>98.047018338828494</v>
      </c>
      <c r="CB35" s="228">
        <f t="shared" ca="1" si="7"/>
        <v>107.29894885747522</v>
      </c>
      <c r="CC35" s="231">
        <f t="shared" ca="1" si="7"/>
        <v>116.34733690471171</v>
      </c>
      <c r="CD35" s="242"/>
    </row>
    <row r="36" spans="1:82" ht="14" outlineLevel="1">
      <c r="A36" s="233" t="s">
        <v>142</v>
      </c>
      <c r="B36" s="61"/>
      <c r="C36" s="244">
        <f>43*0.7</f>
        <v>30.099999999999998</v>
      </c>
      <c r="D36" s="235">
        <f>C36*(1-'Annexe G  Evolution Portefeuill'!$C22)+C$86*'Annexe B  Plan commercial'!$B7*Hypothèses!$B$54</f>
        <v>30.372091939546596</v>
      </c>
      <c r="E36" s="235">
        <f>D36*(1-'Annexe G  Evolution Portefeuill'!$C22)+D$86*'Annexe B  Plan commercial'!$B7*Hypothèses!$B$54</f>
        <v>30.633300201511329</v>
      </c>
      <c r="F36" s="235">
        <f>E36*(1-'Annexe G  Evolution Portefeuill'!$C22)+E$86*'Annexe B  Plan commercial'!$B7*Hypothèses!$B$54</f>
        <v>30.884060132997472</v>
      </c>
      <c r="G36" s="235">
        <f>F36*(1-'Annexe G  Evolution Portefeuill'!$C22)+F$86*'Annexe B  Plan commercial'!$B7*Hypothèses!$B$54</f>
        <v>31.124789667224171</v>
      </c>
      <c r="H36" s="235">
        <f>G36*(1-'Annexe G  Evolution Portefeuill'!$C22)+G$86*'Annexe B  Plan commercial'!$B7*Hypothèses!$B$54</f>
        <v>31.355890020081802</v>
      </c>
      <c r="I36" s="236">
        <f>H36*(1-'Annexe G  Evolution Portefeuill'!$C22)+H$86*'Annexe B  Plan commercial'!$B7*Hypothèses!$B$54</f>
        <v>31.577746358825127</v>
      </c>
      <c r="J36" s="235">
        <f>I36*(1-'Annexe G  Evolution Portefeuill'!$D22)+I$86*'Annexe B  Plan commercial'!$C7*Hypothèses!$C$54</f>
        <v>31.631344215348228</v>
      </c>
      <c r="K36" s="235">
        <f ca="1">J36*(1-'Annexe G  Evolution Portefeuill'!$D22)+J$86*'Annexe B  Plan commercial'!$C7*Hypothèses!$C$54</f>
        <v>31.776610365997037</v>
      </c>
      <c r="L36" s="235">
        <f ca="1">K36*(1-'Annexe G  Evolution Portefeuill'!$D22)+K$86*'Annexe B  Plan commercial'!$C7*Hypothèses!$C$54</f>
        <v>31.391646935222486</v>
      </c>
      <c r="M36" s="235">
        <f ca="1">L36*(1-'Annexe G  Evolution Portefeuill'!$D22)+L$86*'Annexe B  Plan commercial'!$C7*Hypothèses!$C$54</f>
        <v>31.545542187955821</v>
      </c>
      <c r="N36" s="235">
        <f ca="1">M36*(1-'Annexe G  Evolution Portefeuill'!$D22)+M$86*'Annexe B  Plan commercial'!$C7*Hypothèses!$C$54</f>
        <v>31.693897211590755</v>
      </c>
      <c r="O36" s="235">
        <f ca="1">N36*(1-'Annexe G  Evolution Portefeuill'!$D22)+N$86*'Annexe B  Plan commercial'!$C7*Hypothèses!$C$54</f>
        <v>31.836911454374832</v>
      </c>
      <c r="P36" s="235">
        <f ca="1">O36*(1-'Annexe G  Evolution Portefeuill'!$D22)+O$86*'Annexe B  Plan commercial'!$C7*Hypothèses!$C$54</f>
        <v>31.974777184418681</v>
      </c>
      <c r="Q36" s="235">
        <f ca="1">P36*(1-'Annexe G  Evolution Portefeuill'!$D22)+P$86*'Annexe B  Plan commercial'!$C7*Hypothèses!$C$54</f>
        <v>32.341674290582297</v>
      </c>
      <c r="R36" s="235">
        <f ca="1">Q36*(1-'Annexe G  Evolution Portefeuill'!$D22)+Q$86*'Annexe B  Plan commercial'!$C7*Hypothèses!$C$54</f>
        <v>32.69536310092402</v>
      </c>
      <c r="S36" s="235">
        <f ca="1">R36*(1-'Annexe G  Evolution Portefeuill'!$D22)+R$86*'Annexe B  Plan commercial'!$C7*Hypothèses!$C$54</f>
        <v>33.036319114093445</v>
      </c>
      <c r="T36" s="235">
        <f ca="1">S36*(1-'Annexe G  Evolution Portefeuill'!$D22)+S$86*'Annexe B  Plan commercial'!$C7*Hypothèses!$C$54</f>
        <v>33.36500071078877</v>
      </c>
      <c r="U36" s="235">
        <f ca="1">T36*(1-'Annexe G  Evolution Portefeuill'!$D22)+T$86*'Annexe B  Plan commercial'!$C7*Hypothèses!$C$54</f>
        <v>33.681849770003062</v>
      </c>
      <c r="V36" s="237">
        <f ca="1">U36*(1-'Annexe G  Evolution Portefeuill'!$E22)+U$86*'Annexe B  Plan commercial'!$D7*Hypothèses!$D$54</f>
        <v>33.751058145665112</v>
      </c>
      <c r="W36" s="235">
        <f ca="1">V36*(1-'Annexe G  Evolution Portefeuill'!$E22)+V$86*'Annexe B  Plan commercial'!$D7*Hypothèses!$D$54</f>
        <v>33.817913436554647</v>
      </c>
      <c r="X36" s="235">
        <f ca="1">W36*(1-'Annexe G  Evolution Portefeuill'!$E22)+W$86*'Annexe B  Plan commercial'!$D7*Hypothèses!$D$54</f>
        <v>33.882495647553938</v>
      </c>
      <c r="Y36" s="235">
        <f ca="1">X36*(1-'Annexe G  Evolution Portefeuill'!$E22)+X$86*'Annexe B  Plan commercial'!$D7*Hypothèses!$D$54</f>
        <v>33.944882063379254</v>
      </c>
      <c r="Z36" s="235">
        <f ca="1">Y36*(1-'Annexe G  Evolution Portefeuill'!$E22)+Y$86*'Annexe B  Plan commercial'!$D7*Hypothèses!$D$54</f>
        <v>34.005147341066504</v>
      </c>
      <c r="AA36" s="235">
        <f ca="1">Z36*(1-'Annexe G  Evolution Portefeuill'!$E22)+Z$86*'Annexe B  Plan commercial'!$D7*Hypothèses!$D$54</f>
        <v>34.063363599312396</v>
      </c>
      <c r="AB36" s="235">
        <f ca="1">AA36*(1-'Annexe G  Evolution Portefeuill'!$E22)+AA$86*'Annexe B  Plan commercial'!$D7*Hypothèses!$D$54</f>
        <v>34.119600504777921</v>
      </c>
      <c r="AC36" s="235">
        <f ca="1">AB36*(1-'Annexe G  Evolution Portefeuill'!$E22)+AB$86*'Annexe B  Plan commercial'!$D7*Hypothèses!$D$54</f>
        <v>34.267523172418159</v>
      </c>
      <c r="AD36" s="235">
        <f ca="1">AC36*(1-'Annexe G  Evolution Portefeuill'!$E22)+AC$86*'Annexe B  Plan commercial'!$D7*Hypothèses!$D$54</f>
        <v>34.410416469358623</v>
      </c>
      <c r="AE36" s="235">
        <f ca="1">AD36*(1-'Annexe G  Evolution Portefeuill'!$E22)+AD$86*'Annexe B  Plan commercial'!$D7*Hypothèses!$D$54</f>
        <v>34.548451394203113</v>
      </c>
      <c r="AF36" s="235">
        <f ca="1">AE36*(1-'Annexe G  Evolution Portefeuill'!$E22)+AE$86*'Annexe B  Plan commercial'!$D7*Hypothèses!$D$54</f>
        <v>34.681793131602888</v>
      </c>
      <c r="AG36" s="236">
        <f ca="1">AF36*(1-'Annexe G  Evolution Portefeuill'!$E22)+AF$86*'Annexe B  Plan commercial'!$D7*Hypothèses!$D$54</f>
        <v>34.810601249931075</v>
      </c>
      <c r="AH36" s="235">
        <f ca="1">AG36*(1-'Annexe G  Evolution Portefeuill'!$F22)+AG$86*'Annexe B  Plan commercial'!$E7*Hypothèses!$E$54</f>
        <v>34.712464424785225</v>
      </c>
      <c r="AI36" s="235">
        <f ca="1">AH36*(1-'Annexe G  Evolution Portefeuill'!$F22)+AH$86*'Annexe B  Plan commercial'!$E7*Hypothèses!$E$54</f>
        <v>34.617369841218895</v>
      </c>
      <c r="AJ36" s="235">
        <f ca="1">AI36*(1-'Annexe G  Evolution Portefeuill'!$F22)+AI$86*'Annexe B  Plan commercial'!$E7*Hypothèses!$E$54</f>
        <v>34.525223189743123</v>
      </c>
      <c r="AK36" s="235">
        <f ca="1">AJ36*(1-'Annexe G  Evolution Portefeuill'!$F22)+AJ$86*'Annexe B  Plan commercial'!$E7*Hypothèses!$E$54</f>
        <v>34.435933084463102</v>
      </c>
      <c r="AL36" s="235">
        <f ca="1">AK36*(1-'Annexe G  Evolution Portefeuill'!$F22)+AK$86*'Annexe B  Plan commercial'!$E7*Hypothèses!$E$54</f>
        <v>34.349410972446762</v>
      </c>
      <c r="AM36" s="235">
        <f ca="1">AL36*(1-'Annexe G  Evolution Portefeuill'!$F22)+AL$86*'Annexe B  Plan commercial'!$E7*Hypothèses!$E$54</f>
        <v>34.265571045902931</v>
      </c>
      <c r="AN36" s="235">
        <f ca="1">AM36*(1-'Annexe G  Evolution Portefeuill'!$F22)+AM$86*'Annexe B  Plan commercial'!$E7*Hypothèses!$E$54</f>
        <v>34.184330157081959</v>
      </c>
      <c r="AO36" s="235">
        <f ca="1">AN36*(1-'Annexe G  Evolution Portefeuill'!$F22)+AN$86*'Annexe B  Plan commercial'!$E7*Hypothèses!$E$54</f>
        <v>34.105607735814438</v>
      </c>
      <c r="AP36" s="235">
        <f ca="1">AO36*(1-'Annexe G  Evolution Portefeuill'!$F22)+AO$86*'Annexe B  Plan commercial'!$E7*Hypothèses!$E$54</f>
        <v>34.029325709606205</v>
      </c>
      <c r="AQ36" s="235">
        <f ca="1">AP36*(1-'Annexe G  Evolution Portefeuill'!$F22)+AP$86*'Annexe B  Plan commercial'!$E7*Hypothèses!$E$54</f>
        <v>33.955408426210425</v>
      </c>
      <c r="AR36" s="235">
        <f ca="1">AQ36*(1-'Annexe G  Evolution Portefeuill'!$F22)+AQ$86*'Annexe B  Plan commercial'!$E7*Hypothèses!$E$54</f>
        <v>33.88378257859992</v>
      </c>
      <c r="AS36" s="235">
        <f ca="1">AR36*(1-'Annexe G  Evolution Portefeuill'!$F22)+AR$86*'Annexe B  Plan commercial'!$E7*Hypothèses!$E$54</f>
        <v>33.814377132265342</v>
      </c>
      <c r="AT36" s="237">
        <f ca="1">AS36*(1-'Annexe G  Evolution Portefeuill'!$G22)+AS$86*'Annexe B  Plan commercial'!$F7*Hypothèses!$F$54</f>
        <v>33.453940360698724</v>
      </c>
      <c r="AU36" s="235">
        <f ca="1">AT36*(1-'Annexe G  Evolution Portefeuill'!$G22)+AT$86*'Annexe B  Plan commercial'!$F7*Hypothèses!$F$54</f>
        <v>33.104316692279106</v>
      </c>
      <c r="AV36" s="235">
        <f ca="1">AU36*(1-'Annexe G  Evolution Portefeuill'!$G22)+AU$86*'Annexe B  Plan commercial'!$F7*Hypothèses!$F$54</f>
        <v>32.765181733912073</v>
      </c>
      <c r="AW36" s="235">
        <f ca="1">AV36*(1-'Annexe G  Evolution Portefeuill'!$G22)+AV$86*'Annexe B  Plan commercial'!$F7*Hypothèses!$F$54</f>
        <v>32.436220824296051</v>
      </c>
      <c r="AX36" s="235">
        <f ca="1">AW36*(1-'Annexe G  Evolution Portefeuill'!$G22)+AW$86*'Annexe B  Plan commercial'!$F7*Hypothèses!$F$54</f>
        <v>32.117128741968514</v>
      </c>
      <c r="AY36" s="235">
        <f ca="1">AX36*(1-'Annexe G  Evolution Portefeuill'!$G22)+AX$86*'Annexe B  Plan commercial'!$F7*Hypothèses!$F$54</f>
        <v>31.807609422110801</v>
      </c>
      <c r="AZ36" s="235">
        <f ca="1">AY36*(1-'Annexe G  Evolution Portefeuill'!$G22)+AY$86*'Annexe B  Plan commercial'!$F7*Hypothèses!$F$54</f>
        <v>31.507375681848817</v>
      </c>
      <c r="BA36" s="235">
        <f ca="1">AZ36*(1-'Annexe G  Evolution Portefeuill'!$G22)+AZ$86*'Annexe B  Plan commercial'!$F7*Hypothèses!$F$54</f>
        <v>31.333146224995367</v>
      </c>
      <c r="BB36" s="235">
        <f ca="1">BA36*(1-'Annexe G  Evolution Portefeuill'!$G22)+BA$86*'Annexe B  Plan commercial'!$F7*Hypothèses!$F$54</f>
        <v>31.164143651847521</v>
      </c>
      <c r="BC36" s="235">
        <f ca="1">BB36*(1-'Annexe G  Evolution Portefeuill'!$G22)+BB$86*'Annexe B  Plan commercial'!$F7*Hypothèses!$F$54</f>
        <v>31.00021115589411</v>
      </c>
      <c r="BD36" s="235">
        <f ca="1">BC36*(1-'Annexe G  Evolution Portefeuill'!$G22)+BC$86*'Annexe B  Plan commercial'!$F7*Hypothèses!$F$54</f>
        <v>30.841196634819301</v>
      </c>
      <c r="BE36" s="236">
        <f ca="1">BD36*(1-'Annexe G  Evolution Portefeuill'!$G22)+BD$86*'Annexe B  Plan commercial'!$F7*Hypothèses!$F$54</f>
        <v>30.686952549376738</v>
      </c>
      <c r="BF36" s="235">
        <f ca="1">BE36*(1-'Annexe G  Evolution Portefeuill'!$H22)+BE$86*'Annexe B  Plan commercial'!$G7*Hypothèses!$G$54</f>
        <v>30.660083596694957</v>
      </c>
      <c r="BG36" s="235">
        <f ca="1">BF36*(1-'Annexe G  Evolution Portefeuill'!$H22)+BF$86*'Annexe B  Plan commercial'!$G7*Hypothèses!$G$54</f>
        <v>30.633913236782902</v>
      </c>
      <c r="BH36" s="235">
        <f ca="1">BG36*(1-'Annexe G  Evolution Portefeuill'!$H22)+BG$86*'Annexe B  Plan commercial'!$G7*Hypothèses!$G$54</f>
        <v>30.81842330622856</v>
      </c>
      <c r="BI36" s="235">
        <f ca="1">BH36*(1-'Annexe G  Evolution Portefeuill'!$H22)+BH$86*'Annexe B  Plan commercial'!$G7*Hypothèses!$G$54</f>
        <v>30.998136113868629</v>
      </c>
      <c r="BJ36" s="235">
        <f ca="1">BI36*(1-'Annexe G  Evolution Portefeuill'!$H22)+BI$86*'Annexe B  Plan commercial'!$G7*Hypothèses!$G$54</f>
        <v>31.593176388510059</v>
      </c>
      <c r="BK36" s="235">
        <f ca="1">BJ36*(1-'Annexe G  Evolution Portefeuill'!$H22)+BJ$86*'Annexe B  Plan commercial'!$G7*Hypothèses!$G$54</f>
        <v>32.592745616010809</v>
      </c>
      <c r="BL36" s="235">
        <f ca="1">BK36*(1-'Annexe G  Evolution Portefeuill'!$H22)+BK$86*'Annexe B  Plan commercial'!$G7*Hypothèses!$G$54</f>
        <v>33.56632604359654</v>
      </c>
      <c r="BM36" s="235">
        <f ca="1">BL36*(1-'Annexe G  Evolution Portefeuill'!$H22)+BL$86*'Annexe B  Plan commercial'!$G7*Hypothèses!$G$54</f>
        <v>34.583601566463031</v>
      </c>
      <c r="BN36" s="235">
        <f ca="1">BM36*(1-'Annexe G  Evolution Portefeuill'!$H22)+BM$86*'Annexe B  Plan commercial'!$G7*Hypothèses!$G$54</f>
        <v>35.574427925734994</v>
      </c>
      <c r="BO36" s="235">
        <f ca="1">BN36*(1-'Annexe G  Evolution Portefeuill'!$H22)+BN$86*'Annexe B  Plan commercial'!$G7*Hypothèses!$G$54</f>
        <v>36.539492799665886</v>
      </c>
      <c r="BP36" s="235">
        <f ca="1">BO36*(1-'Annexe G  Evolution Portefeuill'!$H22)+BO$86*'Annexe B  Plan commercial'!$G7*Hypothèses!$G$54</f>
        <v>37.479465986874573</v>
      </c>
      <c r="BQ36" s="235">
        <f ca="1">BP36*(1-'Annexe G  Evolution Portefeuill'!$H22)+BP$86*'Annexe B  Plan commercial'!$G7*Hypothèses!$G$54</f>
        <v>38.39499987121583</v>
      </c>
      <c r="BR36" s="238">
        <f ca="1">BQ36*(1-'Annexe G  Evolution Portefeuill'!$I22)+BQ$86*'Annexe B  Plan commercial'!$H7*Hypothèses!$H$54</f>
        <v>39.440309874049085</v>
      </c>
      <c r="BS36" s="235">
        <f ca="1">BR36*(1-'Annexe G  Evolution Portefeuill'!$I22)+BR$86*'Annexe B  Plan commercial'!$H7*Hypothèses!$H$54</f>
        <v>40.462623056820007</v>
      </c>
      <c r="BT36" s="235">
        <f ca="1">BS36*(1-'Annexe G  Evolution Portefeuill'!$I22)+BS$86*'Annexe B  Plan commercial'!$H7*Hypothèses!$H$54</f>
        <v>41.462445349569968</v>
      </c>
      <c r="BU36" s="235">
        <f ca="1">BT36*(1-'Annexe G  Evolution Portefeuill'!$I22)+BT$86*'Annexe B  Plan commercial'!$H7*Hypothèses!$H$54</f>
        <v>42.440271551879427</v>
      </c>
      <c r="BV36" s="235">
        <f ca="1">BU36*(1-'Annexe G  Evolution Portefeuill'!$I22)+BU$86*'Annexe B  Plan commercial'!$H7*Hypothèses!$H$54</f>
        <v>43.39658557773808</v>
      </c>
      <c r="BW36" s="235">
        <f ca="1">BV36*(1-'Annexe G  Evolution Portefeuill'!$I22)+BV$86*'Annexe B  Plan commercial'!$H7*Hypothèses!$H$54</f>
        <v>44.331860695027842</v>
      </c>
      <c r="BX36" s="235">
        <f ca="1">BW36*(1-'Annexe G  Evolution Portefeuill'!$I22)+BW$86*'Annexe B  Plan commercial'!$H7*Hypothèses!$H$54</f>
        <v>45.246559759737231</v>
      </c>
      <c r="BY36" s="235">
        <f ca="1">BX36*(1-'Annexe G  Evolution Portefeuill'!$I22)+BX$86*'Annexe B  Plan commercial'!$H7*Hypothèses!$H$54</f>
        <v>48.013091784233758</v>
      </c>
      <c r="BZ36" s="235">
        <f ca="1">BY36*(1-'Annexe G  Evolution Portefeuill'!$I22)+BY$86*'Annexe B  Plan commercial'!$H7*Hypothèses!$H$54</f>
        <v>50.928760104191362</v>
      </c>
      <c r="CA36" s="235">
        <f ca="1">BZ36*(1-'Annexe G  Evolution Portefeuill'!$I22)+BZ$86*'Annexe B  Plan commercial'!$H7*Hypothèses!$H$54</f>
        <v>53.780283721109903</v>
      </c>
      <c r="CB36" s="235">
        <f ca="1">CA36*(1-'Annexe G  Evolution Portefeuill'!$I22)+CA$86*'Annexe B  Plan commercial'!$H7*Hypothèses!$H$54</f>
        <v>56.569073818456232</v>
      </c>
      <c r="CC36" s="239">
        <f ca="1">CB36*(1-'Annexe G  Evolution Portefeuill'!$I22)+CB$86*'Annexe B  Plan commercial'!$H7*Hypothèses!$H$54</f>
        <v>59.296510533660943</v>
      </c>
      <c r="CD36" s="240"/>
    </row>
    <row r="37" spans="1:82" ht="14" outlineLevel="1">
      <c r="A37" s="233" t="s">
        <v>143</v>
      </c>
      <c r="B37" s="61"/>
      <c r="C37" s="244">
        <v>0</v>
      </c>
      <c r="D37" s="235">
        <f>C37*(1-'Annexe G  Evolution Portefeuill'!$C22)+C$87*'Annexe B  Plan commercial'!$B13*Hypothèses!$B$55</f>
        <v>0</v>
      </c>
      <c r="E37" s="235">
        <f>D37*(1-'Annexe G  Evolution Portefeuill'!$C22)+D$87*'Annexe B  Plan commercial'!$B13*Hypothèses!$B$55</f>
        <v>0</v>
      </c>
      <c r="F37" s="235">
        <f>E37*(1-'Annexe G  Evolution Portefeuill'!$C22)+E$87*'Annexe B  Plan commercial'!$B13*Hypothèses!$B$55</f>
        <v>0</v>
      </c>
      <c r="G37" s="235">
        <f>F37*(1-'Annexe G  Evolution Portefeuill'!$C22)+F$87*'Annexe B  Plan commercial'!$B13*Hypothèses!$B$55</f>
        <v>0</v>
      </c>
      <c r="H37" s="235">
        <f>G37*(1-'Annexe G  Evolution Portefeuill'!$C22)+G$87*'Annexe B  Plan commercial'!$B13*Hypothèses!$B$55</f>
        <v>0</v>
      </c>
      <c r="I37" s="236">
        <f>H37*(1-'Annexe G  Evolution Portefeuill'!$C22)+H$87*'Annexe B  Plan commercial'!$B13*Hypothèses!$B$55</f>
        <v>0</v>
      </c>
      <c r="J37" s="235">
        <f>I37*(1-'Annexe G  Evolution Portefeuill'!$D22)+I$87*'Annexe B  Plan commercial'!$C13*Hypothèses!$C$55</f>
        <v>0</v>
      </c>
      <c r="K37" s="235">
        <f ca="1">J37*(1-'Annexe G  Evolution Portefeuill'!$D22)+J$87*'Annexe B  Plan commercial'!$C13*Hypothèses!$C$55</f>
        <v>0</v>
      </c>
      <c r="L37" s="235">
        <f ca="1">K37*(1-'Annexe G  Evolution Portefeuill'!$D22)+K$87*'Annexe B  Plan commercial'!$C13*Hypothèses!$C$55</f>
        <v>0</v>
      </c>
      <c r="M37" s="235">
        <f ca="1">L37*(1-'Annexe G  Evolution Portefeuill'!$D22)+L$87*'Annexe B  Plan commercial'!$C13*Hypothèses!$C$55</f>
        <v>0</v>
      </c>
      <c r="N37" s="235">
        <f ca="1">M37*(1-'Annexe G  Evolution Portefeuill'!$D22)+M$87*'Annexe B  Plan commercial'!$C13*Hypothèses!$C$55</f>
        <v>0</v>
      </c>
      <c r="O37" s="235">
        <f ca="1">N37*(1-'Annexe G  Evolution Portefeuill'!$D22)+N$87*'Annexe B  Plan commercial'!$C13*Hypothèses!$C$55</f>
        <v>0</v>
      </c>
      <c r="P37" s="235">
        <f ca="1">O37*(1-'Annexe G  Evolution Portefeuill'!$D22)+O$87*'Annexe B  Plan commercial'!$C13*Hypothèses!$C$55</f>
        <v>0</v>
      </c>
      <c r="Q37" s="235">
        <f ca="1">P37*(1-'Annexe G  Evolution Portefeuill'!$D22)+P$87*'Annexe B  Plan commercial'!$C13*Hypothèses!$C$55</f>
        <v>0</v>
      </c>
      <c r="R37" s="235">
        <f ca="1">Q37*(1-'Annexe G  Evolution Portefeuill'!$D22)+Q$87*'Annexe B  Plan commercial'!$C13*Hypothèses!$C$55</f>
        <v>0</v>
      </c>
      <c r="S37" s="235">
        <f ca="1">R37*(1-'Annexe G  Evolution Portefeuill'!$D22)+R$87*'Annexe B  Plan commercial'!$C13*Hypothèses!$C$55</f>
        <v>0</v>
      </c>
      <c r="T37" s="235">
        <f ca="1">S37*(1-'Annexe G  Evolution Portefeuill'!$D22)+S$87*'Annexe B  Plan commercial'!$C13*Hypothèses!$C$55</f>
        <v>0</v>
      </c>
      <c r="U37" s="235">
        <f ca="1">T37*(1-'Annexe G  Evolution Portefeuill'!$D22)+T$87*'Annexe B  Plan commercial'!$C13*Hypothèses!$C$55</f>
        <v>0</v>
      </c>
      <c r="V37" s="237">
        <f ca="1">U37*(1-'Annexe G  Evolution Portefeuill'!$E22)+U$87*'Annexe B  Plan commercial'!$D13*Hypothèses!$D$55</f>
        <v>0</v>
      </c>
      <c r="W37" s="235">
        <f ca="1">V37*(1-'Annexe G  Evolution Portefeuill'!$E22)+V$87*'Annexe B  Plan commercial'!$D13*Hypothèses!$D$55</f>
        <v>0</v>
      </c>
      <c r="X37" s="235">
        <f ca="1">W37*(1-'Annexe G  Evolution Portefeuill'!$E22)+W$87*'Annexe B  Plan commercial'!$D13*Hypothèses!$D$55</f>
        <v>0</v>
      </c>
      <c r="Y37" s="235">
        <f ca="1">X37*(1-'Annexe G  Evolution Portefeuill'!$E22)+X$87*'Annexe B  Plan commercial'!$D13*Hypothèses!$D$55</f>
        <v>0</v>
      </c>
      <c r="Z37" s="235">
        <f ca="1">Y37*(1-'Annexe G  Evolution Portefeuill'!$E22)+Y$87*'Annexe B  Plan commercial'!$D13*Hypothèses!$D$55</f>
        <v>0</v>
      </c>
      <c r="AA37" s="235">
        <f ca="1">Z37*(1-'Annexe G  Evolution Portefeuill'!$E22)+Z$87*'Annexe B  Plan commercial'!$D13*Hypothèses!$D$55</f>
        <v>0</v>
      </c>
      <c r="AB37" s="235">
        <f ca="1">AA37*(1-'Annexe G  Evolution Portefeuill'!$E22)+AA$87*'Annexe B  Plan commercial'!$D13*Hypothèses!$D$55</f>
        <v>0</v>
      </c>
      <c r="AC37" s="235">
        <f ca="1">AB37*(1-'Annexe G  Evolution Portefeuill'!$E22)+AB$87*'Annexe B  Plan commercial'!$D13*Hypothèses!$D$55</f>
        <v>0</v>
      </c>
      <c r="AD37" s="235">
        <f ca="1">AC37*(1-'Annexe G  Evolution Portefeuill'!$E22)+AC$87*'Annexe B  Plan commercial'!$D13*Hypothèses!$D$55</f>
        <v>0</v>
      </c>
      <c r="AE37" s="235">
        <f ca="1">AD37*(1-'Annexe G  Evolution Portefeuill'!$E22)+AD$87*'Annexe B  Plan commercial'!$D13*Hypothèses!$D$55</f>
        <v>0</v>
      </c>
      <c r="AF37" s="235">
        <f ca="1">AE37*(1-'Annexe G  Evolution Portefeuill'!$E22)+AE$87*'Annexe B  Plan commercial'!$D13*Hypothèses!$D$55</f>
        <v>0</v>
      </c>
      <c r="AG37" s="236">
        <f ca="1">AF37*(1-'Annexe G  Evolution Portefeuill'!$E22)+AF$87*'Annexe B  Plan commercial'!$D13*Hypothèses!$D$55</f>
        <v>0</v>
      </c>
      <c r="AH37" s="235">
        <f ca="1">AG37*(1-'Annexe G  Evolution Portefeuill'!$F22)+AG$87*'Annexe B  Plan commercial'!$E13*Hypothèses!$E$55</f>
        <v>0</v>
      </c>
      <c r="AI37" s="235">
        <f ca="1">AH37*(1-'Annexe G  Evolution Portefeuill'!$F22)+AH$87*'Annexe B  Plan commercial'!$E13*Hypothèses!$E$55</f>
        <v>0</v>
      </c>
      <c r="AJ37" s="235">
        <f ca="1">AI37*(1-'Annexe G  Evolution Portefeuill'!$F22)+AI$87*'Annexe B  Plan commercial'!$E13*Hypothèses!$E$55</f>
        <v>0</v>
      </c>
      <c r="AK37" s="235">
        <f ca="1">AJ37*(1-'Annexe G  Evolution Portefeuill'!$F22)+AJ$87*'Annexe B  Plan commercial'!$E13*Hypothèses!$E$55</f>
        <v>0</v>
      </c>
      <c r="AL37" s="235">
        <f ca="1">AK37*(1-'Annexe G  Evolution Portefeuill'!$F22)+AK$87*'Annexe B  Plan commercial'!$E13*Hypothèses!$E$55</f>
        <v>0</v>
      </c>
      <c r="AM37" s="235">
        <f ca="1">AL37*(1-'Annexe G  Evolution Portefeuill'!$F22)+AL$87*'Annexe B  Plan commercial'!$E13*Hypothèses!$E$55</f>
        <v>0</v>
      </c>
      <c r="AN37" s="235">
        <f ca="1">AM37*(1-'Annexe G  Evolution Portefeuill'!$F22)+AM$87*'Annexe B  Plan commercial'!$E13*Hypothèses!$E$55</f>
        <v>0</v>
      </c>
      <c r="AO37" s="235">
        <f ca="1">AN37*(1-'Annexe G  Evolution Portefeuill'!$F22)+AN$87*'Annexe B  Plan commercial'!$E13*Hypothèses!$E$55</f>
        <v>0</v>
      </c>
      <c r="AP37" s="235">
        <f ca="1">AO37*(1-'Annexe G  Evolution Portefeuill'!$F22)+AO$87*'Annexe B  Plan commercial'!$E13*Hypothèses!$E$55</f>
        <v>0</v>
      </c>
      <c r="AQ37" s="235">
        <f ca="1">AP37*(1-'Annexe G  Evolution Portefeuill'!$F22)+AP$87*'Annexe B  Plan commercial'!$E13*Hypothèses!$E$55</f>
        <v>0</v>
      </c>
      <c r="AR37" s="235">
        <f ca="1">AQ37*(1-'Annexe G  Evolution Portefeuill'!$F22)+AQ$87*'Annexe B  Plan commercial'!$E13*Hypothèses!$E$55</f>
        <v>0</v>
      </c>
      <c r="AS37" s="235">
        <f ca="1">AR37*(1-'Annexe G  Evolution Portefeuill'!$F22)+AR$87*'Annexe B  Plan commercial'!$E13*Hypothèses!$E$55</f>
        <v>0</v>
      </c>
      <c r="AT37" s="237">
        <f ca="1">AS37*(1-'Annexe G  Evolution Portefeuill'!$G22)+AS$87*'Annexe B  Plan commercial'!$F13*Hypothèses!$F$55</f>
        <v>0</v>
      </c>
      <c r="AU37" s="235">
        <f ca="1">AT37*(1-'Annexe G  Evolution Portefeuill'!$G22)+AT$87*'Annexe B  Plan commercial'!$F13*Hypothèses!$F$55</f>
        <v>0</v>
      </c>
      <c r="AV37" s="235">
        <f ca="1">AU37*(1-'Annexe G  Evolution Portefeuill'!$G22)+AU$87*'Annexe B  Plan commercial'!$F13*Hypothèses!$F$55</f>
        <v>0</v>
      </c>
      <c r="AW37" s="235">
        <f ca="1">AV37*(1-'Annexe G  Evolution Portefeuill'!$G22)+AV$87*'Annexe B  Plan commercial'!$F13*Hypothèses!$F$55</f>
        <v>0</v>
      </c>
      <c r="AX37" s="235">
        <f ca="1">AW37*(1-'Annexe G  Evolution Portefeuill'!$G22)+AW$87*'Annexe B  Plan commercial'!$F13*Hypothèses!$F$55</f>
        <v>0</v>
      </c>
      <c r="AY37" s="235">
        <f ca="1">AX37*(1-'Annexe G  Evolution Portefeuill'!$G22)+AX$87*'Annexe B  Plan commercial'!$F13*Hypothèses!$F$55</f>
        <v>0</v>
      </c>
      <c r="AZ37" s="235">
        <f ca="1">AY37*(1-'Annexe G  Evolution Portefeuill'!$G22)+AY$87*'Annexe B  Plan commercial'!$F13*Hypothèses!$F$55</f>
        <v>0</v>
      </c>
      <c r="BA37" s="235">
        <f ca="1">AZ37*(1-'Annexe G  Evolution Portefeuill'!$G22)+AZ$87*'Annexe B  Plan commercial'!$F13*Hypothèses!$F$55</f>
        <v>0</v>
      </c>
      <c r="BB37" s="235">
        <f ca="1">BA37*(1-'Annexe G  Evolution Portefeuill'!$G22)+BA$87*'Annexe B  Plan commercial'!$F13*Hypothèses!$F$55</f>
        <v>0</v>
      </c>
      <c r="BC37" s="235">
        <f ca="1">BB37*(1-'Annexe G  Evolution Portefeuill'!$G22)+BB$87*'Annexe B  Plan commercial'!$F13*Hypothèses!$F$55</f>
        <v>0</v>
      </c>
      <c r="BD37" s="235">
        <f ca="1">BC37*(1-'Annexe G  Evolution Portefeuill'!$G22)+BC$87*'Annexe B  Plan commercial'!$F13*Hypothèses!$F$55</f>
        <v>0</v>
      </c>
      <c r="BE37" s="236">
        <f ca="1">BD37*(1-'Annexe G  Evolution Portefeuill'!$G22)+BD$87*'Annexe B  Plan commercial'!$F13*Hypothèses!$F$55</f>
        <v>0</v>
      </c>
      <c r="BF37" s="235">
        <f ca="1">BE37*(1-'Annexe G  Evolution Portefeuill'!$H22)+BE$87*'Annexe B  Plan commercial'!$G13*Hypothèses!$G$55</f>
        <v>0</v>
      </c>
      <c r="BG37" s="235">
        <f ca="1">BF37*(1-'Annexe G  Evolution Portefeuill'!$H22)+BF$87*'Annexe B  Plan commercial'!$G13*Hypothèses!$G$55</f>
        <v>0</v>
      </c>
      <c r="BH37" s="235">
        <f ca="1">BG37*(1-'Annexe G  Evolution Portefeuill'!$H22)+BG$87*'Annexe B  Plan commercial'!$G13*Hypothèses!$G$55</f>
        <v>0.20999999999999991</v>
      </c>
      <c r="BI37" s="235">
        <f ca="1">BH37*(1-'Annexe G  Evolution Portefeuill'!$H22)+BH$87*'Annexe B  Plan commercial'!$G13*Hypothèses!$G$55</f>
        <v>0.4145399999999998</v>
      </c>
      <c r="BJ37" s="235">
        <f ca="1">BI37*(1-'Annexe G  Evolution Portefeuill'!$H22)+BI$87*'Annexe B  Plan commercial'!$G13*Hypothèses!$G$55</f>
        <v>0.61376195999999972</v>
      </c>
      <c r="BK37" s="235">
        <f ca="1">BJ37*(1-'Annexe G  Evolution Portefeuill'!$H22)+BJ$87*'Annexe B  Plan commercial'!$G13*Hypothèses!$G$55</f>
        <v>0.80780414903999964</v>
      </c>
      <c r="BL37" s="235">
        <f ca="1">BK37*(1-'Annexe G  Evolution Portefeuill'!$H22)+BK$87*'Annexe B  Plan commercial'!$G13*Hypothèses!$G$55</f>
        <v>0.99680124116495961</v>
      </c>
      <c r="BM37" s="235">
        <f ca="1">BL37*(1-'Annexe G  Evolution Portefeuill'!$H22)+BL$87*'Annexe B  Plan commercial'!$G13*Hypothèses!$G$55</f>
        <v>3.0361268522196072</v>
      </c>
      <c r="BN37" s="235">
        <f ca="1">BM37*(1-'Annexe G  Evolution Portefeuill'!$H22)+BM$87*'Annexe B  Plan commercial'!$G13*Hypothèses!$G$55</f>
        <v>5.0224299973868343</v>
      </c>
      <c r="BO37" s="235">
        <f ca="1">BN37*(1-'Annexe G  Evolution Portefeuill'!$H22)+BN$87*'Annexe B  Plan commercial'!$G13*Hypothèses!$G$55</f>
        <v>6.9570892607797141</v>
      </c>
      <c r="BP37" s="235">
        <f ca="1">BO37*(1-'Annexe G  Evolution Portefeuill'!$H22)+BO$87*'Annexe B  Plan commercial'!$G13*Hypothèses!$G$55</f>
        <v>8.841447383324379</v>
      </c>
      <c r="BQ37" s="235">
        <f ca="1">BP37*(1-'Annexe G  Evolution Portefeuill'!$H22)+BP$87*'Annexe B  Plan commercial'!$G13*Hypothèses!$G$55</f>
        <v>10.676812194682881</v>
      </c>
      <c r="BR37" s="238">
        <f ca="1">BQ37*(1-'Annexe G  Evolution Portefeuill'!$I22)+BQ$87*'Annexe B  Plan commercial'!$H13*Hypothèses!$H$55</f>
        <v>12.507164769724795</v>
      </c>
      <c r="BS37" s="235">
        <f ca="1">BR37*(1-'Annexe G  Evolution Portefeuill'!$I22)+BR$87*'Annexe B  Plan commercial'!$H13*Hypothèses!$H$55</f>
        <v>14.507249588115785</v>
      </c>
      <c r="BT37" s="235">
        <f ca="1">BS37*(1-'Annexe G  Evolution Portefeuill'!$I22)+BS$87*'Annexe B  Plan commercial'!$H13*Hypothèses!$H$55</f>
        <v>16.463332540502172</v>
      </c>
      <c r="BU37" s="235">
        <f ca="1">BT37*(1-'Annexe G  Evolution Portefeuill'!$I22)+BT$87*'Annexe B  Plan commercial'!$H13*Hypothèses!$H$55</f>
        <v>18.376381667936059</v>
      </c>
      <c r="BV37" s="235">
        <f ca="1">BU37*(1-'Annexe G  Evolution Portefeuill'!$I22)+BU$87*'Annexe B  Plan commercial'!$H13*Hypothèses!$H$55</f>
        <v>20.247343714566398</v>
      </c>
      <c r="BW37" s="235">
        <f ca="1">BV37*(1-'Annexe G  Evolution Portefeuill'!$I22)+BV$87*'Annexe B  Plan commercial'!$H13*Hypothèses!$H$55</f>
        <v>22.077144596170875</v>
      </c>
      <c r="BX37" s="235">
        <f ca="1">BW37*(1-'Annexe G  Evolution Portefeuill'!$I22)+BW$87*'Annexe B  Plan commercial'!$H13*Hypothèses!$H$55</f>
        <v>24.286689858380051</v>
      </c>
      <c r="BY37" s="235">
        <f ca="1">BX37*(1-'Annexe G  Evolution Portefeuill'!$I22)+BX$87*'Annexe B  Plan commercial'!$H13*Hypothèses!$H$55</f>
        <v>27.266606023225329</v>
      </c>
      <c r="BZ37" s="235">
        <f ca="1">BY37*(1-'Annexe G  Evolution Portefeuill'!$I22)+BY$87*'Annexe B  Plan commercial'!$H13*Hypothèses!$H$55</f>
        <v>30.18096403244401</v>
      </c>
      <c r="CA37" s="235">
        <f ca="1">BZ37*(1-'Annexe G  Evolution Portefeuill'!$I22)+BZ$87*'Annexe B  Plan commercial'!$H13*Hypothèses!$H$55</f>
        <v>33.031206165459878</v>
      </c>
      <c r="CB37" s="235">
        <f ca="1">CA37*(1-'Annexe G  Evolution Portefeuill'!$I22)+CA$87*'Annexe B  Plan commercial'!$H13*Hypothèses!$H$55</f>
        <v>36.238742971549399</v>
      </c>
      <c r="CC37" s="239">
        <f ca="1">CB37*(1-'Annexe G  Evolution Portefeuill'!$I22)+CB$87*'Annexe B  Plan commercial'!$H13*Hypothèses!$H$55</f>
        <v>39.37571396790495</v>
      </c>
      <c r="CD37" s="240"/>
    </row>
    <row r="38" spans="1:82" ht="14" outlineLevel="1">
      <c r="A38" s="233" t="s">
        <v>144</v>
      </c>
      <c r="B38" s="61"/>
      <c r="C38" s="244">
        <v>0</v>
      </c>
      <c r="D38" s="235">
        <f>C$38*(1-'Annexe G  Evolution Portefeuill'!$C$22)+C$88*'Annexe B  Plan commercial'!$B$19*Hypothèses!$B$56</f>
        <v>0</v>
      </c>
      <c r="E38" s="235">
        <f>D$38*(1-'Annexe G  Evolution Portefeuill'!$C$22)+D$88*'Annexe B  Plan commercial'!$B$19*Hypothèses!$B$56</f>
        <v>0</v>
      </c>
      <c r="F38" s="235">
        <f>E$38*(1-'Annexe G  Evolution Portefeuill'!$C$22)+E$88*'Annexe B  Plan commercial'!$B$19*Hypothèses!$B$56</f>
        <v>0</v>
      </c>
      <c r="G38" s="235">
        <f>F$38*(1-'Annexe G  Evolution Portefeuill'!$C$22)+F$88*'Annexe B  Plan commercial'!$B$19*Hypothèses!$B$56</f>
        <v>0</v>
      </c>
      <c r="H38" s="235">
        <f>G$38*(1-'Annexe G  Evolution Portefeuill'!$C$22)+G$88*'Annexe B  Plan commercial'!$B$19*Hypothèses!$B$56</f>
        <v>0</v>
      </c>
      <c r="I38" s="236">
        <f>H$38*(1-'Annexe G  Evolution Portefeuill'!$C$22)+H$88*'Annexe B  Plan commercial'!$B$19*Hypothèses!$B$56</f>
        <v>0</v>
      </c>
      <c r="J38" s="235">
        <f>I$38*(1-'Annexe G  Evolution Portefeuill'!$D$22)+I$88*'Annexe B  Plan commercial'!$C$19*Hypothèses!$C$56</f>
        <v>0</v>
      </c>
      <c r="K38" s="235">
        <f ca="1">J$38*(1-'Annexe G  Evolution Portefeuill'!$D$22)+J$88*'Annexe B  Plan commercial'!$C$19*Hypothèses!$C$56</f>
        <v>0</v>
      </c>
      <c r="L38" s="235">
        <f ca="1">K$38*(1-'Annexe G  Evolution Portefeuill'!$D$22)+K$88*'Annexe B  Plan commercial'!$C$19*Hypothèses!$C$56</f>
        <v>0</v>
      </c>
      <c r="M38" s="235">
        <f ca="1">L$38*(1-'Annexe G  Evolution Portefeuill'!$D$22)+L$88*'Annexe B  Plan commercial'!$C$19*Hypothèses!$C$56</f>
        <v>0</v>
      </c>
      <c r="N38" s="235">
        <f ca="1">M$38*(1-'Annexe G  Evolution Portefeuill'!$D$22)+M$88*'Annexe B  Plan commercial'!$C$19*Hypothèses!$C$56</f>
        <v>0</v>
      </c>
      <c r="O38" s="235">
        <f ca="1">N$38*(1-'Annexe G  Evolution Portefeuill'!$D$22)+N$88*'Annexe B  Plan commercial'!$C$19*Hypothèses!$C$56</f>
        <v>0</v>
      </c>
      <c r="P38" s="235">
        <f ca="1">O$38*(1-'Annexe G  Evolution Portefeuill'!$D$22)+O$88*'Annexe B  Plan commercial'!$C$19*Hypothèses!$C$56</f>
        <v>0</v>
      </c>
      <c r="Q38" s="235">
        <f ca="1">P$38*(1-'Annexe G  Evolution Portefeuill'!$D$22)+P$88*'Annexe B  Plan commercial'!$C$19*Hypothèses!$C$56</f>
        <v>0</v>
      </c>
      <c r="R38" s="235">
        <f ca="1">Q$38*(1-'Annexe G  Evolution Portefeuill'!$D$22)+Q$88*'Annexe B  Plan commercial'!$C$19*Hypothèses!$C$56</f>
        <v>0</v>
      </c>
      <c r="S38" s="235">
        <f ca="1">R$38*(1-'Annexe G  Evolution Portefeuill'!$D$22)+R$88*'Annexe B  Plan commercial'!$C$19*Hypothèses!$C$56</f>
        <v>0</v>
      </c>
      <c r="T38" s="235">
        <f ca="1">S$38*(1-'Annexe G  Evolution Portefeuill'!$D$22)+S$88*'Annexe B  Plan commercial'!$C$19*Hypothèses!$C$56</f>
        <v>0</v>
      </c>
      <c r="U38" s="235">
        <f ca="1">T$38*(1-'Annexe G  Evolution Portefeuill'!$D$22)+T$88*'Annexe B  Plan commercial'!$C$19*Hypothèses!$C$56</f>
        <v>0</v>
      </c>
      <c r="V38" s="237">
        <f ca="1">U$38*(1-'Annexe G  Evolution Portefeuill'!$E$22)+U$88*'Annexe B  Plan commercial'!$D$19*Hypothèses!$D$56</f>
        <v>0</v>
      </c>
      <c r="W38" s="235">
        <f ca="1">V$38*(1-'Annexe G  Evolution Portefeuill'!$E$22)+V$88*'Annexe B  Plan commercial'!$D$19*Hypothèses!$D$56</f>
        <v>0</v>
      </c>
      <c r="X38" s="235">
        <f ca="1">W$38*(1-'Annexe G  Evolution Portefeuill'!$E$22)+W$88*'Annexe B  Plan commercial'!$D$19*Hypothèses!$D$56</f>
        <v>0</v>
      </c>
      <c r="Y38" s="235">
        <f ca="1">X$38*(1-'Annexe G  Evolution Portefeuill'!$E$22)+X$88*'Annexe B  Plan commercial'!$D$19*Hypothèses!$D$56</f>
        <v>0</v>
      </c>
      <c r="Z38" s="235">
        <f ca="1">Y$38*(1-'Annexe G  Evolution Portefeuill'!$E$22)+Y$88*'Annexe B  Plan commercial'!$D$19*Hypothèses!$D$56</f>
        <v>0</v>
      </c>
      <c r="AA38" s="235">
        <f ca="1">Z$38*(1-'Annexe G  Evolution Portefeuill'!$E$22)+Z$88*'Annexe B  Plan commercial'!$D$19*Hypothèses!$D$56</f>
        <v>0</v>
      </c>
      <c r="AB38" s="235">
        <f ca="1">AA$38*(1-'Annexe G  Evolution Portefeuill'!$E$22)+AA$88*'Annexe B  Plan commercial'!$D$19*Hypothèses!$D$56</f>
        <v>0</v>
      </c>
      <c r="AC38" s="235">
        <f ca="1">AB$38*(1-'Annexe G  Evolution Portefeuill'!$E$22)+AB$88*'Annexe B  Plan commercial'!$D$19*Hypothèses!$D$56</f>
        <v>0</v>
      </c>
      <c r="AD38" s="235">
        <f ca="1">AC$38*(1-'Annexe G  Evolution Portefeuill'!$E$22)+AC$88*'Annexe B  Plan commercial'!$D$19*Hypothèses!$D$56</f>
        <v>0</v>
      </c>
      <c r="AE38" s="235">
        <f ca="1">AD$38*(1-'Annexe G  Evolution Portefeuill'!$E$22)+AD$88*'Annexe B  Plan commercial'!$D$19*Hypothèses!$D$56</f>
        <v>0</v>
      </c>
      <c r="AF38" s="235">
        <f ca="1">AE$38*(1-'Annexe G  Evolution Portefeuill'!$E$22)+AE$88*'Annexe B  Plan commercial'!$D$19*Hypothèses!$D$56</f>
        <v>0</v>
      </c>
      <c r="AG38" s="236">
        <f ca="1">AF$38*(1-'Annexe G  Evolution Portefeuill'!$E$22)+AF$88*'Annexe B  Plan commercial'!$D$19*Hypothèses!$D$56</f>
        <v>0</v>
      </c>
      <c r="AH38" s="235">
        <f ca="1">AG$38*(1-'Annexe G  Evolution Portefeuill'!$F$22)+AG$88*'Annexe B  Plan commercial'!$E$19*Hypothèses!$E$56</f>
        <v>0</v>
      </c>
      <c r="AI38" s="235">
        <f ca="1">AH$38*(1-'Annexe G  Evolution Portefeuill'!$F$22)+AH$88*'Annexe B  Plan commercial'!$E$19*Hypothèses!$E$56</f>
        <v>0</v>
      </c>
      <c r="AJ38" s="235">
        <f ca="1">AI$38*(1-'Annexe G  Evolution Portefeuill'!$F$22)+AI$88*'Annexe B  Plan commercial'!$E$19*Hypothèses!$E$56</f>
        <v>0</v>
      </c>
      <c r="AK38" s="235">
        <f ca="1">AJ$38*(1-'Annexe G  Evolution Portefeuill'!$F$22)+AJ$88*'Annexe B  Plan commercial'!$E$19*Hypothèses!$E$56</f>
        <v>0</v>
      </c>
      <c r="AL38" s="235">
        <f ca="1">AK$38*(1-'Annexe G  Evolution Portefeuill'!$F$22)+AK$88*'Annexe B  Plan commercial'!$E$19*Hypothèses!$E$56</f>
        <v>0</v>
      </c>
      <c r="AM38" s="235">
        <f ca="1">AL$38*(1-'Annexe G  Evolution Portefeuill'!$F$22)+AL$88*'Annexe B  Plan commercial'!$E$19*Hypothèses!$E$56</f>
        <v>0</v>
      </c>
      <c r="AN38" s="235">
        <f ca="1">AM$38*(1-'Annexe G  Evolution Portefeuill'!$F$22)+AM$88*'Annexe B  Plan commercial'!$E$19*Hypothèses!$E$56</f>
        <v>0</v>
      </c>
      <c r="AO38" s="235">
        <f ca="1">AN$38*(1-'Annexe G  Evolution Portefeuill'!$F$22)+AN$88*'Annexe B  Plan commercial'!$E$19*Hypothèses!$E$56</f>
        <v>0</v>
      </c>
      <c r="AP38" s="235">
        <f ca="1">AO$38*(1-'Annexe G  Evolution Portefeuill'!$F$22)+AO$88*'Annexe B  Plan commercial'!$E$19*Hypothèses!$E$56</f>
        <v>0</v>
      </c>
      <c r="AQ38" s="235">
        <f ca="1">AP$38*(1-'Annexe G  Evolution Portefeuill'!$F$22)+AP$88*'Annexe B  Plan commercial'!$E$19*Hypothèses!$E$56</f>
        <v>0</v>
      </c>
      <c r="AR38" s="235">
        <f ca="1">AQ$38*(1-'Annexe G  Evolution Portefeuill'!$F$22)+AQ$88*'Annexe B  Plan commercial'!$E$19*Hypothèses!$E$56</f>
        <v>0</v>
      </c>
      <c r="AS38" s="235">
        <f ca="1">AR$38*(1-'Annexe G  Evolution Portefeuill'!$F$22)+AR$88*'Annexe B  Plan commercial'!$E$19*Hypothèses!$E$56</f>
        <v>0</v>
      </c>
      <c r="AT38" s="237">
        <f ca="1">AS$38*(1-'Annexe G  Evolution Portefeuill'!$G$22)+AS$88*'Annexe B  Plan commercial'!$F$19*Hypothèses!$F56</f>
        <v>0</v>
      </c>
      <c r="AU38" s="235">
        <f ca="1">AT$38*(1-'Annexe G  Evolution Portefeuill'!$G$22)+AT$88*'Annexe B  Plan commercial'!$F$19*Hypothèses!$F56</f>
        <v>0</v>
      </c>
      <c r="AV38" s="235">
        <f ca="1">AU$38*(1-'Annexe G  Evolution Portefeuill'!$G$22)+AU$88*'Annexe B  Plan commercial'!$F$19*Hypothèses!$F56</f>
        <v>0</v>
      </c>
      <c r="AW38" s="235">
        <f ca="1">AV$38*(1-'Annexe G  Evolution Portefeuill'!$G$22)+AV$88*'Annexe B  Plan commercial'!$F$19*Hypothèses!$F56</f>
        <v>0</v>
      </c>
      <c r="AX38" s="235">
        <f ca="1">AW$38*(1-'Annexe G  Evolution Portefeuill'!$G$22)+AW$88*'Annexe B  Plan commercial'!$F$19*Hypothèses!$F56</f>
        <v>0</v>
      </c>
      <c r="AY38" s="235">
        <f ca="1">AX$38*(1-'Annexe G  Evolution Portefeuill'!$G$22)+AX$88*'Annexe B  Plan commercial'!$F$19*Hypothèses!$F56</f>
        <v>0</v>
      </c>
      <c r="AZ38" s="235">
        <f ca="1">AY$38*(1-'Annexe G  Evolution Portefeuill'!$G$22)+AY$88*'Annexe B  Plan commercial'!$F$19*Hypothèses!$F56</f>
        <v>0</v>
      </c>
      <c r="BA38" s="235">
        <f ca="1">AZ$38*(1-'Annexe G  Evolution Portefeuill'!$G$22)+AZ$88*'Annexe B  Plan commercial'!$F$19*Hypothèses!$F56</f>
        <v>0</v>
      </c>
      <c r="BB38" s="235">
        <f ca="1">BA$38*(1-'Annexe G  Evolution Portefeuill'!$G$22)+BA$88*'Annexe B  Plan commercial'!$F$19*Hypothèses!$F56</f>
        <v>0</v>
      </c>
      <c r="BC38" s="235">
        <f ca="1">BB$38*(1-'Annexe G  Evolution Portefeuill'!$G$22)+BB$88*'Annexe B  Plan commercial'!$F$19*Hypothèses!$F56</f>
        <v>0</v>
      </c>
      <c r="BD38" s="235">
        <f ca="1">BC$38*(1-'Annexe G  Evolution Portefeuill'!$G$22)+BC$88*'Annexe B  Plan commercial'!$F$19*Hypothèses!$F56</f>
        <v>0</v>
      </c>
      <c r="BE38" s="236">
        <f ca="1">BD$38*(1-'Annexe G  Evolution Portefeuill'!$G$22)+BD$88*'Annexe B  Plan commercial'!$F$19*Hypothèses!$F56</f>
        <v>0</v>
      </c>
      <c r="BF38" s="235">
        <f ca="1">BE$38*(1-'Annexe G  Evolution Portefeuill'!$H$22)+BE$88*'Annexe B  Plan commercial'!$G$19*Hypothèses!$G$56</f>
        <v>0</v>
      </c>
      <c r="BG38" s="235">
        <f ca="1">BF$38*(1-'Annexe G  Evolution Portefeuill'!$H$22)+BF$88*'Annexe B  Plan commercial'!$G$19*Hypothèses!$G$56</f>
        <v>0</v>
      </c>
      <c r="BH38" s="235">
        <f ca="1">BG$38*(1-'Annexe G  Evolution Portefeuill'!$H$22)+BG$88*'Annexe B  Plan commercial'!$G$19*Hypothèses!$G$56</f>
        <v>0</v>
      </c>
      <c r="BI38" s="235">
        <f ca="1">BH$38*(1-'Annexe G  Evolution Portefeuill'!$H$22)+BH$88*'Annexe B  Plan commercial'!$G$19*Hypothèses!$G$56</f>
        <v>0</v>
      </c>
      <c r="BJ38" s="235">
        <f ca="1">BI$38*(1-'Annexe G  Evolution Portefeuill'!$H$22)+BI$88*'Annexe B  Plan commercial'!$G$19*Hypothèses!$G$56</f>
        <v>0</v>
      </c>
      <c r="BK38" s="235">
        <f ca="1">BJ$38*(1-'Annexe G  Evolution Portefeuill'!$H$22)+BJ$88*'Annexe B  Plan commercial'!$G$19*Hypothèses!$G$56</f>
        <v>0</v>
      </c>
      <c r="BL38" s="235">
        <f ca="1">BK$38*(1-'Annexe G  Evolution Portefeuill'!$H$22)+BK$88*'Annexe B  Plan commercial'!$G$19*Hypothèses!$G$56</f>
        <v>0</v>
      </c>
      <c r="BM38" s="235">
        <f ca="1">BL$38*(1-'Annexe G  Evolution Portefeuill'!$H$22)+BL$88*'Annexe B  Plan commercial'!$G$19*Hypothèses!$G$56</f>
        <v>0</v>
      </c>
      <c r="BN38" s="235">
        <f ca="1">BM$38*(1-'Annexe G  Evolution Portefeuill'!$H$22)+BM$88*'Annexe B  Plan commercial'!$G$19*Hypothèses!$G$56</f>
        <v>0</v>
      </c>
      <c r="BO38" s="235">
        <f ca="1">BN$38*(1-'Annexe G  Evolution Portefeuill'!$H$22)+BN$88*'Annexe B  Plan commercial'!$G$19*Hypothèses!$G$56</f>
        <v>0</v>
      </c>
      <c r="BP38" s="235">
        <f ca="1">BO$38*(1-'Annexe G  Evolution Portefeuill'!$H$22)+BO$88*'Annexe B  Plan commercial'!$G$19*Hypothèses!$G$56</f>
        <v>0</v>
      </c>
      <c r="BQ38" s="235">
        <f ca="1">BP$38*(1-'Annexe G  Evolution Portefeuill'!$H$22)+BP$88*'Annexe B  Plan commercial'!$G$19*Hypothèses!$G$56</f>
        <v>0</v>
      </c>
      <c r="BR38" s="238">
        <f ca="1">BQ$38*(1-'Annexe G  Evolution Portefeuill'!$I$22)+BQ$88*'Annexe B  Plan commercial'!$H$19*Hypothèses!$H$56</f>
        <v>0</v>
      </c>
      <c r="BS38" s="235">
        <f ca="1">BR$38*(1-'Annexe G  Evolution Portefeuill'!$I$22)+BR$88*'Annexe B  Plan commercial'!$H$19*Hypothèses!$H$56</f>
        <v>0</v>
      </c>
      <c r="BT38" s="235">
        <f ca="1">BS$38*(1-'Annexe G  Evolution Portefeuill'!$I$22)+BS$88*'Annexe B  Plan commercial'!$H$19*Hypothèses!$H$56</f>
        <v>0</v>
      </c>
      <c r="BU38" s="235">
        <f ca="1">BT$38*(1-'Annexe G  Evolution Portefeuill'!$I$22)+BT$88*'Annexe B  Plan commercial'!$H$19*Hypothèses!$H$56</f>
        <v>0.20999999999999991</v>
      </c>
      <c r="BV38" s="235">
        <f ca="1">BU$38*(1-'Annexe G  Evolution Portefeuill'!$I$22)+BU$88*'Annexe B  Plan commercial'!$H$19*Hypothèses!$H$56</f>
        <v>0.4153799999999998</v>
      </c>
      <c r="BW38" s="235">
        <f ca="1">BV$38*(1-'Annexe G  Evolution Portefeuill'!$I$22)+BV$88*'Annexe B  Plan commercial'!$H$19*Hypothèses!$H$56</f>
        <v>0.6162416399999997</v>
      </c>
      <c r="BX38" s="235">
        <f ca="1">BW$38*(1-'Annexe G  Evolution Portefeuill'!$I$22)+BW$88*'Annexe B  Plan commercial'!$H$19*Hypothèses!$H$56</f>
        <v>1.0226843239199996</v>
      </c>
      <c r="BY38" s="235">
        <f ca="1">BX$38*(1-'Annexe G  Evolution Portefeuill'!$I$22)+BX$88*'Annexe B  Plan commercial'!$H$19*Hypothèses!$H$56</f>
        <v>4.5029705099543156</v>
      </c>
      <c r="BZ38" s="235">
        <f ca="1">BY$38*(1-'Annexe G  Evolution Portefeuill'!$I$22)+BY$88*'Annexe B  Plan commercial'!$H$19*Hypothèses!$H$56</f>
        <v>7.9066903998958766</v>
      </c>
      <c r="CA38" s="235">
        <f ca="1">BZ$38*(1-'Annexe G  Evolution Portefeuill'!$I$22)+BZ$88*'Annexe B  Plan commercial'!$H$19*Hypothèses!$H$56</f>
        <v>11.235528452258723</v>
      </c>
      <c r="CB38" s="235">
        <f ca="1">CA$38*(1-'Annexe G  Evolution Portefeuill'!$I$22)+CA$88*'Annexe B  Plan commercial'!$H$19*Hypothèses!$H$56</f>
        <v>14.491132067469588</v>
      </c>
      <c r="CC38" s="239">
        <f ca="1">CB$38*(1-'Annexe G  Evolution Portefeuill'!$I$22)+CB$88*'Annexe B  Plan commercial'!$H$19*Hypothèses!$H$56</f>
        <v>17.67511240314581</v>
      </c>
      <c r="CD38" s="240"/>
    </row>
    <row r="39" spans="1:82" ht="14">
      <c r="A39" s="243" t="s">
        <v>145</v>
      </c>
      <c r="B39" s="245"/>
      <c r="C39" s="244">
        <v>0</v>
      </c>
      <c r="D39" s="235">
        <f>C$39*(1-'Annexe G  Evolution Portefeuill'!$C$22)+C$89*'Annexe B  Plan commercial'!$B$25*Hypothèses!$B$57</f>
        <v>0</v>
      </c>
      <c r="E39" s="235">
        <f>D$39*(1-'Annexe G  Evolution Portefeuill'!$C$22)+D$89*'Annexe B  Plan commercial'!$B$25*Hypothèses!$B$57</f>
        <v>0</v>
      </c>
      <c r="F39" s="235">
        <f>E$39*(1-'Annexe G  Evolution Portefeuill'!$C$22)+E$89*'Annexe B  Plan commercial'!$B$25*Hypothèses!$B$57</f>
        <v>0</v>
      </c>
      <c r="G39" s="235">
        <f>F$39*(1-'Annexe G  Evolution Portefeuill'!$C$22)+F$89*'Annexe B  Plan commercial'!$B$25*Hypothèses!$B$57</f>
        <v>0</v>
      </c>
      <c r="H39" s="235">
        <f>G$39*(1-'Annexe G  Evolution Portefeuill'!$C$22)+G$89*'Annexe B  Plan commercial'!$B$25*Hypothèses!$B$57</f>
        <v>0</v>
      </c>
      <c r="I39" s="236">
        <f>H$39*(1-'Annexe G  Evolution Portefeuill'!$C$22)+H$89*'Annexe B  Plan commercial'!$B$25*Hypothèses!$B$57</f>
        <v>0</v>
      </c>
      <c r="J39" s="235">
        <f>I$39*(1-'Annexe G  Evolution Portefeuill'!$D$22)+I$89*'Annexe B  Plan commercial'!$C$25*Hypothèses!$C$57</f>
        <v>0</v>
      </c>
      <c r="K39" s="235">
        <f ca="1">J$39*(1-'Annexe G  Evolution Portefeuill'!$D$22)+J$89*'Annexe B  Plan commercial'!$C$25*Hypothèses!$C$57</f>
        <v>0</v>
      </c>
      <c r="L39" s="235">
        <f ca="1">K$39*(1-'Annexe G  Evolution Portefeuill'!$D$22)+K$89*'Annexe B  Plan commercial'!$C$25*Hypothèses!$C$57</f>
        <v>0</v>
      </c>
      <c r="M39" s="235">
        <f ca="1">L$39*(1-'Annexe G  Evolution Portefeuill'!$D$22)+L$89*'Annexe B  Plan commercial'!$C$25*Hypothèses!$C$57</f>
        <v>0</v>
      </c>
      <c r="N39" s="235">
        <f ca="1">M$39*(1-'Annexe G  Evolution Portefeuill'!$D$22)+M$89*'Annexe B  Plan commercial'!$C$25*Hypothèses!$C$57</f>
        <v>0</v>
      </c>
      <c r="O39" s="235">
        <f ca="1">N$39*(1-'Annexe G  Evolution Portefeuill'!$D$22)+N$89*'Annexe B  Plan commercial'!$C$25*Hypothèses!$C$57</f>
        <v>0</v>
      </c>
      <c r="P39" s="235">
        <f ca="1">O$39*(1-'Annexe G  Evolution Portefeuill'!$D$22)+O$89*'Annexe B  Plan commercial'!$C$25*Hypothèses!$C$57</f>
        <v>0</v>
      </c>
      <c r="Q39" s="235">
        <f ca="1">P$39*(1-'Annexe G  Evolution Portefeuill'!$D$22)+P$89*'Annexe B  Plan commercial'!$C$25*Hypothèses!$C$57</f>
        <v>0</v>
      </c>
      <c r="R39" s="235">
        <f ca="1">Q$39*(1-'Annexe G  Evolution Portefeuill'!$D$22)+Q$89*'Annexe B  Plan commercial'!$C$25*Hypothèses!$C$57</f>
        <v>0</v>
      </c>
      <c r="S39" s="235">
        <f ca="1">R$39*(1-'Annexe G  Evolution Portefeuill'!$D$22)+R$89*'Annexe B  Plan commercial'!$C$25*Hypothèses!$C$57</f>
        <v>0</v>
      </c>
      <c r="T39" s="235">
        <f ca="1">S$39*(1-'Annexe G  Evolution Portefeuill'!$D$22)+S$89*'Annexe B  Plan commercial'!$C$25*Hypothèses!$C$57</f>
        <v>0</v>
      </c>
      <c r="U39" s="235">
        <f ca="1">T$39*(1-'Annexe G  Evolution Portefeuill'!$D$22)+T$89*'Annexe B  Plan commercial'!$C$25*Hypothèses!$C$57</f>
        <v>0</v>
      </c>
      <c r="V39" s="237">
        <f ca="1">U$39*(1-'Annexe G  Evolution Portefeuill'!$E$22)+U$89*'Annexe B  Plan commercial'!$D$25*Hypothèses!$D$57</f>
        <v>0</v>
      </c>
      <c r="W39" s="235">
        <f ca="1">V$39*(1-'Annexe G  Evolution Portefeuill'!$E$22)+V$89*'Annexe B  Plan commercial'!$D$25*Hypothèses!$D$57</f>
        <v>0</v>
      </c>
      <c r="X39" s="235">
        <f ca="1">W$39*(1-'Annexe G  Evolution Portefeuill'!$E$22)+W$89*'Annexe B  Plan commercial'!$D$25*Hypothèses!$D$57</f>
        <v>0</v>
      </c>
      <c r="Y39" s="235">
        <f ca="1">X$39*(1-'Annexe G  Evolution Portefeuill'!$E$22)+X$89*'Annexe B  Plan commercial'!$D$25*Hypothèses!$D$57</f>
        <v>0</v>
      </c>
      <c r="Z39" s="235">
        <f ca="1">Y$39*(1-'Annexe G  Evolution Portefeuill'!$E$22)+Y$89*'Annexe B  Plan commercial'!$D$25*Hypothèses!$D$57</f>
        <v>0</v>
      </c>
      <c r="AA39" s="235">
        <f ca="1">Z$39*(1-'Annexe G  Evolution Portefeuill'!$E$22)+Z$89*'Annexe B  Plan commercial'!$D$25*Hypothèses!$D$57</f>
        <v>0</v>
      </c>
      <c r="AB39" s="235">
        <f ca="1">AA$39*(1-'Annexe G  Evolution Portefeuill'!$E$22)+AA$89*'Annexe B  Plan commercial'!$D$25*Hypothèses!$D$57</f>
        <v>0</v>
      </c>
      <c r="AC39" s="235">
        <f ca="1">AB$39*(1-'Annexe G  Evolution Portefeuill'!$E$22)+AB$89*'Annexe B  Plan commercial'!$D$25*Hypothèses!$D$57</f>
        <v>0</v>
      </c>
      <c r="AD39" s="235">
        <f ca="1">AC$39*(1-'Annexe G  Evolution Portefeuill'!$E$22)+AC$89*'Annexe B  Plan commercial'!$D$25*Hypothèses!$D$57</f>
        <v>0</v>
      </c>
      <c r="AE39" s="235">
        <f ca="1">AD$39*(1-'Annexe G  Evolution Portefeuill'!$E$22)+AD$89*'Annexe B  Plan commercial'!$D$25*Hypothèses!$D$57</f>
        <v>0</v>
      </c>
      <c r="AF39" s="235">
        <f ca="1">AE$39*(1-'Annexe G  Evolution Portefeuill'!$E$22)+AE$89*'Annexe B  Plan commercial'!$D$25*Hypothèses!$D$57</f>
        <v>0</v>
      </c>
      <c r="AG39" s="236">
        <f ca="1">AF$39*(1-'Annexe G  Evolution Portefeuill'!$E$22)+AF$89*'Annexe B  Plan commercial'!$D$25*Hypothèses!$D$57</f>
        <v>0</v>
      </c>
      <c r="AH39" s="235">
        <f ca="1">AG$39*(1-'Annexe G  Evolution Portefeuill'!$F$22)+AG$89*'Annexe B  Plan commercial'!$E$25*Hypothèses!$E$57</f>
        <v>0</v>
      </c>
      <c r="AI39" s="235">
        <f ca="1">AH$39*(1-'Annexe G  Evolution Portefeuill'!$F$22)+AH$89*'Annexe B  Plan commercial'!$E$25*Hypothèses!$E$57</f>
        <v>0</v>
      </c>
      <c r="AJ39" s="235">
        <f ca="1">AI$39*(1-'Annexe G  Evolution Portefeuill'!$F$22)+AI$89*'Annexe B  Plan commercial'!$E$25*Hypothèses!$E$57</f>
        <v>0</v>
      </c>
      <c r="AK39" s="235">
        <f ca="1">AJ$39*(1-'Annexe G  Evolution Portefeuill'!$F$22)+AJ$89*'Annexe B  Plan commercial'!$E$25*Hypothèses!$E$57</f>
        <v>0</v>
      </c>
      <c r="AL39" s="235">
        <f ca="1">AK$39*(1-'Annexe G  Evolution Portefeuill'!$F$22)+AK$89*'Annexe B  Plan commercial'!$E$25*Hypothèses!$E$57</f>
        <v>0</v>
      </c>
      <c r="AM39" s="235">
        <f ca="1">AL$39*(1-'Annexe G  Evolution Portefeuill'!$F$22)+AL$89*'Annexe B  Plan commercial'!$E$25*Hypothèses!$E$57</f>
        <v>0</v>
      </c>
      <c r="AN39" s="235">
        <f ca="1">AM$39*(1-'Annexe G  Evolution Portefeuill'!$F$22)+AM$89*'Annexe B  Plan commercial'!$E$25*Hypothèses!$E$57</f>
        <v>0</v>
      </c>
      <c r="AO39" s="235">
        <f ca="1">AN$39*(1-'Annexe G  Evolution Portefeuill'!$F$22)+AN$89*'Annexe B  Plan commercial'!$E$25*Hypothèses!$E$57</f>
        <v>0</v>
      </c>
      <c r="AP39" s="235">
        <f ca="1">AO$39*(1-'Annexe G  Evolution Portefeuill'!$F$22)+AO$89*'Annexe B  Plan commercial'!$E$25*Hypothèses!$E$57</f>
        <v>0</v>
      </c>
      <c r="AQ39" s="235">
        <f ca="1">AP$39*(1-'Annexe G  Evolution Portefeuill'!$F$22)+AP$89*'Annexe B  Plan commercial'!$E$25*Hypothèses!$E$57</f>
        <v>0</v>
      </c>
      <c r="AR39" s="235">
        <f ca="1">AQ$39*(1-'Annexe G  Evolution Portefeuill'!$F$22)+AQ$89*'Annexe B  Plan commercial'!$E$25*Hypothèses!$E$57</f>
        <v>0</v>
      </c>
      <c r="AS39" s="235">
        <f ca="1">AR$39*(1-'Annexe G  Evolution Portefeuill'!$F$22)+AR$89*'Annexe B  Plan commercial'!$E$25*Hypothèses!$E$57</f>
        <v>0</v>
      </c>
      <c r="AT39" s="237">
        <f ca="1">AS$39*(1-'Annexe G  Evolution Portefeuill'!$G$22)+AS$89*'Annexe B  Plan commercial'!$F$25*Hypothèses!$F57</f>
        <v>0</v>
      </c>
      <c r="AU39" s="235">
        <f ca="1">AT$39*(1-'Annexe G  Evolution Portefeuill'!$G$22)+AT$89*'Annexe B  Plan commercial'!$F$25*Hypothèses!$F57</f>
        <v>0</v>
      </c>
      <c r="AV39" s="235">
        <f ca="1">AU$39*(1-'Annexe G  Evolution Portefeuill'!$G$22)+AU$89*'Annexe B  Plan commercial'!$F$25*Hypothèses!$F57</f>
        <v>0</v>
      </c>
      <c r="AW39" s="235">
        <f ca="1">AV$39*(1-'Annexe G  Evolution Portefeuill'!$G$22)+AV$89*'Annexe B  Plan commercial'!$F$25*Hypothèses!$F57</f>
        <v>0</v>
      </c>
      <c r="AX39" s="235">
        <f ca="1">AW$39*(1-'Annexe G  Evolution Portefeuill'!$G$22)+AW$89*'Annexe B  Plan commercial'!$F$25*Hypothèses!$F57</f>
        <v>0</v>
      </c>
      <c r="AY39" s="235">
        <f ca="1">AX$39*(1-'Annexe G  Evolution Portefeuill'!$G$22)+AX$89*'Annexe B  Plan commercial'!$F$25*Hypothèses!$F57</f>
        <v>0</v>
      </c>
      <c r="AZ39" s="235">
        <f ca="1">AY$39*(1-'Annexe G  Evolution Portefeuill'!$G$22)+AY$89*'Annexe B  Plan commercial'!$F$25*Hypothèses!$F57</f>
        <v>0</v>
      </c>
      <c r="BA39" s="235">
        <f ca="1">AZ$39*(1-'Annexe G  Evolution Portefeuill'!$G$22)+AZ$89*'Annexe B  Plan commercial'!$F$25*Hypothèses!$F57</f>
        <v>0</v>
      </c>
      <c r="BB39" s="235">
        <f ca="1">BA$39*(1-'Annexe G  Evolution Portefeuill'!$G$22)+BA$89*'Annexe B  Plan commercial'!$F$25*Hypothèses!$F57</f>
        <v>0</v>
      </c>
      <c r="BC39" s="235">
        <f ca="1">BB$39*(1-'Annexe G  Evolution Portefeuill'!$G$22)+BB$89*'Annexe B  Plan commercial'!$F$25*Hypothèses!$F57</f>
        <v>0</v>
      </c>
      <c r="BD39" s="235">
        <f ca="1">BC$39*(1-'Annexe G  Evolution Portefeuill'!$G$22)+BC$89*'Annexe B  Plan commercial'!$F$25*Hypothèses!$F57</f>
        <v>0</v>
      </c>
      <c r="BE39" s="236">
        <f ca="1">BD$39*(1-'Annexe G  Evolution Portefeuill'!$G$22)+BD$89*'Annexe B  Plan commercial'!$F$25*Hypothèses!$F57</f>
        <v>0</v>
      </c>
      <c r="BF39" s="235">
        <f ca="1">BE$39*(1-'Annexe G  Evolution Portefeuill'!$H$22)+BE$89*'Annexe B  Plan commercial'!$G$25*Hypothèses!$G$57</f>
        <v>0</v>
      </c>
      <c r="BG39" s="235">
        <f ca="1">BF$39*(1-'Annexe G  Evolution Portefeuill'!$H$22)+BF$89*'Annexe B  Plan commercial'!$G$25*Hypothèses!$G$57</f>
        <v>0</v>
      </c>
      <c r="BH39" s="235">
        <f ca="1">BG$39*(1-'Annexe G  Evolution Portefeuill'!$H$22)+BG$89*'Annexe B  Plan commercial'!$G$25*Hypothèses!$G$57</f>
        <v>0</v>
      </c>
      <c r="BI39" s="235">
        <f ca="1">BH$39*(1-'Annexe G  Evolution Portefeuill'!$H$22)+BH$89*'Annexe B  Plan commercial'!$G$25*Hypothèses!$G$57</f>
        <v>0</v>
      </c>
      <c r="BJ39" s="235">
        <f ca="1">BI$39*(1-'Annexe G  Evolution Portefeuill'!$H$22)+BI$89*'Annexe B  Plan commercial'!$G$25*Hypothèses!$G$57</f>
        <v>0</v>
      </c>
      <c r="BK39" s="235">
        <f ca="1">BJ$39*(1-'Annexe G  Evolution Portefeuill'!$H$22)+BJ$89*'Annexe B  Plan commercial'!$G$25*Hypothèses!$G$57</f>
        <v>0</v>
      </c>
      <c r="BL39" s="235">
        <f ca="1">BK$39*(1-'Annexe G  Evolution Portefeuill'!$H$22)+BK$89*'Annexe B  Plan commercial'!$G$25*Hypothèses!$G$57</f>
        <v>0</v>
      </c>
      <c r="BM39" s="235">
        <f ca="1">BL$39*(1-'Annexe G  Evolution Portefeuill'!$H$22)+BL$89*'Annexe B  Plan commercial'!$G$25*Hypothèses!$G$57</f>
        <v>0</v>
      </c>
      <c r="BN39" s="235">
        <f ca="1">BM$39*(1-'Annexe G  Evolution Portefeuill'!$H$22)+BM$89*'Annexe B  Plan commercial'!$G$25*Hypothèses!$G$57</f>
        <v>0</v>
      </c>
      <c r="BO39" s="235">
        <f ca="1">BN$39*(1-'Annexe G  Evolution Portefeuill'!$H$22)+BN$89*'Annexe B  Plan commercial'!$G$25*Hypothèses!$G$57</f>
        <v>0</v>
      </c>
      <c r="BP39" s="235">
        <f ca="1">BO$39*(1-'Annexe G  Evolution Portefeuill'!$H$22)+BO$89*'Annexe B  Plan commercial'!$G$25*Hypothèses!$G$57</f>
        <v>0</v>
      </c>
      <c r="BQ39" s="235">
        <f ca="1">BP$39*(1-'Annexe G  Evolution Portefeuill'!$H$22)+BP$89*'Annexe B  Plan commercial'!$G$25*Hypothèses!$G$57</f>
        <v>0</v>
      </c>
      <c r="BR39" s="238">
        <f ca="1">BQ$39*(1-'Annexe G  Evolution Portefeuill'!$I$22)+BQ$89*'Annexe B  Plan commercial'!$H$25*Hypothèses!$H$57</f>
        <v>0</v>
      </c>
      <c r="BS39" s="235">
        <f ca="1">BR$39*(1-'Annexe G  Evolution Portefeuill'!$I$22)+BR$89*'Annexe B  Plan commercial'!$H$25*Hypothèses!$H$57</f>
        <v>0</v>
      </c>
      <c r="BT39" s="235">
        <f ca="1">BS$39*(1-'Annexe G  Evolution Portefeuill'!$I$22)+BS$89*'Annexe B  Plan commercial'!$H$25*Hypothèses!$H$57</f>
        <v>0</v>
      </c>
      <c r="BU39" s="235">
        <f ca="1">BT$39*(1-'Annexe G  Evolution Portefeuill'!$I$22)+BT$89*'Annexe B  Plan commercial'!$H$25*Hypothèses!$H$57</f>
        <v>0</v>
      </c>
      <c r="BV39" s="235">
        <f ca="1">BU$39*(1-'Annexe G  Evolution Portefeuill'!$I$22)+BU$89*'Annexe B  Plan commercial'!$H$25*Hypothèses!$H$57</f>
        <v>0</v>
      </c>
      <c r="BW39" s="235">
        <f ca="1">BV$39*(1-'Annexe G  Evolution Portefeuill'!$I$22)+BV$89*'Annexe B  Plan commercial'!$H$25*Hypothèses!$H$57</f>
        <v>0</v>
      </c>
      <c r="BX39" s="235">
        <f ca="1">BW$39*(1-'Annexe G  Evolution Portefeuill'!$I$22)+BW$89*'Annexe B  Plan commercial'!$H$25*Hypothèses!$H$57</f>
        <v>0</v>
      </c>
      <c r="BY39" s="235">
        <f ca="1">BX$39*(1-'Annexe G  Evolution Portefeuill'!$I$22)+BX$89*'Annexe B  Plan commercial'!$H$25*Hypothèses!$H$57</f>
        <v>0</v>
      </c>
      <c r="BZ39" s="235">
        <f ca="1">BY$39*(1-'Annexe G  Evolution Portefeuill'!$I$22)+BY$89*'Annexe B  Plan commercial'!$H$25*Hypothèses!$H$57</f>
        <v>0</v>
      </c>
      <c r="CA39" s="235">
        <f ca="1">BZ$39*(1-'Annexe G  Evolution Portefeuill'!$I$22)+BZ$89*'Annexe B  Plan commercial'!$H$25*Hypothèses!$H$57</f>
        <v>0</v>
      </c>
      <c r="CB39" s="235">
        <f ca="1">CA$39*(1-'Annexe G  Evolution Portefeuill'!$I$22)+CA$89*'Annexe B  Plan commercial'!$H$25*Hypothèses!$H$57</f>
        <v>0</v>
      </c>
      <c r="CC39" s="239">
        <f ca="1">CB$39*(1-'Annexe G  Evolution Portefeuill'!$I$22)+CB$89*'Annexe B  Plan commercial'!$H$25*Hypothèses!$H$57</f>
        <v>0</v>
      </c>
      <c r="CD39" s="246"/>
    </row>
    <row r="40" spans="1:82" ht="14">
      <c r="A40" s="243" t="s">
        <v>146</v>
      </c>
      <c r="B40" s="245"/>
      <c r="C40" s="244">
        <v>0</v>
      </c>
      <c r="D40" s="235">
        <f>C$40*(1-'Annexe G  Evolution Portefeuill'!$C$22)+C$90*'Annexe B  Plan commercial'!$B$31*Hypothèses!$B$58</f>
        <v>0</v>
      </c>
      <c r="E40" s="235">
        <f>D$40*(1-'Annexe G  Evolution Portefeuill'!$C$22)+D$90*'Annexe B  Plan commercial'!$B$31*Hypothèses!$B$58</f>
        <v>0</v>
      </c>
      <c r="F40" s="235">
        <f>E$40*(1-'Annexe G  Evolution Portefeuill'!$C$22)+E$90*'Annexe B  Plan commercial'!$B$31*Hypothèses!$B$58</f>
        <v>0</v>
      </c>
      <c r="G40" s="235">
        <f>F$40*(1-'Annexe G  Evolution Portefeuill'!$C$22)+F$90*'Annexe B  Plan commercial'!$B$31*Hypothèses!$B$58</f>
        <v>0</v>
      </c>
      <c r="H40" s="235">
        <f>G$40*(1-'Annexe G  Evolution Portefeuill'!$C$22)+G$90*'Annexe B  Plan commercial'!$B$31*Hypothèses!$B$58</f>
        <v>0</v>
      </c>
      <c r="I40" s="236">
        <f>H$40*(1-'Annexe G  Evolution Portefeuill'!$C$22)+H$90*'Annexe B  Plan commercial'!$B$31*Hypothèses!$B$58</f>
        <v>0</v>
      </c>
      <c r="J40" s="235">
        <f>I$40*(1-'Annexe G  Evolution Portefeuill'!$D$22)+I$90*'Annexe B  Plan commercial'!$C$31*Hypothèses!$C$58</f>
        <v>0</v>
      </c>
      <c r="K40" s="235">
        <f ca="1">J$40*(1-'Annexe G  Evolution Portefeuill'!$D$22)+J$90*'Annexe B  Plan commercial'!$C$31*Hypothèses!$C$58</f>
        <v>0</v>
      </c>
      <c r="L40" s="235">
        <f ca="1">K$40*(1-'Annexe G  Evolution Portefeuill'!$D$22)+K$90*'Annexe B  Plan commercial'!$C$31*Hypothèses!$C$58</f>
        <v>0</v>
      </c>
      <c r="M40" s="235">
        <f ca="1">L$40*(1-'Annexe G  Evolution Portefeuill'!$D$22)+L$90*'Annexe B  Plan commercial'!$C$31*Hypothèses!$C$58</f>
        <v>0</v>
      </c>
      <c r="N40" s="235">
        <f ca="1">M$40*(1-'Annexe G  Evolution Portefeuill'!$D$22)+M$90*'Annexe B  Plan commercial'!$C$31*Hypothèses!$C$58</f>
        <v>0</v>
      </c>
      <c r="O40" s="235">
        <f ca="1">N$40*(1-'Annexe G  Evolution Portefeuill'!$D$22)+N$90*'Annexe B  Plan commercial'!$C$31*Hypothèses!$C$58</f>
        <v>0</v>
      </c>
      <c r="P40" s="235">
        <f ca="1">O$40*(1-'Annexe G  Evolution Portefeuill'!$D$22)+O$90*'Annexe B  Plan commercial'!$C$31*Hypothèses!$C$58</f>
        <v>0</v>
      </c>
      <c r="Q40" s="235">
        <f ca="1">P$40*(1-'Annexe G  Evolution Portefeuill'!$D$22)+P$90*'Annexe B  Plan commercial'!$C$31*Hypothèses!$C$58</f>
        <v>0</v>
      </c>
      <c r="R40" s="235">
        <f ca="1">Q$40*(1-'Annexe G  Evolution Portefeuill'!$D$22)+Q$90*'Annexe B  Plan commercial'!$C$31*Hypothèses!$C$58</f>
        <v>0</v>
      </c>
      <c r="S40" s="235">
        <f ca="1">R$40*(1-'Annexe G  Evolution Portefeuill'!$D$22)+R$90*'Annexe B  Plan commercial'!$C$31*Hypothèses!$C$58</f>
        <v>0</v>
      </c>
      <c r="T40" s="235">
        <f ca="1">S$40*(1-'Annexe G  Evolution Portefeuill'!$D$22)+S$90*'Annexe B  Plan commercial'!$C$31*Hypothèses!$C$58</f>
        <v>0</v>
      </c>
      <c r="U40" s="235">
        <f ca="1">T$40*(1-'Annexe G  Evolution Portefeuill'!$D$22)+T$90*'Annexe B  Plan commercial'!$C$31*Hypothèses!$C$58</f>
        <v>0</v>
      </c>
      <c r="V40" s="237">
        <f ca="1">U$40*(1-'Annexe G  Evolution Portefeuill'!$E$22)+U$90*'Annexe B  Plan commercial'!$D$31*Hypothèses!$D$58</f>
        <v>0</v>
      </c>
      <c r="W40" s="235">
        <f ca="1">V$40*(1-'Annexe G  Evolution Portefeuill'!$E$22)+V$90*'Annexe B  Plan commercial'!$D$31*Hypothèses!$D$58</f>
        <v>0</v>
      </c>
      <c r="X40" s="235">
        <f ca="1">W$40*(1-'Annexe G  Evolution Portefeuill'!$E$22)+W$90*'Annexe B  Plan commercial'!$D$31*Hypothèses!$D$58</f>
        <v>0</v>
      </c>
      <c r="Y40" s="235">
        <f ca="1">X$40*(1-'Annexe G  Evolution Portefeuill'!$E$22)+X$90*'Annexe B  Plan commercial'!$D$31*Hypothèses!$D$58</f>
        <v>0</v>
      </c>
      <c r="Z40" s="235">
        <f ca="1">Y$40*(1-'Annexe G  Evolution Portefeuill'!$E$22)+Y$90*'Annexe B  Plan commercial'!$D$31*Hypothèses!$D$58</f>
        <v>0</v>
      </c>
      <c r="AA40" s="235">
        <f ca="1">Z$40*(1-'Annexe G  Evolution Portefeuill'!$E$22)+Z$90*'Annexe B  Plan commercial'!$D$31*Hypothèses!$D$58</f>
        <v>0</v>
      </c>
      <c r="AB40" s="235">
        <f ca="1">AA$40*(1-'Annexe G  Evolution Portefeuill'!$E$22)+AA$90*'Annexe B  Plan commercial'!$D$31*Hypothèses!$D$58</f>
        <v>0</v>
      </c>
      <c r="AC40" s="235">
        <f ca="1">AB$40*(1-'Annexe G  Evolution Portefeuill'!$E$22)+AB$90*'Annexe B  Plan commercial'!$D$31*Hypothèses!$D$58</f>
        <v>0</v>
      </c>
      <c r="AD40" s="235">
        <f ca="1">AC$40*(1-'Annexe G  Evolution Portefeuill'!$E$22)+AC$90*'Annexe B  Plan commercial'!$D$31*Hypothèses!$D$58</f>
        <v>0</v>
      </c>
      <c r="AE40" s="235">
        <f ca="1">AD$40*(1-'Annexe G  Evolution Portefeuill'!$E$22)+AD$90*'Annexe B  Plan commercial'!$D$31*Hypothèses!$D$58</f>
        <v>0</v>
      </c>
      <c r="AF40" s="235">
        <f ca="1">AE$40*(1-'Annexe G  Evolution Portefeuill'!$E$22)+AE$90*'Annexe B  Plan commercial'!$D$31*Hypothèses!$D$58</f>
        <v>0</v>
      </c>
      <c r="AG40" s="236">
        <f ca="1">AF$40*(1-'Annexe G  Evolution Portefeuill'!$E$22)+AF$90*'Annexe B  Plan commercial'!$D$31*Hypothèses!$D$58</f>
        <v>0</v>
      </c>
      <c r="AH40" s="235">
        <f ca="1">AG$40*(1-'Annexe G  Evolution Portefeuill'!$F$22)+AG$90*'Annexe B  Plan commercial'!$E$31*Hypothèses!$E$58</f>
        <v>0</v>
      </c>
      <c r="AI40" s="235">
        <f ca="1">AH$40*(1-'Annexe G  Evolution Portefeuill'!$F$22)+AH$90*'Annexe B  Plan commercial'!$E$31*Hypothèses!$E$58</f>
        <v>0</v>
      </c>
      <c r="AJ40" s="235">
        <f ca="1">AI$40*(1-'Annexe G  Evolution Portefeuill'!$F$22)+AI$90*'Annexe B  Plan commercial'!$E$31*Hypothèses!$E$58</f>
        <v>0</v>
      </c>
      <c r="AK40" s="235">
        <f ca="1">AJ$40*(1-'Annexe G  Evolution Portefeuill'!$F$22)+AJ$90*'Annexe B  Plan commercial'!$E$31*Hypothèses!$E$58</f>
        <v>0</v>
      </c>
      <c r="AL40" s="235">
        <f ca="1">AK$40*(1-'Annexe G  Evolution Portefeuill'!$F$22)+AK$90*'Annexe B  Plan commercial'!$E$31*Hypothèses!$E$58</f>
        <v>0</v>
      </c>
      <c r="AM40" s="235">
        <f ca="1">AL$40*(1-'Annexe G  Evolution Portefeuill'!$F$22)+AL$90*'Annexe B  Plan commercial'!$E$31*Hypothèses!$E$58</f>
        <v>0</v>
      </c>
      <c r="AN40" s="235">
        <f ca="1">AM$40*(1-'Annexe G  Evolution Portefeuill'!$F$22)+AM$90*'Annexe B  Plan commercial'!$E$31*Hypothèses!$E$58</f>
        <v>0</v>
      </c>
      <c r="AO40" s="235">
        <f ca="1">AN$40*(1-'Annexe G  Evolution Portefeuill'!$F$22)+AN$90*'Annexe B  Plan commercial'!$E$31*Hypothèses!$E$58</f>
        <v>0</v>
      </c>
      <c r="AP40" s="235">
        <f ca="1">AO$40*(1-'Annexe G  Evolution Portefeuill'!$F$22)+AO$90*'Annexe B  Plan commercial'!$E$31*Hypothèses!$E$58</f>
        <v>0</v>
      </c>
      <c r="AQ40" s="235">
        <f ca="1">AP$40*(1-'Annexe G  Evolution Portefeuill'!$F$22)+AP$90*'Annexe B  Plan commercial'!$E$31*Hypothèses!$E$58</f>
        <v>0</v>
      </c>
      <c r="AR40" s="235">
        <f ca="1">AQ$40*(1-'Annexe G  Evolution Portefeuill'!$F$22)+AQ$90*'Annexe B  Plan commercial'!$E$31*Hypothèses!$E$58</f>
        <v>0</v>
      </c>
      <c r="AS40" s="235">
        <f ca="1">AR$40*(1-'Annexe G  Evolution Portefeuill'!$F$22)+AR$90*'Annexe B  Plan commercial'!$E$31*Hypothèses!$E$58</f>
        <v>0</v>
      </c>
      <c r="AT40" s="237">
        <f ca="1">AS$40*(1-'Annexe G  Evolution Portefeuill'!$G$22)+AS$90*'Annexe B  Plan commercial'!$F$31*Hypothèses!$F58</f>
        <v>0</v>
      </c>
      <c r="AU40" s="235">
        <f ca="1">AT$40*(1-'Annexe G  Evolution Portefeuill'!$G$22)+AT$90*'Annexe B  Plan commercial'!$F$31*Hypothèses!$F58</f>
        <v>0</v>
      </c>
      <c r="AV40" s="235">
        <f ca="1">AU$40*(1-'Annexe G  Evolution Portefeuill'!$G$22)+AU$90*'Annexe B  Plan commercial'!$F$31*Hypothèses!$F58</f>
        <v>0</v>
      </c>
      <c r="AW40" s="235">
        <f ca="1">AV$40*(1-'Annexe G  Evolution Portefeuill'!$G$22)+AV$90*'Annexe B  Plan commercial'!$F$31*Hypothèses!$F58</f>
        <v>0</v>
      </c>
      <c r="AX40" s="235">
        <f ca="1">AW$40*(1-'Annexe G  Evolution Portefeuill'!$G$22)+AW$90*'Annexe B  Plan commercial'!$F$31*Hypothèses!$F58</f>
        <v>0</v>
      </c>
      <c r="AY40" s="235">
        <f ca="1">AX$40*(1-'Annexe G  Evolution Portefeuill'!$G$22)+AX$90*'Annexe B  Plan commercial'!$F$31*Hypothèses!$F58</f>
        <v>0</v>
      </c>
      <c r="AZ40" s="235">
        <f ca="1">AY$40*(1-'Annexe G  Evolution Portefeuill'!$G$22)+AY$90*'Annexe B  Plan commercial'!$F$31*Hypothèses!$F58</f>
        <v>0</v>
      </c>
      <c r="BA40" s="235">
        <f ca="1">AZ$40*(1-'Annexe G  Evolution Portefeuill'!$G$22)+AZ$90*'Annexe B  Plan commercial'!$F$31*Hypothèses!$F58</f>
        <v>0</v>
      </c>
      <c r="BB40" s="235">
        <f ca="1">BA$40*(1-'Annexe G  Evolution Portefeuill'!$G$22)+BA$90*'Annexe B  Plan commercial'!$F$31*Hypothèses!$F58</f>
        <v>0</v>
      </c>
      <c r="BC40" s="235">
        <f ca="1">BB$40*(1-'Annexe G  Evolution Portefeuill'!$G$22)+BB$90*'Annexe B  Plan commercial'!$F$31*Hypothèses!$F58</f>
        <v>0</v>
      </c>
      <c r="BD40" s="235">
        <f ca="1">BC$40*(1-'Annexe G  Evolution Portefeuill'!$G$22)+BC$90*'Annexe B  Plan commercial'!$F$31*Hypothèses!$F58</f>
        <v>0</v>
      </c>
      <c r="BE40" s="236">
        <f ca="1">BD$40*(1-'Annexe G  Evolution Portefeuill'!$G$22)+BD$90*'Annexe B  Plan commercial'!$F$31*Hypothèses!$F58</f>
        <v>0</v>
      </c>
      <c r="BF40" s="235">
        <f ca="1">BE$40*(1-'Annexe G  Evolution Portefeuill'!$H$22)+BE$90*'Annexe B  Plan commercial'!$G$31*Hypothèses!$G$58</f>
        <v>0</v>
      </c>
      <c r="BG40" s="235">
        <f ca="1">BF$40*(1-'Annexe G  Evolution Portefeuill'!$H$22)+BF$90*'Annexe B  Plan commercial'!$G$31*Hypothèses!$G$58</f>
        <v>0</v>
      </c>
      <c r="BH40" s="235">
        <f ca="1">BG$40*(1-'Annexe G  Evolution Portefeuill'!$H$22)+BG$90*'Annexe B  Plan commercial'!$G$31*Hypothèses!$G$58</f>
        <v>0</v>
      </c>
      <c r="BI40" s="235">
        <f ca="1">BH$40*(1-'Annexe G  Evolution Portefeuill'!$H$22)+BH$90*'Annexe B  Plan commercial'!$G$31*Hypothèses!$G$58</f>
        <v>0</v>
      </c>
      <c r="BJ40" s="235">
        <f ca="1">BI$40*(1-'Annexe G  Evolution Portefeuill'!$H$22)+BI$90*'Annexe B  Plan commercial'!$G$31*Hypothèses!$G$58</f>
        <v>0</v>
      </c>
      <c r="BK40" s="235">
        <f ca="1">BJ$40*(1-'Annexe G  Evolution Portefeuill'!$H$22)+BJ$90*'Annexe B  Plan commercial'!$G$31*Hypothèses!$G$58</f>
        <v>0</v>
      </c>
      <c r="BL40" s="235">
        <f ca="1">BK$40*(1-'Annexe G  Evolution Portefeuill'!$H$22)+BK$90*'Annexe B  Plan commercial'!$G$31*Hypothèses!$G$58</f>
        <v>0</v>
      </c>
      <c r="BM40" s="235">
        <f ca="1">BL$40*(1-'Annexe G  Evolution Portefeuill'!$H$22)+BL$90*'Annexe B  Plan commercial'!$G$31*Hypothèses!$G$58</f>
        <v>0</v>
      </c>
      <c r="BN40" s="235">
        <f ca="1">BM$40*(1-'Annexe G  Evolution Portefeuill'!$H$22)+BM$90*'Annexe B  Plan commercial'!$G$31*Hypothèses!$G$58</f>
        <v>0</v>
      </c>
      <c r="BO40" s="235">
        <f ca="1">BN$40*(1-'Annexe G  Evolution Portefeuill'!$H$22)+BN$90*'Annexe B  Plan commercial'!$G$31*Hypothèses!$G$58</f>
        <v>0</v>
      </c>
      <c r="BP40" s="235">
        <f ca="1">BO$40*(1-'Annexe G  Evolution Portefeuill'!$H$22)+BO$90*'Annexe B  Plan commercial'!$G$31*Hypothèses!$G$58</f>
        <v>0</v>
      </c>
      <c r="BQ40" s="235">
        <f ca="1">BP$40*(1-'Annexe G  Evolution Portefeuill'!$H$22)+BP$90*'Annexe B  Plan commercial'!$G$31*Hypothèses!$G$58</f>
        <v>0</v>
      </c>
      <c r="BR40" s="238">
        <f ca="1">BQ$40*(1-'Annexe G  Evolution Portefeuill'!$I$22)+BQ$90*'Annexe B  Plan commercial'!$H$31*Hypothèses!$H$58</f>
        <v>0</v>
      </c>
      <c r="BS40" s="235">
        <f ca="1">BR$40*(1-'Annexe G  Evolution Portefeuill'!$I$22)+BR$90*'Annexe B  Plan commercial'!$H$31*Hypothèses!$H$58</f>
        <v>0</v>
      </c>
      <c r="BT40" s="235">
        <f ca="1">BS$40*(1-'Annexe G  Evolution Portefeuill'!$I$22)+BS$90*'Annexe B  Plan commercial'!$H$31*Hypothèses!$H$58</f>
        <v>0</v>
      </c>
      <c r="BU40" s="235">
        <f ca="1">BT$40*(1-'Annexe G  Evolution Portefeuill'!$I$22)+BT$90*'Annexe B  Plan commercial'!$H$31*Hypothèses!$H$58</f>
        <v>0</v>
      </c>
      <c r="BV40" s="235">
        <f ca="1">BU$40*(1-'Annexe G  Evolution Portefeuill'!$I$22)+BU$90*'Annexe B  Plan commercial'!$H$31*Hypothèses!$H$58</f>
        <v>0</v>
      </c>
      <c r="BW40" s="235">
        <f ca="1">BV$40*(1-'Annexe G  Evolution Portefeuill'!$I$22)+BV$90*'Annexe B  Plan commercial'!$H$31*Hypothèses!$H$58</f>
        <v>0</v>
      </c>
      <c r="BX40" s="235">
        <f ca="1">BW$40*(1-'Annexe G  Evolution Portefeuill'!$I$22)+BW$90*'Annexe B  Plan commercial'!$H$31*Hypothèses!$H$58</f>
        <v>0</v>
      </c>
      <c r="BY40" s="235">
        <f ca="1">BX$40*(1-'Annexe G  Evolution Portefeuill'!$I$22)+BX$90*'Annexe B  Plan commercial'!$H$31*Hypothèses!$H$58</f>
        <v>0</v>
      </c>
      <c r="BZ40" s="235">
        <f ca="1">BY$40*(1-'Annexe G  Evolution Portefeuill'!$I$22)+BY$90*'Annexe B  Plan commercial'!$H$31*Hypothèses!$H$58</f>
        <v>0</v>
      </c>
      <c r="CA40" s="235">
        <f ca="1">BZ$40*(1-'Annexe G  Evolution Portefeuill'!$I$22)+BZ$90*'Annexe B  Plan commercial'!$H$31*Hypothèses!$H$58</f>
        <v>0</v>
      </c>
      <c r="CB40" s="235">
        <f ca="1">CA$40*(1-'Annexe G  Evolution Portefeuill'!$I$22)+CA$90*'Annexe B  Plan commercial'!$H$31*Hypothèses!$H$58</f>
        <v>0</v>
      </c>
      <c r="CC40" s="239">
        <f ca="1">CB$40*(1-'Annexe G  Evolution Portefeuill'!$I$22)+CB$90*'Annexe B  Plan commercial'!$H$31*Hypothèses!$H$58</f>
        <v>0</v>
      </c>
      <c r="CD40" s="246"/>
    </row>
    <row r="41" spans="1:82" ht="14">
      <c r="A41" s="247"/>
      <c r="B41" s="245"/>
      <c r="C41" s="248"/>
      <c r="D41" s="246"/>
      <c r="E41" s="246"/>
      <c r="F41" s="246"/>
      <c r="G41" s="246"/>
      <c r="H41" s="246"/>
      <c r="I41" s="249"/>
      <c r="J41" s="246"/>
      <c r="K41" s="246"/>
      <c r="L41" s="246"/>
      <c r="M41" s="246"/>
      <c r="N41" s="246"/>
      <c r="O41" s="246"/>
      <c r="P41" s="246"/>
      <c r="Q41" s="246"/>
      <c r="R41" s="246"/>
      <c r="S41" s="246"/>
      <c r="T41" s="246"/>
      <c r="U41" s="246"/>
      <c r="V41" s="248"/>
      <c r="W41" s="246"/>
      <c r="X41" s="246"/>
      <c r="Y41" s="246"/>
      <c r="Z41" s="246"/>
      <c r="AA41" s="246"/>
      <c r="AB41" s="246"/>
      <c r="AC41" s="246"/>
      <c r="AD41" s="246"/>
      <c r="AE41" s="246"/>
      <c r="AF41" s="246"/>
      <c r="AG41" s="249"/>
      <c r="AH41" s="246"/>
      <c r="AI41" s="246"/>
      <c r="AJ41" s="246"/>
      <c r="AK41" s="246"/>
      <c r="AL41" s="246"/>
      <c r="AM41" s="246"/>
      <c r="AN41" s="246"/>
      <c r="AO41" s="246"/>
      <c r="AP41" s="246"/>
      <c r="AQ41" s="246"/>
      <c r="AR41" s="246"/>
      <c r="AS41" s="246"/>
      <c r="AT41" s="248"/>
      <c r="AU41" s="246"/>
      <c r="AV41" s="246"/>
      <c r="AW41" s="246"/>
      <c r="AX41" s="246"/>
      <c r="AY41" s="246"/>
      <c r="AZ41" s="246"/>
      <c r="BA41" s="246"/>
      <c r="BB41" s="246"/>
      <c r="BC41" s="246"/>
      <c r="BD41" s="246"/>
      <c r="BE41" s="249"/>
      <c r="BF41" s="246"/>
      <c r="BG41" s="246"/>
      <c r="BH41" s="246"/>
      <c r="BI41" s="246"/>
      <c r="BJ41" s="246"/>
      <c r="BK41" s="246"/>
      <c r="BL41" s="246"/>
      <c r="BM41" s="246"/>
      <c r="BN41" s="246"/>
      <c r="BO41" s="246"/>
      <c r="BP41" s="246"/>
      <c r="BQ41" s="246"/>
      <c r="BR41" s="250"/>
      <c r="BS41" s="246"/>
      <c r="BT41" s="246"/>
      <c r="BU41" s="246"/>
      <c r="BV41" s="246"/>
      <c r="BW41" s="246"/>
      <c r="BX41" s="246"/>
      <c r="BY41" s="246"/>
      <c r="BZ41" s="246"/>
      <c r="CA41" s="246"/>
      <c r="CB41" s="246"/>
      <c r="CC41" s="251"/>
      <c r="CD41" s="246"/>
    </row>
    <row r="42" spans="1:82" ht="14">
      <c r="A42" s="247" t="s">
        <v>149</v>
      </c>
      <c r="B42" s="245"/>
      <c r="C42" s="248">
        <f t="shared" ref="C42:CC42" si="8">SUM(C43:C47)</f>
        <v>8.3475000000000001</v>
      </c>
      <c r="D42" s="246">
        <f t="shared" si="8"/>
        <v>8.9920339630562562</v>
      </c>
      <c r="E42" s="246">
        <f t="shared" si="8"/>
        <v>9.6519196431570098</v>
      </c>
      <c r="F42" s="246">
        <f t="shared" si="8"/>
        <v>10.326695498762591</v>
      </c>
      <c r="G42" s="246">
        <f t="shared" si="8"/>
        <v>11.015914542564207</v>
      </c>
      <c r="H42" s="246">
        <f t="shared" si="8"/>
        <v>11.719143832740315</v>
      </c>
      <c r="I42" s="249">
        <f t="shared" si="8"/>
        <v>12.435963983843397</v>
      </c>
      <c r="J42" s="246">
        <f t="shared" si="8"/>
        <v>14.257352720482896</v>
      </c>
      <c r="K42" s="246">
        <f t="shared" ca="1" si="8"/>
        <v>16.180578755063433</v>
      </c>
      <c r="L42" s="246">
        <f t="shared" ca="1" si="8"/>
        <v>17.877232845580334</v>
      </c>
      <c r="M42" s="246">
        <f t="shared" ca="1" si="8"/>
        <v>19.903359989774732</v>
      </c>
      <c r="N42" s="246">
        <f t="shared" ca="1" si="8"/>
        <v>21.989715749185262</v>
      </c>
      <c r="O42" s="246">
        <f t="shared" ca="1" si="8"/>
        <v>24.134908370007771</v>
      </c>
      <c r="P42" s="246">
        <f t="shared" ca="1" si="8"/>
        <v>26.337580085780907</v>
      </c>
      <c r="Q42" s="246">
        <f t="shared" ca="1" si="8"/>
        <v>28.783601829420022</v>
      </c>
      <c r="R42" s="246">
        <f t="shared" ca="1" si="8"/>
        <v>31.303956708589332</v>
      </c>
      <c r="S42" s="246">
        <f t="shared" ca="1" si="8"/>
        <v>33.896794140099637</v>
      </c>
      <c r="T42" s="246">
        <f t="shared" ca="1" si="8"/>
        <v>36.560313866474431</v>
      </c>
      <c r="U42" s="246">
        <f t="shared" ca="1" si="8"/>
        <v>39.292764404009702</v>
      </c>
      <c r="V42" s="248">
        <f t="shared" ca="1" si="8"/>
        <v>42.854089861643267</v>
      </c>
      <c r="W42" s="246">
        <f t="shared" ca="1" si="8"/>
        <v>46.521626225795508</v>
      </c>
      <c r="X42" s="246">
        <f t="shared" ca="1" si="8"/>
        <v>50.293513153514468</v>
      </c>
      <c r="Y42" s="246">
        <f t="shared" ca="1" si="8"/>
        <v>54.167925418979856</v>
      </c>
      <c r="Z42" s="246">
        <f t="shared" ca="1" si="8"/>
        <v>58.143072176563791</v>
      </c>
      <c r="AA42" s="246">
        <f t="shared" ca="1" si="8"/>
        <v>62.217196241565922</v>
      </c>
      <c r="AB42" s="246">
        <f t="shared" ca="1" si="8"/>
        <v>66.388573388129316</v>
      </c>
      <c r="AC42" s="246">
        <f t="shared" ca="1" si="8"/>
        <v>70.834907479701016</v>
      </c>
      <c r="AD42" s="246">
        <f t="shared" ca="1" si="8"/>
        <v>75.387728138823334</v>
      </c>
      <c r="AE42" s="246">
        <f t="shared" ca="1" si="8"/>
        <v>80.04509836307696</v>
      </c>
      <c r="AF42" s="246">
        <f t="shared" ca="1" si="8"/>
        <v>84.805120573683666</v>
      </c>
      <c r="AG42" s="249">
        <f t="shared" ca="1" si="8"/>
        <v>89.665935679254233</v>
      </c>
      <c r="AH42" s="246">
        <f t="shared" ca="1" si="8"/>
        <v>93.949294331329227</v>
      </c>
      <c r="AI42" s="246">
        <f t="shared" ca="1" si="8"/>
        <v>98.313842099266978</v>
      </c>
      <c r="AJ42" s="246">
        <f t="shared" ca="1" si="8"/>
        <v>102.7584837166805</v>
      </c>
      <c r="AK42" s="246">
        <f t="shared" ca="1" si="8"/>
        <v>107.28213790022053</v>
      </c>
      <c r="AL42" s="246">
        <f t="shared" ca="1" si="8"/>
        <v>111.88373722217078</v>
      </c>
      <c r="AM42" s="246">
        <f t="shared" ca="1" si="8"/>
        <v>116.5622279817632</v>
      </c>
      <c r="AN42" s="246">
        <f t="shared" ca="1" si="8"/>
        <v>121.31657007535034</v>
      </c>
      <c r="AO42" s="246">
        <f t="shared" ca="1" si="8"/>
        <v>126.14573686556727</v>
      </c>
      <c r="AP42" s="246">
        <f t="shared" ca="1" si="8"/>
        <v>131.04871504960727</v>
      </c>
      <c r="AQ42" s="246">
        <f t="shared" ca="1" si="8"/>
        <v>136.02450452673222</v>
      </c>
      <c r="AR42" s="246">
        <f t="shared" ca="1" si="8"/>
        <v>141.07211826513046</v>
      </c>
      <c r="AS42" s="246">
        <f t="shared" ca="1" si="8"/>
        <v>146.19058216823146</v>
      </c>
      <c r="AT42" s="248">
        <f t="shared" ca="1" si="8"/>
        <v>149.4110943010655</v>
      </c>
      <c r="AU42" s="246">
        <f t="shared" ca="1" si="8"/>
        <v>152.64850993945151</v>
      </c>
      <c r="AV42" s="246">
        <f t="shared" ca="1" si="8"/>
        <v>155.90254922011118</v>
      </c>
      <c r="AW42" s="246">
        <f t="shared" ca="1" si="8"/>
        <v>159.17293608047194</v>
      </c>
      <c r="AX42" s="246">
        <f t="shared" ca="1" si="8"/>
        <v>162.45939823250959</v>
      </c>
      <c r="AY42" s="246">
        <f t="shared" ca="1" si="8"/>
        <v>165.76166713546792</v>
      </c>
      <c r="AZ42" s="246">
        <f t="shared" ca="1" si="8"/>
        <v>169.07947796753609</v>
      </c>
      <c r="BA42" s="246">
        <f t="shared" ca="1" si="8"/>
        <v>173.1535523141639</v>
      </c>
      <c r="BB42" s="246">
        <f t="shared" ca="1" si="8"/>
        <v>177.24419532402388</v>
      </c>
      <c r="BC42" s="246">
        <f t="shared" ca="1" si="8"/>
        <v>181.3511214076444</v>
      </c>
      <c r="BD42" s="246">
        <f t="shared" ca="1" si="8"/>
        <v>185.47404919541512</v>
      </c>
      <c r="BE42" s="249">
        <f t="shared" ca="1" si="8"/>
        <v>189.61270148671434</v>
      </c>
      <c r="BF42" s="246">
        <f t="shared" ca="1" si="8"/>
        <v>192.70452209775522</v>
      </c>
      <c r="BG42" s="246">
        <f t="shared" ca="1" si="8"/>
        <v>195.77379900406027</v>
      </c>
      <c r="BH42" s="246">
        <f t="shared" ca="1" si="8"/>
        <v>201.55071735335363</v>
      </c>
      <c r="BI42" s="246">
        <f t="shared" ca="1" si="8"/>
        <v>207.27829721393647</v>
      </c>
      <c r="BJ42" s="246">
        <f t="shared" ca="1" si="8"/>
        <v>215.6870910470557</v>
      </c>
      <c r="BK42" s="246">
        <f t="shared" ca="1" si="8"/>
        <v>226.75088908802073</v>
      </c>
      <c r="BL42" s="246">
        <f t="shared" ca="1" si="8"/>
        <v>237.7138374110377</v>
      </c>
      <c r="BM42" s="246">
        <f t="shared" ca="1" si="8"/>
        <v>261.08481458783814</v>
      </c>
      <c r="BN42" s="246">
        <f t="shared" ca="1" si="8"/>
        <v>284.2312277167652</v>
      </c>
      <c r="BO42" s="246">
        <f t="shared" ca="1" si="8"/>
        <v>307.15601025792239</v>
      </c>
      <c r="BP42" s="246">
        <f t="shared" ca="1" si="8"/>
        <v>329.86204481525789</v>
      </c>
      <c r="BQ42" s="246">
        <f t="shared" ca="1" si="8"/>
        <v>352.35216421199021</v>
      </c>
      <c r="BR42" s="250">
        <f t="shared" ca="1" si="8"/>
        <v>374.58998983579227</v>
      </c>
      <c r="BS42" s="246">
        <f t="shared" ca="1" si="8"/>
        <v>397.97817519536517</v>
      </c>
      <c r="BT42" s="246">
        <f t="shared" ca="1" si="8"/>
        <v>421.14042966637828</v>
      </c>
      <c r="BU42" s="246">
        <f t="shared" ca="1" si="8"/>
        <v>445.44452475779474</v>
      </c>
      <c r="BV42" s="246">
        <f t="shared" ca="1" si="8"/>
        <v>469.5142680713289</v>
      </c>
      <c r="BW42" s="246">
        <f t="shared" ca="1" si="8"/>
        <v>493.35252798822324</v>
      </c>
      <c r="BX42" s="246">
        <f t="shared" ca="1" si="8"/>
        <v>521.05713065011787</v>
      </c>
      <c r="BY42" s="246">
        <f t="shared" ca="1" si="8"/>
        <v>586.02328778290598</v>
      </c>
      <c r="BZ42" s="246">
        <f t="shared" ca="1" si="8"/>
        <v>651.71154194752683</v>
      </c>
      <c r="CA42" s="246">
        <f t="shared" ca="1" si="8"/>
        <v>716.75149882915969</v>
      </c>
      <c r="CB42" s="246">
        <f t="shared" ca="1" si="8"/>
        <v>783.88125851532266</v>
      </c>
      <c r="CC42" s="251">
        <f t="shared" ca="1" si="8"/>
        <v>850.3509538426465</v>
      </c>
      <c r="CD42" s="246"/>
    </row>
    <row r="43" spans="1:82" ht="14">
      <c r="A43" s="233" t="s">
        <v>142</v>
      </c>
      <c r="B43" s="245"/>
      <c r="C43" s="248">
        <f>(C22+C29+C36)*(Hypothèses!$B$71+(Hypothèses!$C$71-Hypothèses!$B$71)*MONTH(C$2)/12)</f>
        <v>8.3475000000000001</v>
      </c>
      <c r="D43" s="246">
        <f>(D22+D29+D36)*(Hypothèses!$B$71+(Hypothèses!$C$71-Hypothèses!$B$71)*MONTH(D$2)/12)</f>
        <v>8.9920339630562562</v>
      </c>
      <c r="E43" s="246">
        <f>(E22+E29+E36)*(Hypothèses!$B$71+(Hypothèses!$C$71-Hypothèses!$B$71)*MONTH(E$2)/12)</f>
        <v>9.6519196431570098</v>
      </c>
      <c r="F43" s="246">
        <f>(F22+F29+F36)*(Hypothèses!$B$71+(Hypothèses!$C$71-Hypothèses!$B$71)*MONTH(F$2)/12)</f>
        <v>10.326695498762591</v>
      </c>
      <c r="G43" s="246">
        <f>(G22+G29+G36)*(Hypothèses!$B$71+(Hypothèses!$C$71-Hypothèses!$B$71)*MONTH(G$2)/12)</f>
        <v>11.015914542564207</v>
      </c>
      <c r="H43" s="246">
        <f>(H22+H29+H36)*(Hypothèses!$B$71+(Hypothèses!$C$71-Hypothèses!$B$71)*MONTH(H$2)/12)</f>
        <v>11.719143832740315</v>
      </c>
      <c r="I43" s="249">
        <f>(I22+I29+I36)*(Hypothèses!$B$71+(Hypothèses!$C$71-Hypothèses!$B$71)*MONTH(I$2)/12)</f>
        <v>12.435963983843397</v>
      </c>
      <c r="J43" s="246">
        <f>(J22+J29+J36)*(Hypothèses!$C$71+(Hypothèses!$D$71-Hypothèses!$C$71)*MONTH(J$2)/12)</f>
        <v>14.257352720482896</v>
      </c>
      <c r="K43" s="246">
        <f ca="1">(K22+K29+K36)*(Hypothèses!$C$71+(Hypothèses!$D$71-Hypothèses!$C$71)*MONTH(K$2)/12)</f>
        <v>16.180578755063433</v>
      </c>
      <c r="L43" s="246">
        <f ca="1">(L22+L29+L36)*(Hypothèses!$C$71+(Hypothèses!$D$71-Hypothèses!$C$71)*MONTH(L$2)/12)</f>
        <v>17.877232845580334</v>
      </c>
      <c r="M43" s="246">
        <f ca="1">(M22+M29+M36)*(Hypothèses!$C$71+(Hypothèses!$D$71-Hypothèses!$C$71)*MONTH(M$2)/12)</f>
        <v>19.903359989774732</v>
      </c>
      <c r="N43" s="246">
        <f ca="1">(N22+N29+N36)*(Hypothèses!$C$71+(Hypothèses!$D$71-Hypothèses!$C$71)*MONTH(N$2)/12)</f>
        <v>21.989715749185262</v>
      </c>
      <c r="O43" s="246">
        <f ca="1">(O22+O29+O36)*(Hypothèses!$C$71+(Hypothèses!$D$71-Hypothèses!$C$71)*MONTH(O$2)/12)</f>
        <v>24.134908370007771</v>
      </c>
      <c r="P43" s="246">
        <f ca="1">(P22+P29+P36)*(Hypothèses!$C$71+(Hypothèses!$D$71-Hypothèses!$C$71)*MONTH(P$2)/12)</f>
        <v>26.337580085780907</v>
      </c>
      <c r="Q43" s="246">
        <f ca="1">(Q22+Q29+Q36)*(Hypothèses!$C$71+(Hypothèses!$D$71-Hypothèses!$C$71)*MONTH(Q$2)/12)</f>
        <v>28.783601829420022</v>
      </c>
      <c r="R43" s="246">
        <f ca="1">(R22+R29+R36)*(Hypothèses!$C$71+(Hypothèses!$D$71-Hypothèses!$C$71)*MONTH(R$2)/12)</f>
        <v>31.303956708589332</v>
      </c>
      <c r="S43" s="246">
        <f ca="1">(S22+S29+S36)*(Hypothèses!$C$71+(Hypothèses!$D$71-Hypothèses!$C$71)*MONTH(S$2)/12)</f>
        <v>33.896794140099637</v>
      </c>
      <c r="T43" s="246">
        <f ca="1">(T22+T29+T36)*(Hypothèses!$C$71+(Hypothèses!$D$71-Hypothèses!$C$71)*MONTH(T$2)/12)</f>
        <v>36.560313866474431</v>
      </c>
      <c r="U43" s="246">
        <f ca="1">(U22+U29+U36)*(Hypothèses!$C$71+(Hypothèses!$D$71-Hypothèses!$C$71)*MONTH(U$2)/12)</f>
        <v>39.292764404009702</v>
      </c>
      <c r="V43" s="248">
        <f ca="1">(V22+V29+V36)*(Hypothèses!$D$71+(Hypothèses!$E$71-Hypothèses!$D$71)*MONTH(V$2)/12)</f>
        <v>42.854089861643267</v>
      </c>
      <c r="W43" s="246">
        <f ca="1">(W22+W29+W36)*(Hypothèses!$D$71+(Hypothèses!$E$71-Hypothèses!$D$71)*MONTH(W$2)/12)</f>
        <v>46.521626225795508</v>
      </c>
      <c r="X43" s="246">
        <f ca="1">(X22+X29+X36)*(Hypothèses!$D$71+(Hypothèses!$E$71-Hypothèses!$D$71)*MONTH(X$2)/12)</f>
        <v>50.293513153514468</v>
      </c>
      <c r="Y43" s="246">
        <f ca="1">(Y22+Y29+Y36)*(Hypothèses!$D$71+(Hypothèses!$E$71-Hypothèses!$D$71)*MONTH(Y$2)/12)</f>
        <v>54.167925418979856</v>
      </c>
      <c r="Z43" s="246">
        <f ca="1">(Z22+Z29+Z36)*(Hypothèses!$D$71+(Hypothèses!$E$71-Hypothèses!$D$71)*MONTH(Z$2)/12)</f>
        <v>58.143072176563791</v>
      </c>
      <c r="AA43" s="246">
        <f ca="1">(AA22+AA29+AA36)*(Hypothèses!$D$71+(Hypothèses!$E$71-Hypothèses!$D$71)*MONTH(AA$2)/12)</f>
        <v>62.217196241565922</v>
      </c>
      <c r="AB43" s="246">
        <f ca="1">(AB22+AB29+AB36)*(Hypothèses!$D$71+(Hypothèses!$E$71-Hypothèses!$D$71)*MONTH(AB$2)/12)</f>
        <v>66.388573388129316</v>
      </c>
      <c r="AC43" s="246">
        <f ca="1">(AC22+AC29+AC36)*(Hypothèses!$D$71+(Hypothèses!$E$71-Hypothèses!$D$71)*MONTH(AC$2)/12)</f>
        <v>70.834907479701016</v>
      </c>
      <c r="AD43" s="246">
        <f ca="1">(AD22+AD29+AD36)*(Hypothèses!$D$71+(Hypothèses!$E$71-Hypothèses!$D$71)*MONTH(AD$2)/12)</f>
        <v>75.387728138823334</v>
      </c>
      <c r="AE43" s="246">
        <f ca="1">(AE22+AE29+AE36)*(Hypothèses!$D$71+(Hypothèses!$E$71-Hypothèses!$D$71)*MONTH(AE$2)/12)</f>
        <v>80.04509836307696</v>
      </c>
      <c r="AF43" s="246">
        <f ca="1">(AF22+AF29+AF36)*(Hypothèses!$D$71+(Hypothèses!$E$71-Hypothèses!$D$71)*MONTH(AF$2)/12)</f>
        <v>84.805120573683666</v>
      </c>
      <c r="AG43" s="249">
        <f ca="1">(AG22+AG29+AG36)*(Hypothèses!$D$71+(Hypothèses!$E$71-Hypothèses!$D$71)*MONTH(AG$2)/12)</f>
        <v>89.665935679254233</v>
      </c>
      <c r="AH43" s="246">
        <f ca="1">(AH22+AH29+AH36)*(Hypothèses!$E$71+(Hypothèses!$F$71-Hypothèses!$E$71)*MONTH(AH$2)/12)</f>
        <v>93.949294331329227</v>
      </c>
      <c r="AI43" s="246">
        <f ca="1">(AI22+AI29+AI36)*(Hypothèses!$E$71+(Hypothèses!$F$71-Hypothèses!$E$71)*MONTH(AI$2)/12)</f>
        <v>98.313842099266978</v>
      </c>
      <c r="AJ43" s="246">
        <f ca="1">(AJ22+AJ29+AJ36)*(Hypothèses!$E$71+(Hypothèses!$F$71-Hypothèses!$E$71)*MONTH(AJ$2)/12)</f>
        <v>102.7584837166805</v>
      </c>
      <c r="AK43" s="246">
        <f ca="1">(AK22+AK29+AK36)*(Hypothèses!$E$71+(Hypothèses!$F$71-Hypothèses!$E$71)*MONTH(AK$2)/12)</f>
        <v>107.28213790022053</v>
      </c>
      <c r="AL43" s="246">
        <f ca="1">(AL22+AL29+AL36)*(Hypothèses!$E$71+(Hypothèses!$F$71-Hypothèses!$E$71)*MONTH(AL$2)/12)</f>
        <v>111.88373722217078</v>
      </c>
      <c r="AM43" s="246">
        <f ca="1">(AM22+AM29+AM36)*(Hypothèses!$E$71+(Hypothèses!$F$71-Hypothèses!$E$71)*MONTH(AM$2)/12)</f>
        <v>116.5622279817632</v>
      </c>
      <c r="AN43" s="246">
        <f ca="1">(AN22+AN29+AN36)*(Hypothèses!$E$71+(Hypothèses!$F$71-Hypothèses!$E$71)*MONTH(AN$2)/12)</f>
        <v>121.31657007535034</v>
      </c>
      <c r="AO43" s="246">
        <f ca="1">(AO22+AO29+AO36)*(Hypothèses!$E$71+(Hypothèses!$F$71-Hypothèses!$E$71)*MONTH(AO$2)/12)</f>
        <v>126.14573686556727</v>
      </c>
      <c r="AP43" s="246">
        <f ca="1">(AP22+AP29+AP36)*(Hypothèses!$E$71+(Hypothèses!$F$71-Hypothèses!$E$71)*MONTH(AP$2)/12)</f>
        <v>131.04871504960727</v>
      </c>
      <c r="AQ43" s="246">
        <f ca="1">(AQ22+AQ29+AQ36)*(Hypothèses!$E$71+(Hypothèses!$F$71-Hypothèses!$E$71)*MONTH(AQ$2)/12)</f>
        <v>136.02450452673222</v>
      </c>
      <c r="AR43" s="246">
        <f ca="1">(AR22+AR29+AR36)*(Hypothèses!$E$71+(Hypothèses!$F$71-Hypothèses!$E$71)*MONTH(AR$2)/12)</f>
        <v>141.07211826513046</v>
      </c>
      <c r="AS43" s="246">
        <f ca="1">(AS22+AS29+AS36)*(Hypothèses!$E$71+(Hypothèses!$F$71-Hypothèses!$E$71)*MONTH(AS$2)/12)</f>
        <v>146.19058216823146</v>
      </c>
      <c r="AT43" s="248">
        <f ca="1">(AT22+AT29+AT36)*(Hypothèses!$F$71+(Hypothèses!$G$71-Hypothèses!$F$71)*MONTH(AT$2)/12)</f>
        <v>149.4110943010655</v>
      </c>
      <c r="AU43" s="246">
        <f ca="1">(AU22+AU29+AU36)*(Hypothèses!$F$71+(Hypothèses!$G$71-Hypothèses!$F$71)*MONTH(AU$2)/12)</f>
        <v>152.64850993945151</v>
      </c>
      <c r="AV43" s="246">
        <f ca="1">(AV22+AV29+AV36)*(Hypothèses!$F$71+(Hypothèses!$G$71-Hypothèses!$F$71)*MONTH(AV$2)/12)</f>
        <v>155.90254922011118</v>
      </c>
      <c r="AW43" s="246">
        <f ca="1">(AW22+AW29+AW36)*(Hypothèses!$F$71+(Hypothèses!$G$71-Hypothèses!$F$71)*MONTH(AW$2)/12)</f>
        <v>159.17293608047194</v>
      </c>
      <c r="AX43" s="246">
        <f ca="1">(AX22+AX29+AX36)*(Hypothèses!$F$71+(Hypothèses!$G$71-Hypothèses!$F$71)*MONTH(AX$2)/12)</f>
        <v>162.45939823250959</v>
      </c>
      <c r="AY43" s="246">
        <f ca="1">(AY22+AY29+AY36)*(Hypothèses!$F$71+(Hypothèses!$G$71-Hypothèses!$F$71)*MONTH(AY$2)/12)</f>
        <v>165.76166713546792</v>
      </c>
      <c r="AZ43" s="246">
        <f ca="1">(AZ22+AZ29+AZ36)*(Hypothèses!$F$71+(Hypothèses!$G$71-Hypothèses!$F$71)*MONTH(AZ$2)/12)</f>
        <v>169.07947796753609</v>
      </c>
      <c r="BA43" s="246">
        <f ca="1">(BA22+BA29+BA36)*(Hypothèses!$F$71+(Hypothèses!$G$71-Hypothèses!$F$71)*MONTH(BA$2)/12)</f>
        <v>173.1535523141639</v>
      </c>
      <c r="BB43" s="246">
        <f ca="1">(BB22+BB29+BB36)*(Hypothèses!$F$71+(Hypothèses!$G$71-Hypothèses!$F$71)*MONTH(BB$2)/12)</f>
        <v>177.24419532402388</v>
      </c>
      <c r="BC43" s="246">
        <f ca="1">(BC22+BC29+BC36)*(Hypothèses!$F$71+(Hypothèses!$G$71-Hypothèses!$F$71)*MONTH(BC$2)/12)</f>
        <v>181.3511214076444</v>
      </c>
      <c r="BD43" s="246">
        <f ca="1">(BD22+BD29+BD36)*(Hypothèses!$F$71+(Hypothèses!$G$71-Hypothèses!$F$71)*MONTH(BD$2)/12)</f>
        <v>185.47404919541512</v>
      </c>
      <c r="BE43" s="249">
        <f ca="1">(BE22+BE29+BE36)*(Hypothèses!$F$71+(Hypothèses!$G$71-Hypothèses!$F$71)*MONTH(BE$2)/12)</f>
        <v>189.61270148671434</v>
      </c>
      <c r="BF43" s="246">
        <f ca="1">(BF22+BF29+BF36)*(Hypothèses!$G$71+(Hypothèses!$H$71-Hypothèses!$G$71)*MONTH(BF$2)/12)</f>
        <v>192.70452209775522</v>
      </c>
      <c r="BG43" s="246">
        <f ca="1">(BG22+BG29+BG36)*(Hypothèses!$G$71+(Hypothèses!$H$71-Hypothèses!$G$71)*MONTH(BG$2)/12)</f>
        <v>195.77379900406027</v>
      </c>
      <c r="BH43" s="246">
        <f ca="1">(BH22+BH29+BH36)*(Hypothèses!$G$71+(Hypothèses!$H$71-Hypothèses!$G$71)*MONTH(BH$2)/12)</f>
        <v>200.18571735335362</v>
      </c>
      <c r="BI43" s="246">
        <f ca="1">(BI22+BI29+BI36)*(Hypothèses!$G$71+(Hypothèses!$H$71-Hypothèses!$G$71)*MONTH(BI$2)/12)</f>
        <v>204.56208371393646</v>
      </c>
      <c r="BJ43" s="246">
        <f ca="1">(BJ22+BJ29+BJ36)*(Hypothèses!$G$71+(Hypothèses!$H$71-Hypothèses!$G$71)*MONTH(BJ$2)/12)</f>
        <v>211.63326204055571</v>
      </c>
      <c r="BK43" s="246">
        <f ca="1">(BK22+BK29+BK36)*(Hypothèses!$G$71+(Hypothèses!$H$71-Hypothèses!$G$71)*MONTH(BK$2)/12)</f>
        <v>221.37285743780222</v>
      </c>
      <c r="BL43" s="246">
        <f ca="1">(BL22+BL29+BL36)*(Hypothèses!$G$71+(Hypothèses!$H$71-Hypothèses!$G$71)*MONTH(BL$2)/12)</f>
        <v>231.02483415223423</v>
      </c>
      <c r="BM43" s="246">
        <f ca="1">(BM22+BM29+BM36)*(Hypothèses!$G$71+(Hypothèses!$H$71-Hypothèses!$G$71)*MONTH(BM$2)/12)</f>
        <v>241.03881627841622</v>
      </c>
      <c r="BN43" s="246">
        <f ca="1">(BN22+BN29+BN36)*(Hypothèses!$G$71+(Hypothèses!$H$71-Hypothèses!$G$71)*MONTH(BN$2)/12)</f>
        <v>250.96290802995836</v>
      </c>
      <c r="BO43" s="246">
        <f ca="1">(BO22+BO29+BO36)*(Hypothèses!$G$71+(Hypothèses!$H$71-Hypothèses!$G$71)*MONTH(BO$2)/12)</f>
        <v>260.79820517100126</v>
      </c>
      <c r="BP43" s="246">
        <f ca="1">(BP22+BP29+BP36)*(Hypothèses!$G$71+(Hypothèses!$H$71-Hypothèses!$G$71)*MONTH(BP$2)/12)</f>
        <v>270.54578546196359</v>
      </c>
      <c r="BQ43" s="246">
        <f ca="1">(BQ22+BQ29+BQ36)*(Hypothèses!$G$71+(Hypothèses!$H$71-Hypothèses!$G$71)*MONTH(BQ$2)/12)</f>
        <v>280.20670902813686</v>
      </c>
      <c r="BR43" s="250">
        <f ca="1">(BR22+BR29+BR36)*(Hypothèses!$H$71)</f>
        <v>289.75108488353652</v>
      </c>
      <c r="BS43" s="246">
        <f ca="1">(BS22+BS29+BS36)*(Hypothèses!$H$71)</f>
        <v>299.20847434433847</v>
      </c>
      <c r="BT43" s="246">
        <f ca="1">(BT22+BT29+BT36)*(Hypothèses!$H$71)</f>
        <v>308.57989902345491</v>
      </c>
      <c r="BU43" s="246">
        <f ca="1">(BU22+BU29+BU36)*(Hypothèses!$H$71)</f>
        <v>317.86636584441345</v>
      </c>
      <c r="BV43" s="246">
        <f ca="1">(BV22+BV29+BV36)*(Hypothèses!$H$71)</f>
        <v>327.06886728568543</v>
      </c>
      <c r="BW43" s="246">
        <f ca="1">(BW22+BW29+BW36)*(Hypothèses!$H$71)</f>
        <v>336.18838162051156</v>
      </c>
      <c r="BX43" s="246">
        <f ca="1">(BX22+BX29+BX36)*(Hypothèses!$H$71)</f>
        <v>345.22587315231482</v>
      </c>
      <c r="BY43" s="246">
        <f ca="1">(BY22+BY29+BY36)*(Hypothèses!$H$71)</f>
        <v>366.350008650657</v>
      </c>
      <c r="BZ43" s="246">
        <f ca="1">(BZ22+BZ29+BZ36)*(Hypothèses!$H$71)</f>
        <v>388.6391569588564</v>
      </c>
      <c r="CA43" s="246">
        <f ca="1">(CA22+CA29+CA36)*(Hypothèses!$H$71)</f>
        <v>410.71731086280425</v>
      </c>
      <c r="CB43" s="246">
        <f ca="1">(CB22+CB29+CB36)*(Hypothèses!$H$71)</f>
        <v>432.58704209982386</v>
      </c>
      <c r="CC43" s="251">
        <f ca="1">(CC22+CC29+CC36)*(Hypothèses!$H$71)</f>
        <v>454.25088425937844</v>
      </c>
      <c r="CD43" s="246"/>
    </row>
    <row r="44" spans="1:82" ht="14">
      <c r="A44" s="233" t="s">
        <v>143</v>
      </c>
      <c r="B44" s="245"/>
      <c r="C44" s="248">
        <f>(C23+C30+C37)*(Hypothèses!$B$71+(Hypothèses!$C$71-Hypothèses!$B$71)*MONTH(C$2)/12)</f>
        <v>0</v>
      </c>
      <c r="D44" s="246">
        <f>(D23+D30+D37)*(Hypothèses!$B$71+(Hypothèses!$C$71-Hypothèses!$B$71)*MONTH(D$2)/12)</f>
        <v>0</v>
      </c>
      <c r="E44" s="246">
        <f>(E23+E30+E37)*(Hypothèses!$B$71+(Hypothèses!$C$71-Hypothèses!$B$71)*MONTH(E$2)/12)</f>
        <v>0</v>
      </c>
      <c r="F44" s="246">
        <f>(F23+F30+F37)*(Hypothèses!$B$71+(Hypothèses!$C$71-Hypothèses!$B$71)*MONTH(F$2)/12)</f>
        <v>0</v>
      </c>
      <c r="G44" s="246">
        <f>(G23+G30+G37)*(Hypothèses!$B$71+(Hypothèses!$C$71-Hypothèses!$B$71)*MONTH(G$2)/12)</f>
        <v>0</v>
      </c>
      <c r="H44" s="246">
        <f>(H23+H30+H37)*(Hypothèses!$B$71+(Hypothèses!$C$71-Hypothèses!$B$71)*MONTH(H$2)/12)</f>
        <v>0</v>
      </c>
      <c r="I44" s="249">
        <f>(I23+I30+I37)*(Hypothèses!$B$71+(Hypothèses!$C$71-Hypothèses!$B$71)*MONTH(I$2)/12)</f>
        <v>0</v>
      </c>
      <c r="J44" s="246">
        <f>(J23+J30+J37)*(Hypothèses!$C$71+(Hypothèses!$D$71-Hypothèses!$C$71)*MONTH(J$2)/12)</f>
        <v>0</v>
      </c>
      <c r="K44" s="246">
        <f ca="1">(K23+K30+K37)*(Hypothèses!$C$71+(Hypothèses!$D$71-Hypothèses!$C$71)*MONTH(K$2)/12)</f>
        <v>0</v>
      </c>
      <c r="L44" s="246">
        <f ca="1">(L23+L30+L37)*(Hypothèses!$C$71+(Hypothèses!$D$71-Hypothèses!$C$71)*MONTH(L$2)/12)</f>
        <v>0</v>
      </c>
      <c r="M44" s="246">
        <f ca="1">(M23+M30+M37)*(Hypothèses!$C$71+(Hypothèses!$D$71-Hypothèses!$C$71)*MONTH(M$2)/12)</f>
        <v>0</v>
      </c>
      <c r="N44" s="246">
        <f ca="1">(N23+N30+N37)*(Hypothèses!$C$71+(Hypothèses!$D$71-Hypothèses!$C$71)*MONTH(N$2)/12)</f>
        <v>0</v>
      </c>
      <c r="O44" s="246">
        <f ca="1">(O23+O30+O37)*(Hypothèses!$C$71+(Hypothèses!$D$71-Hypothèses!$C$71)*MONTH(O$2)/12)</f>
        <v>0</v>
      </c>
      <c r="P44" s="246">
        <f ca="1">(P23+P30+P37)*(Hypothèses!$C$71+(Hypothèses!$D$71-Hypothèses!$C$71)*MONTH(P$2)/12)</f>
        <v>0</v>
      </c>
      <c r="Q44" s="246">
        <f ca="1">(Q23+Q30+Q37)*(Hypothèses!$C$71+(Hypothèses!$D$71-Hypothèses!$C$71)*MONTH(Q$2)/12)</f>
        <v>0</v>
      </c>
      <c r="R44" s="246">
        <f ca="1">(R23+R30+R37)*(Hypothèses!$C$71+(Hypothèses!$D$71-Hypothèses!$C$71)*MONTH(R$2)/12)</f>
        <v>0</v>
      </c>
      <c r="S44" s="246">
        <f ca="1">(S23+S30+S37)*(Hypothèses!$C$71+(Hypothèses!$D$71-Hypothèses!$C$71)*MONTH(S$2)/12)</f>
        <v>0</v>
      </c>
      <c r="T44" s="246">
        <f ca="1">(T23+T30+T37)*(Hypothèses!$C$71+(Hypothèses!$D$71-Hypothèses!$C$71)*MONTH(T$2)/12)</f>
        <v>0</v>
      </c>
      <c r="U44" s="246">
        <f ca="1">(U23+U30+U37)*(Hypothèses!$C$71+(Hypothèses!$D$71-Hypothèses!$C$71)*MONTH(U$2)/12)</f>
        <v>0</v>
      </c>
      <c r="V44" s="248">
        <f ca="1">(V23+V30+V37)*(Hypothèses!$D$71+(Hypothèses!$E$71-Hypothèses!$D$71)*MONTH(V$2)/12)</f>
        <v>0</v>
      </c>
      <c r="W44" s="246">
        <f ca="1">(W23+W30+W37)*(Hypothèses!$D$71+(Hypothèses!$E$71-Hypothèses!$D$71)*MONTH(W$2)/12)</f>
        <v>0</v>
      </c>
      <c r="X44" s="246">
        <f ca="1">(X23+X30+X37)*(Hypothèses!$D$71+(Hypothèses!$E$71-Hypothèses!$D$71)*MONTH(X$2)/12)</f>
        <v>0</v>
      </c>
      <c r="Y44" s="246">
        <f ca="1">(Y23+Y30+Y37)*(Hypothèses!$D$71+(Hypothèses!$E$71-Hypothèses!$D$71)*MONTH(Y$2)/12)</f>
        <v>0</v>
      </c>
      <c r="Z44" s="246">
        <f ca="1">(Z23+Z30+Z37)*(Hypothèses!$D$71+(Hypothèses!$E$71-Hypothèses!$D$71)*MONTH(Z$2)/12)</f>
        <v>0</v>
      </c>
      <c r="AA44" s="246">
        <f ca="1">(AA23+AA30+AA37)*(Hypothèses!$D$71+(Hypothèses!$E$71-Hypothèses!$D$71)*MONTH(AA$2)/12)</f>
        <v>0</v>
      </c>
      <c r="AB44" s="246">
        <f ca="1">(AB23+AB30+AB37)*(Hypothèses!$D$71+(Hypothèses!$E$71-Hypothèses!$D$71)*MONTH(AB$2)/12)</f>
        <v>0</v>
      </c>
      <c r="AC44" s="246">
        <f ca="1">(AC23+AC30+AC37)*(Hypothèses!$D$71+(Hypothèses!$E$71-Hypothèses!$D$71)*MONTH(AC$2)/12)</f>
        <v>0</v>
      </c>
      <c r="AD44" s="246">
        <f ca="1">(AD23+AD30+AD37)*(Hypothèses!$D$71+(Hypothèses!$E$71-Hypothèses!$D$71)*MONTH(AD$2)/12)</f>
        <v>0</v>
      </c>
      <c r="AE44" s="246">
        <f ca="1">(AE23+AE30+AE37)*(Hypothèses!$D$71+(Hypothèses!$E$71-Hypothèses!$D$71)*MONTH(AE$2)/12)</f>
        <v>0</v>
      </c>
      <c r="AF44" s="246">
        <f ca="1">(AF23+AF30+AF37)*(Hypothèses!$D$71+(Hypothèses!$E$71-Hypothèses!$D$71)*MONTH(AF$2)/12)</f>
        <v>0</v>
      </c>
      <c r="AG44" s="249">
        <f ca="1">(AG23+AG30+AG37)*(Hypothèses!$D$71+(Hypothèses!$E$71-Hypothèses!$D$71)*MONTH(AG$2)/12)</f>
        <v>0</v>
      </c>
      <c r="AH44" s="246">
        <f ca="1">(AH23+AH30+AH37)*(Hypothèses!$E$71+(Hypothèses!$F$71-Hypothèses!$E$71)*MONTH(AH$2)/12)</f>
        <v>0</v>
      </c>
      <c r="AI44" s="246">
        <f ca="1">(AI23+AI30+AI37)*(Hypothèses!$E$71+(Hypothèses!$F$71-Hypothèses!$E$71)*MONTH(AI$2)/12)</f>
        <v>0</v>
      </c>
      <c r="AJ44" s="246">
        <f ca="1">(AJ23+AJ30+AJ37)*(Hypothèses!$E$71+(Hypothèses!$F$71-Hypothèses!$E$71)*MONTH(AJ$2)/12)</f>
        <v>0</v>
      </c>
      <c r="AK44" s="246">
        <f ca="1">(AK23+AK30+AK37)*(Hypothèses!$E$71+(Hypothèses!$F$71-Hypothèses!$E$71)*MONTH(AK$2)/12)</f>
        <v>0</v>
      </c>
      <c r="AL44" s="246">
        <f ca="1">(AL23+AL30+AL37)*(Hypothèses!$E$71+(Hypothèses!$F$71-Hypothèses!$E$71)*MONTH(AL$2)/12)</f>
        <v>0</v>
      </c>
      <c r="AM44" s="246">
        <f ca="1">(AM23+AM30+AM37)*(Hypothèses!$E$71+(Hypothèses!$F$71-Hypothèses!$E$71)*MONTH(AM$2)/12)</f>
        <v>0</v>
      </c>
      <c r="AN44" s="246">
        <f ca="1">(AN23+AN30+AN37)*(Hypothèses!$E$71+(Hypothèses!$F$71-Hypothèses!$E$71)*MONTH(AN$2)/12)</f>
        <v>0</v>
      </c>
      <c r="AO44" s="246">
        <f ca="1">(AO23+AO30+AO37)*(Hypothèses!$E$71+(Hypothèses!$F$71-Hypothèses!$E$71)*MONTH(AO$2)/12)</f>
        <v>0</v>
      </c>
      <c r="AP44" s="246">
        <f ca="1">(AP23+AP30+AP37)*(Hypothèses!$E$71+(Hypothèses!$F$71-Hypothèses!$E$71)*MONTH(AP$2)/12)</f>
        <v>0</v>
      </c>
      <c r="AQ44" s="246">
        <f ca="1">(AQ23+AQ30+AQ37)*(Hypothèses!$E$71+(Hypothèses!$F$71-Hypothèses!$E$71)*MONTH(AQ$2)/12)</f>
        <v>0</v>
      </c>
      <c r="AR44" s="246">
        <f ca="1">(AR23+AR30+AR37)*(Hypothèses!$E$71+(Hypothèses!$F$71-Hypothèses!$E$71)*MONTH(AR$2)/12)</f>
        <v>0</v>
      </c>
      <c r="AS44" s="246">
        <f ca="1">(AS23+AS30+AS37)*(Hypothèses!$E$71+(Hypothèses!$F$71-Hypothèses!$E$71)*MONTH(AS$2)/12)</f>
        <v>0</v>
      </c>
      <c r="AT44" s="248">
        <f ca="1">(AT23+AT30+AT37)*(Hypothèses!$F$71+(Hypothèses!$G$71-Hypothèses!$F$71)*MONTH(AT$2)/12)</f>
        <v>0</v>
      </c>
      <c r="AU44" s="246">
        <f ca="1">(AU23+AU30+AU37)*(Hypothèses!$F$71+(Hypothèses!$G$71-Hypothèses!$F$71)*MONTH(AU$2)/12)</f>
        <v>0</v>
      </c>
      <c r="AV44" s="246">
        <f ca="1">(AV23+AV30+AV37)*(Hypothèses!$F$71+(Hypothèses!$G$71-Hypothèses!$F$71)*MONTH(AV$2)/12)</f>
        <v>0</v>
      </c>
      <c r="AW44" s="246">
        <f ca="1">(AW23+AW30+AW37)*(Hypothèses!$F$71+(Hypothèses!$G$71-Hypothèses!$F$71)*MONTH(AW$2)/12)</f>
        <v>0</v>
      </c>
      <c r="AX44" s="246">
        <f ca="1">(AX23+AX30+AX37)*(Hypothèses!$F$71+(Hypothèses!$G$71-Hypothèses!$F$71)*MONTH(AX$2)/12)</f>
        <v>0</v>
      </c>
      <c r="AY44" s="246">
        <f ca="1">(AY23+AY30+AY37)*(Hypothèses!$F$71+(Hypothèses!$G$71-Hypothèses!$F$71)*MONTH(AY$2)/12)</f>
        <v>0</v>
      </c>
      <c r="AZ44" s="246">
        <f ca="1">(AZ23+AZ30+AZ37)*(Hypothèses!$F$71+(Hypothèses!$G$71-Hypothèses!$F$71)*MONTH(AZ$2)/12)</f>
        <v>0</v>
      </c>
      <c r="BA44" s="246">
        <f ca="1">(BA23+BA30+BA37)*(Hypothèses!$F$71+(Hypothèses!$G$71-Hypothèses!$F$71)*MONTH(BA$2)/12)</f>
        <v>0</v>
      </c>
      <c r="BB44" s="246">
        <f ca="1">(BB23+BB30+BB37)*(Hypothèses!$F$71+(Hypothèses!$G$71-Hypothèses!$F$71)*MONTH(BB$2)/12)</f>
        <v>0</v>
      </c>
      <c r="BC44" s="246">
        <f ca="1">(BC23+BC30+BC37)*(Hypothèses!$F$71+(Hypothèses!$G$71-Hypothèses!$F$71)*MONTH(BC$2)/12)</f>
        <v>0</v>
      </c>
      <c r="BD44" s="246">
        <f ca="1">(BD23+BD30+BD37)*(Hypothèses!$F$71+(Hypothèses!$G$71-Hypothèses!$F$71)*MONTH(BD$2)/12)</f>
        <v>0</v>
      </c>
      <c r="BE44" s="249">
        <f ca="1">(BE23+BE30+BE37)*(Hypothèses!$F$71+(Hypothèses!$G$71-Hypothèses!$F$71)*MONTH(BE$2)/12)</f>
        <v>0</v>
      </c>
      <c r="BF44" s="246">
        <f ca="1">(BF23+BF30+BF37)*(Hypothèses!$G$71+(Hypothèses!$H$71-Hypothèses!$G$71)*MONTH(BF$2)/12)</f>
        <v>0</v>
      </c>
      <c r="BG44" s="246">
        <f ca="1">(BG23+BG30+BG37)*(Hypothèses!$G$71+(Hypothèses!$H$71-Hypothèses!$G$71)*MONTH(BG$2)/12)</f>
        <v>0</v>
      </c>
      <c r="BH44" s="246">
        <f ca="1">(BH23+BH30+BH37)*(Hypothèses!$G$71+(Hypothèses!$H$71-Hypothèses!$G$71)*MONTH(BH$2)/12)</f>
        <v>1.3649999999999998</v>
      </c>
      <c r="BI44" s="246">
        <f ca="1">(BI23+BI30+BI37)*(Hypothèses!$G$71+(Hypothèses!$H$71-Hypothèses!$G$71)*MONTH(BI$2)/12)</f>
        <v>2.7162134999999998</v>
      </c>
      <c r="BJ44" s="246">
        <f ca="1">(BJ23+BJ30+BJ37)*(Hypothèses!$G$71+(Hypothèses!$H$71-Hypothèses!$G$71)*MONTH(BJ$2)/12)</f>
        <v>4.0538290065</v>
      </c>
      <c r="BK44" s="246">
        <f ca="1">(BK23+BK30+BK37)*(Hypothèses!$G$71+(Hypothèses!$H$71-Hypothèses!$G$71)*MONTH(BK$2)/12)</f>
        <v>5.3780316502184995</v>
      </c>
      <c r="BL44" s="246">
        <f ca="1">(BL23+BL30+BL37)*(Hypothèses!$G$71+(Hypothèses!$H$71-Hypothèses!$G$71)*MONTH(BL$2)/12)</f>
        <v>6.6890032588034565</v>
      </c>
      <c r="BM44" s="246">
        <f ca="1">(BM23+BM30+BM37)*(Hypothèses!$G$71+(Hypothèses!$H$71-Hypothèses!$G$71)*MONTH(BM$2)/12)</f>
        <v>20.045998309421897</v>
      </c>
      <c r="BN44" s="246">
        <f ca="1">(BN23+BN30+BN37)*(Hypothèses!$G$71+(Hypothèses!$H$71-Hypothèses!$G$71)*MONTH(BN$2)/12)</f>
        <v>33.268319686806855</v>
      </c>
      <c r="BO44" s="246">
        <f ca="1">(BO23+BO30+BO37)*(Hypothèses!$G$71+(Hypothèses!$H$71-Hypothèses!$G$71)*MONTH(BO$2)/12)</f>
        <v>46.35780508692114</v>
      </c>
      <c r="BP44" s="246">
        <f ca="1">(BP23+BP30+BP37)*(Hypothèses!$G$71+(Hypothèses!$H$71-Hypothèses!$G$71)*MONTH(BP$2)/12)</f>
        <v>59.316259353294285</v>
      </c>
      <c r="BQ44" s="246">
        <f ca="1">(BQ23+BQ30+BQ37)*(Hypothèses!$G$71+(Hypothèses!$H$71-Hypothèses!$G$71)*MONTH(BQ$2)/12)</f>
        <v>72.145455183853343</v>
      </c>
      <c r="BR44" s="250">
        <f ca="1">(BR23+BR30+BR37)*(Hypothèses!$H$71)</f>
        <v>84.838904952255717</v>
      </c>
      <c r="BS44" s="246">
        <f ca="1">(BS23+BS30+BS37)*(Hypothèses!$H$71)</f>
        <v>98.769700851026684</v>
      </c>
      <c r="BT44" s="246">
        <f ca="1">(BT23+BT30+BT37)*(Hypothèses!$H$71)</f>
        <v>112.56053064292338</v>
      </c>
      <c r="BU44" s="246">
        <f ca="1">(BU23+BU30+BU37)*(Hypothèses!$H$71)</f>
        <v>126.21315891338128</v>
      </c>
      <c r="BV44" s="246">
        <f ca="1">(BV23+BV30+BV37)*(Hypothèses!$H$71)</f>
        <v>139.72932378564349</v>
      </c>
      <c r="BW44" s="246">
        <f ca="1">(BW23+BW30+BW37)*(Hypothèses!$H$71)</f>
        <v>153.11073737171171</v>
      </c>
      <c r="BX44" s="246">
        <f ca="1">(BX23+BX30+BX37)*(Hypothèses!$H$71)</f>
        <v>169.08908621486501</v>
      </c>
      <c r="BY44" s="246">
        <f ca="1">(BY23+BY30+BY37)*(Hypothèses!$H$71)</f>
        <v>190.23156156354582</v>
      </c>
      <c r="BZ44" s="246">
        <f ca="1">(BZ23+BZ30+BZ37)*(Hypothèses!$H$71)</f>
        <v>211.16248183706</v>
      </c>
      <c r="CA44" s="246">
        <f ca="1">(CA23+CA30+CA37)*(Hypothèses!$H$71)</f>
        <v>231.88450420390066</v>
      </c>
      <c r="CB44" s="246">
        <f ca="1">(CB23+CB30+CB37)*(Hypothèses!$H$71)</f>
        <v>255.13024610982478</v>
      </c>
      <c r="CC44" s="251">
        <f ca="1">(CC23+CC30+CC37)*(Hypothèses!$H$71)</f>
        <v>278.14443995308176</v>
      </c>
      <c r="CD44" s="246"/>
    </row>
    <row r="45" spans="1:82" ht="14">
      <c r="A45" s="233" t="s">
        <v>144</v>
      </c>
      <c r="B45" s="245"/>
      <c r="C45" s="248">
        <f>(C24+C31+C38)*(Hypothèses!$B$71+(Hypothèses!$C$71-Hypothèses!$B$71)*MONTH(C$2)/12)</f>
        <v>0</v>
      </c>
      <c r="D45" s="246">
        <f>(D24+D31+D38)*(Hypothèses!$B$71+(Hypothèses!$C$71-Hypothèses!$B$71)*MONTH(D$2)/12)</f>
        <v>0</v>
      </c>
      <c r="E45" s="246">
        <f>(E24+E31+E38)*(Hypothèses!$B$71+(Hypothèses!$C$71-Hypothèses!$B$71)*MONTH(E$2)/12)</f>
        <v>0</v>
      </c>
      <c r="F45" s="246">
        <f>(F24+F31+F38)*(Hypothèses!$B$71+(Hypothèses!$C$71-Hypothèses!$B$71)*MONTH(F$2)/12)</f>
        <v>0</v>
      </c>
      <c r="G45" s="246">
        <f>(G24+G31+G38)*(Hypothèses!$B$71+(Hypothèses!$C$71-Hypothèses!$B$71)*MONTH(G$2)/12)</f>
        <v>0</v>
      </c>
      <c r="H45" s="246">
        <f>(H24+H31+H38)*(Hypothèses!$B$71+(Hypothèses!$C$71-Hypothèses!$B$71)*MONTH(H$2)/12)</f>
        <v>0</v>
      </c>
      <c r="I45" s="249">
        <f>(I24+I31+I38)*(Hypothèses!$B$71+(Hypothèses!$C$71-Hypothèses!$B$71)*MONTH(I$2)/12)</f>
        <v>0</v>
      </c>
      <c r="J45" s="246">
        <f>(J24+J31+J38)*(Hypothèses!$C$71+(Hypothèses!$D$71-Hypothèses!$C$71)*MONTH(J$2)/12)</f>
        <v>0</v>
      </c>
      <c r="K45" s="246">
        <f ca="1">(K24+K31+K38)*(Hypothèses!$C$71+(Hypothèses!$D$71-Hypothèses!$C$71)*MONTH(K$2)/12)</f>
        <v>0</v>
      </c>
      <c r="L45" s="246">
        <f ca="1">(L24+L31+L38)*(Hypothèses!$C$71+(Hypothèses!$D$71-Hypothèses!$C$71)*MONTH(L$2)/12)</f>
        <v>0</v>
      </c>
      <c r="M45" s="246">
        <f ca="1">(M24+M31+M38)*(Hypothèses!$C$71+(Hypothèses!$D$71-Hypothèses!$C$71)*MONTH(M$2)/12)</f>
        <v>0</v>
      </c>
      <c r="N45" s="246">
        <f ca="1">(N24+N31+N38)*(Hypothèses!$C$71+(Hypothèses!$D$71-Hypothèses!$C$71)*MONTH(N$2)/12)</f>
        <v>0</v>
      </c>
      <c r="O45" s="246">
        <f ca="1">(O24+O31+O38)*(Hypothèses!$C$71+(Hypothèses!$D$71-Hypothèses!$C$71)*MONTH(O$2)/12)</f>
        <v>0</v>
      </c>
      <c r="P45" s="246">
        <f ca="1">(P24+P31+P38)*(Hypothèses!$C$71+(Hypothèses!$D$71-Hypothèses!$C$71)*MONTH(P$2)/12)</f>
        <v>0</v>
      </c>
      <c r="Q45" s="246">
        <f ca="1">(Q24+Q31+Q38)*(Hypothèses!$C$71+(Hypothèses!$D$71-Hypothèses!$C$71)*MONTH(Q$2)/12)</f>
        <v>0</v>
      </c>
      <c r="R45" s="246">
        <f ca="1">(R24+R31+R38)*(Hypothèses!$C$71+(Hypothèses!$D$71-Hypothèses!$C$71)*MONTH(R$2)/12)</f>
        <v>0</v>
      </c>
      <c r="S45" s="246">
        <f ca="1">(S24+S31+S38)*(Hypothèses!$C$71+(Hypothèses!$D$71-Hypothèses!$C$71)*MONTH(S$2)/12)</f>
        <v>0</v>
      </c>
      <c r="T45" s="246">
        <f ca="1">(T24+T31+T38)*(Hypothèses!$C$71+(Hypothèses!$D$71-Hypothèses!$C$71)*MONTH(T$2)/12)</f>
        <v>0</v>
      </c>
      <c r="U45" s="246">
        <f ca="1">(U24+U31+U38)*(Hypothèses!$C$71+(Hypothèses!$D$71-Hypothèses!$C$71)*MONTH(U$2)/12)</f>
        <v>0</v>
      </c>
      <c r="V45" s="248">
        <f ca="1">(V24+V31+V38)*(Hypothèses!$D$71+(Hypothèses!$E$71-Hypothèses!$D$71)*MONTH(V$2)/12)</f>
        <v>0</v>
      </c>
      <c r="W45" s="246">
        <f ca="1">(W24+W31+W38)*(Hypothèses!$D$71+(Hypothèses!$E$71-Hypothèses!$D$71)*MONTH(W$2)/12)</f>
        <v>0</v>
      </c>
      <c r="X45" s="246">
        <f ca="1">(X24+X31+X38)*(Hypothèses!$D$71+(Hypothèses!$E$71-Hypothèses!$D$71)*MONTH(X$2)/12)</f>
        <v>0</v>
      </c>
      <c r="Y45" s="246">
        <f ca="1">(Y24+Y31+Y38)*(Hypothèses!$D$71+(Hypothèses!$E$71-Hypothèses!$D$71)*MONTH(Y$2)/12)</f>
        <v>0</v>
      </c>
      <c r="Z45" s="246">
        <f ca="1">(Z24+Z31+Z38)*(Hypothèses!$D$71+(Hypothèses!$E$71-Hypothèses!$D$71)*MONTH(Z$2)/12)</f>
        <v>0</v>
      </c>
      <c r="AA45" s="246">
        <f ca="1">(AA24+AA31+AA38)*(Hypothèses!$D$71+(Hypothèses!$E$71-Hypothèses!$D$71)*MONTH(AA$2)/12)</f>
        <v>0</v>
      </c>
      <c r="AB45" s="246">
        <f ca="1">(AB24+AB31+AB38)*(Hypothèses!$D$71+(Hypothèses!$E$71-Hypothèses!$D$71)*MONTH(AB$2)/12)</f>
        <v>0</v>
      </c>
      <c r="AC45" s="246">
        <f ca="1">(AC24+AC31+AC38)*(Hypothèses!$D$71+(Hypothèses!$E$71-Hypothèses!$D$71)*MONTH(AC$2)/12)</f>
        <v>0</v>
      </c>
      <c r="AD45" s="246">
        <f ca="1">(AD24+AD31+AD38)*(Hypothèses!$D$71+(Hypothèses!$E$71-Hypothèses!$D$71)*MONTH(AD$2)/12)</f>
        <v>0</v>
      </c>
      <c r="AE45" s="246">
        <f ca="1">(AE24+AE31+AE38)*(Hypothèses!$D$71+(Hypothèses!$E$71-Hypothèses!$D$71)*MONTH(AE$2)/12)</f>
        <v>0</v>
      </c>
      <c r="AF45" s="246">
        <f ca="1">(AF24+AF31+AF38)*(Hypothèses!$D$71+(Hypothèses!$E$71-Hypothèses!$D$71)*MONTH(AF$2)/12)</f>
        <v>0</v>
      </c>
      <c r="AG45" s="249">
        <f ca="1">(AG24+AG31+AG38)*(Hypothèses!$D$71+(Hypothèses!$E$71-Hypothèses!$D$71)*MONTH(AG$2)/12)</f>
        <v>0</v>
      </c>
      <c r="AH45" s="246">
        <f ca="1">(AH24+AH31+AH38)*(Hypothèses!$E$71+(Hypothèses!$F$71-Hypothèses!$E$71)*MONTH(AH$2)/12)</f>
        <v>0</v>
      </c>
      <c r="AI45" s="246">
        <f ca="1">(AI24+AI31+AI38)*(Hypothèses!$E$71+(Hypothèses!$F$71-Hypothèses!$E$71)*MONTH(AI$2)/12)</f>
        <v>0</v>
      </c>
      <c r="AJ45" s="246">
        <f ca="1">(AJ24+AJ31+AJ38)*(Hypothèses!$E$71+(Hypothèses!$F$71-Hypothèses!$E$71)*MONTH(AJ$2)/12)</f>
        <v>0</v>
      </c>
      <c r="AK45" s="246">
        <f ca="1">(AK24+AK31+AK38)*(Hypothèses!$E$71+(Hypothèses!$F$71-Hypothèses!$E$71)*MONTH(AK$2)/12)</f>
        <v>0</v>
      </c>
      <c r="AL45" s="246">
        <f ca="1">(AL24+AL31+AL38)*(Hypothèses!$E$71+(Hypothèses!$F$71-Hypothèses!$E$71)*MONTH(AL$2)/12)</f>
        <v>0</v>
      </c>
      <c r="AM45" s="246">
        <f ca="1">(AM24+AM31+AM38)*(Hypothèses!$E$71+(Hypothèses!$F$71-Hypothèses!$E$71)*MONTH(AM$2)/12)</f>
        <v>0</v>
      </c>
      <c r="AN45" s="246">
        <f ca="1">(AN24+AN31+AN38)*(Hypothèses!$E$71+(Hypothèses!$F$71-Hypothèses!$E$71)*MONTH(AN$2)/12)</f>
        <v>0</v>
      </c>
      <c r="AO45" s="246">
        <f ca="1">(AO24+AO31+AO38)*(Hypothèses!$E$71+(Hypothèses!$F$71-Hypothèses!$E$71)*MONTH(AO$2)/12)</f>
        <v>0</v>
      </c>
      <c r="AP45" s="246">
        <f ca="1">(AP24+AP31+AP38)*(Hypothèses!$E$71+(Hypothèses!$F$71-Hypothèses!$E$71)*MONTH(AP$2)/12)</f>
        <v>0</v>
      </c>
      <c r="AQ45" s="246">
        <f ca="1">(AQ24+AQ31+AQ38)*(Hypothèses!$E$71+(Hypothèses!$F$71-Hypothèses!$E$71)*MONTH(AQ$2)/12)</f>
        <v>0</v>
      </c>
      <c r="AR45" s="246">
        <f ca="1">(AR24+AR31+AR38)*(Hypothèses!$E$71+(Hypothèses!$F$71-Hypothèses!$E$71)*MONTH(AR$2)/12)</f>
        <v>0</v>
      </c>
      <c r="AS45" s="246">
        <f ca="1">(AS24+AS31+AS38)*(Hypothèses!$E$71+(Hypothèses!$F$71-Hypothèses!$E$71)*MONTH(AS$2)/12)</f>
        <v>0</v>
      </c>
      <c r="AT45" s="248">
        <f ca="1">(AT24+AT31+AT38)*(Hypothèses!$F$71+(Hypothèses!$G$71-Hypothèses!$F$71)*MONTH(AT$2)/12)</f>
        <v>0</v>
      </c>
      <c r="AU45" s="246">
        <f ca="1">(AU24+AU31+AU38)*(Hypothèses!$F$71+(Hypothèses!$G$71-Hypothèses!$F$71)*MONTH(AU$2)/12)</f>
        <v>0</v>
      </c>
      <c r="AV45" s="246">
        <f ca="1">(AV24+AV31+AV38)*(Hypothèses!$F$71+(Hypothèses!$G$71-Hypothèses!$F$71)*MONTH(AV$2)/12)</f>
        <v>0</v>
      </c>
      <c r="AW45" s="246">
        <f ca="1">(AW24+AW31+AW38)*(Hypothèses!$F$71+(Hypothèses!$G$71-Hypothèses!$F$71)*MONTH(AW$2)/12)</f>
        <v>0</v>
      </c>
      <c r="AX45" s="246">
        <f ca="1">(AX24+AX31+AX38)*(Hypothèses!$F$71+(Hypothèses!$G$71-Hypothèses!$F$71)*MONTH(AX$2)/12)</f>
        <v>0</v>
      </c>
      <c r="AY45" s="246">
        <f ca="1">(AY24+AY31+AY38)*(Hypothèses!$F$71+(Hypothèses!$G$71-Hypothèses!$F$71)*MONTH(AY$2)/12)</f>
        <v>0</v>
      </c>
      <c r="AZ45" s="246">
        <f ca="1">(AZ24+AZ31+AZ38)*(Hypothèses!$F$71+(Hypothèses!$G$71-Hypothèses!$F$71)*MONTH(AZ$2)/12)</f>
        <v>0</v>
      </c>
      <c r="BA45" s="246">
        <f ca="1">(BA24+BA31+BA38)*(Hypothèses!$F$71+(Hypothèses!$G$71-Hypothèses!$F$71)*MONTH(BA$2)/12)</f>
        <v>0</v>
      </c>
      <c r="BB45" s="246">
        <f ca="1">(BB24+BB31+BB38)*(Hypothèses!$F$71+(Hypothèses!$G$71-Hypothèses!$F$71)*MONTH(BB$2)/12)</f>
        <v>0</v>
      </c>
      <c r="BC45" s="246">
        <f ca="1">(BC24+BC31+BC38)*(Hypothèses!$F$71+(Hypothèses!$G$71-Hypothèses!$F$71)*MONTH(BC$2)/12)</f>
        <v>0</v>
      </c>
      <c r="BD45" s="246">
        <f ca="1">(BD24+BD31+BD38)*(Hypothèses!$F$71+(Hypothèses!$G$71-Hypothèses!$F$71)*MONTH(BD$2)/12)</f>
        <v>0</v>
      </c>
      <c r="BE45" s="249">
        <f ca="1">(BE24+BE31+BE38)*(Hypothèses!$F$71+(Hypothèses!$G$71-Hypothèses!$F$71)*MONTH(BE$2)/12)</f>
        <v>0</v>
      </c>
      <c r="BF45" s="246">
        <f ca="1">(BF24+BF31+BF38)*(Hypothèses!$G$71+(Hypothèses!$H$71-Hypothèses!$G$71)*MONTH(BF$2)/12)</f>
        <v>0</v>
      </c>
      <c r="BG45" s="246">
        <f ca="1">(BG24+BG31+BG38)*(Hypothèses!$G$71+(Hypothèses!$H$71-Hypothèses!$G$71)*MONTH(BG$2)/12)</f>
        <v>0</v>
      </c>
      <c r="BH45" s="246">
        <f ca="1">(BH24+BH31+BH38)*(Hypothèses!$G$71+(Hypothèses!$H$71-Hypothèses!$G$71)*MONTH(BH$2)/12)</f>
        <v>0</v>
      </c>
      <c r="BI45" s="246">
        <f ca="1">(BI24+BI31+BI38)*(Hypothèses!$G$71+(Hypothèses!$H$71-Hypothèses!$G$71)*MONTH(BI$2)/12)</f>
        <v>0</v>
      </c>
      <c r="BJ45" s="246">
        <f ca="1">(BJ24+BJ31+BJ38)*(Hypothèses!$G$71+(Hypothèses!$H$71-Hypothèses!$G$71)*MONTH(BJ$2)/12)</f>
        <v>0</v>
      </c>
      <c r="BK45" s="246">
        <f ca="1">(BK24+BK31+BK38)*(Hypothèses!$G$71+(Hypothèses!$H$71-Hypothèses!$G$71)*MONTH(BK$2)/12)</f>
        <v>0</v>
      </c>
      <c r="BL45" s="246">
        <f ca="1">(BL24+BL31+BL38)*(Hypothèses!$G$71+(Hypothèses!$H$71-Hypothèses!$G$71)*MONTH(BL$2)/12)</f>
        <v>0</v>
      </c>
      <c r="BM45" s="246">
        <f ca="1">(BM24+BM31+BM38)*(Hypothèses!$G$71+(Hypothèses!$H$71-Hypothèses!$G$71)*MONTH(BM$2)/12)</f>
        <v>0</v>
      </c>
      <c r="BN45" s="246">
        <f ca="1">(BN24+BN31+BN38)*(Hypothèses!$G$71+(Hypothèses!$H$71-Hypothèses!$G$71)*MONTH(BN$2)/12)</f>
        <v>0</v>
      </c>
      <c r="BO45" s="246">
        <f ca="1">(BO24+BO31+BO38)*(Hypothèses!$G$71+(Hypothèses!$H$71-Hypothèses!$G$71)*MONTH(BO$2)/12)</f>
        <v>0</v>
      </c>
      <c r="BP45" s="246">
        <f ca="1">(BP24+BP31+BP38)*(Hypothèses!$G$71+(Hypothèses!$H$71-Hypothèses!$G$71)*MONTH(BP$2)/12)</f>
        <v>0</v>
      </c>
      <c r="BQ45" s="246">
        <f ca="1">(BQ24+BQ31+BQ38)*(Hypothèses!$G$71+(Hypothèses!$H$71-Hypothèses!$G$71)*MONTH(BQ$2)/12)</f>
        <v>0</v>
      </c>
      <c r="BR45" s="250">
        <f ca="1">(BR24+BR31+BR38)*(Hypothèses!$H$71)</f>
        <v>0</v>
      </c>
      <c r="BS45" s="246">
        <f ca="1">(BS24+BS31+BS38)*(Hypothèses!$H$71)</f>
        <v>0</v>
      </c>
      <c r="BT45" s="246">
        <f ca="1">(BT24+BT31+BT38)*(Hypothèses!$H$71)</f>
        <v>0</v>
      </c>
      <c r="BU45" s="246">
        <f ca="1">(BU24+BU31+BU38)*(Hypothèses!$H$71)</f>
        <v>1.3649999999999998</v>
      </c>
      <c r="BV45" s="246">
        <f ca="1">(BV24+BV31+BV38)*(Hypothèses!$H$71)</f>
        <v>2.7160769999999999</v>
      </c>
      <c r="BW45" s="246">
        <f ca="1">(BW24+BW31+BW38)*(Hypothèses!$H$71)</f>
        <v>4.0534089959999999</v>
      </c>
      <c r="BX45" s="246">
        <f ca="1">(BX24+BX31+BX38)*(Hypothèses!$H$71)</f>
        <v>6.7421712829380001</v>
      </c>
      <c r="BY45" s="246">
        <f ca="1">(BY24+BY31+BY38)*(Hypothèses!$H$71)</f>
        <v>29.441717568703133</v>
      </c>
      <c r="BZ45" s="246">
        <f ca="1">(BZ24+BZ31+BZ38)*(Hypothèses!$H$71)</f>
        <v>51.909903151610372</v>
      </c>
      <c r="CA45" s="246">
        <f ca="1">(CA24+CA31+CA38)*(Hypothèses!$H$71)</f>
        <v>74.149683762454714</v>
      </c>
      <c r="CB45" s="246">
        <f ca="1">(CB24+CB31+CB38)*(Hypothèses!$H$71)</f>
        <v>96.163970305674098</v>
      </c>
      <c r="CC45" s="251">
        <f ca="1">(CC24+CC31+CC38)*(Hypothèses!$H$71)</f>
        <v>117.95562963018627</v>
      </c>
      <c r="CD45" s="246"/>
    </row>
    <row r="46" spans="1:82" ht="14">
      <c r="A46" s="233" t="s">
        <v>145</v>
      </c>
      <c r="B46" s="245"/>
      <c r="C46" s="248">
        <f>(C25+C32+C39)*(Hypothèses!$B$71+(Hypothèses!$C$71-Hypothèses!$B$71)*MONTH(C$2)/12)</f>
        <v>0</v>
      </c>
      <c r="D46" s="246">
        <f>(D25+D32+D39)*(Hypothèses!$B$71+(Hypothèses!$C$71-Hypothèses!$B$71)*MONTH(D$2)/12)</f>
        <v>0</v>
      </c>
      <c r="E46" s="246">
        <f>(E25+E32+E39)*(Hypothèses!$B$71+(Hypothèses!$C$71-Hypothèses!$B$71)*MONTH(E$2)/12)</f>
        <v>0</v>
      </c>
      <c r="F46" s="246">
        <f>(F25+F32+F39)*(Hypothèses!$B$71+(Hypothèses!$C$71-Hypothèses!$B$71)*MONTH(F$2)/12)</f>
        <v>0</v>
      </c>
      <c r="G46" s="246">
        <f>(G25+G32+G39)*(Hypothèses!$B$71+(Hypothèses!$C$71-Hypothèses!$B$71)*MONTH(G$2)/12)</f>
        <v>0</v>
      </c>
      <c r="H46" s="246">
        <f>(H25+H32+H39)*(Hypothèses!$B$71+(Hypothèses!$C$71-Hypothèses!$B$71)*MONTH(H$2)/12)</f>
        <v>0</v>
      </c>
      <c r="I46" s="249">
        <f>(I25+I32+I39)*(Hypothèses!$B$71+(Hypothèses!$C$71-Hypothèses!$B$71)*MONTH(I$2)/12)</f>
        <v>0</v>
      </c>
      <c r="J46" s="246">
        <f>(J25+J32+J39)*(Hypothèses!$C$71+(Hypothèses!$D$71-Hypothèses!$C$71)*MONTH(J$2)/12)</f>
        <v>0</v>
      </c>
      <c r="K46" s="246">
        <f ca="1">(K25+K32+K39)*(Hypothèses!$C$71+(Hypothèses!$D$71-Hypothèses!$C$71)*MONTH(K$2)/12)</f>
        <v>0</v>
      </c>
      <c r="L46" s="246">
        <f ca="1">(L25+L32+L39)*(Hypothèses!$C$71+(Hypothèses!$D$71-Hypothèses!$C$71)*MONTH(L$2)/12)</f>
        <v>0</v>
      </c>
      <c r="M46" s="246">
        <f ca="1">(M25+M32+M39)*(Hypothèses!$C$71+(Hypothèses!$D$71-Hypothèses!$C$71)*MONTH(M$2)/12)</f>
        <v>0</v>
      </c>
      <c r="N46" s="246">
        <f ca="1">(N25+N32+N39)*(Hypothèses!$C$71+(Hypothèses!$D$71-Hypothèses!$C$71)*MONTH(N$2)/12)</f>
        <v>0</v>
      </c>
      <c r="O46" s="246">
        <f ca="1">(O25+O32+O39)*(Hypothèses!$C$71+(Hypothèses!$D$71-Hypothèses!$C$71)*MONTH(O$2)/12)</f>
        <v>0</v>
      </c>
      <c r="P46" s="246">
        <f ca="1">(P25+P32+P39)*(Hypothèses!$C$71+(Hypothèses!$D$71-Hypothèses!$C$71)*MONTH(P$2)/12)</f>
        <v>0</v>
      </c>
      <c r="Q46" s="246">
        <f ca="1">(Q25+Q32+Q39)*(Hypothèses!$C$71+(Hypothèses!$D$71-Hypothèses!$C$71)*MONTH(Q$2)/12)</f>
        <v>0</v>
      </c>
      <c r="R46" s="246">
        <f ca="1">(R25+R32+R39)*(Hypothèses!$C$71+(Hypothèses!$D$71-Hypothèses!$C$71)*MONTH(R$2)/12)</f>
        <v>0</v>
      </c>
      <c r="S46" s="246">
        <f ca="1">(S25+S32+S39)*(Hypothèses!$C$71+(Hypothèses!$D$71-Hypothèses!$C$71)*MONTH(S$2)/12)</f>
        <v>0</v>
      </c>
      <c r="T46" s="246">
        <f ca="1">(T25+T32+T39)*(Hypothèses!$C$71+(Hypothèses!$D$71-Hypothèses!$C$71)*MONTH(T$2)/12)</f>
        <v>0</v>
      </c>
      <c r="U46" s="246">
        <f ca="1">(U25+U32+U39)*(Hypothèses!$C$71+(Hypothèses!$D$71-Hypothèses!$C$71)*MONTH(U$2)/12)</f>
        <v>0</v>
      </c>
      <c r="V46" s="248">
        <f ca="1">(V25+V32+V39)*(Hypothèses!$D$71+(Hypothèses!$E$71-Hypothèses!$D$71)*MONTH(V$2)/12)</f>
        <v>0</v>
      </c>
      <c r="W46" s="246">
        <f ca="1">(W25+W32+W39)*(Hypothèses!$D$71+(Hypothèses!$E$71-Hypothèses!$D$71)*MONTH(W$2)/12)</f>
        <v>0</v>
      </c>
      <c r="X46" s="246">
        <f ca="1">(X25+X32+X39)*(Hypothèses!$D$71+(Hypothèses!$E$71-Hypothèses!$D$71)*MONTH(X$2)/12)</f>
        <v>0</v>
      </c>
      <c r="Y46" s="246">
        <f ca="1">(Y25+Y32+Y39)*(Hypothèses!$D$71+(Hypothèses!$E$71-Hypothèses!$D$71)*MONTH(Y$2)/12)</f>
        <v>0</v>
      </c>
      <c r="Z46" s="246">
        <f ca="1">(Z25+Z32+Z39)*(Hypothèses!$D$71+(Hypothèses!$E$71-Hypothèses!$D$71)*MONTH(Z$2)/12)</f>
        <v>0</v>
      </c>
      <c r="AA46" s="246">
        <f ca="1">(AA25+AA32+AA39)*(Hypothèses!$D$71+(Hypothèses!$E$71-Hypothèses!$D$71)*MONTH(AA$2)/12)</f>
        <v>0</v>
      </c>
      <c r="AB46" s="246">
        <f ca="1">(AB25+AB32+AB39)*(Hypothèses!$D$71+(Hypothèses!$E$71-Hypothèses!$D$71)*MONTH(AB$2)/12)</f>
        <v>0</v>
      </c>
      <c r="AC46" s="246">
        <f ca="1">(AC25+AC32+AC39)*(Hypothèses!$D$71+(Hypothèses!$E$71-Hypothèses!$D$71)*MONTH(AC$2)/12)</f>
        <v>0</v>
      </c>
      <c r="AD46" s="246">
        <f ca="1">(AD25+AD32+AD39)*(Hypothèses!$D$71+(Hypothèses!$E$71-Hypothèses!$D$71)*MONTH(AD$2)/12)</f>
        <v>0</v>
      </c>
      <c r="AE46" s="246">
        <f ca="1">(AE25+AE32+AE39)*(Hypothèses!$D$71+(Hypothèses!$E$71-Hypothèses!$D$71)*MONTH(AE$2)/12)</f>
        <v>0</v>
      </c>
      <c r="AF46" s="246">
        <f ca="1">(AF25+AF32+AF39)*(Hypothèses!$D$71+(Hypothèses!$E$71-Hypothèses!$D$71)*MONTH(AF$2)/12)</f>
        <v>0</v>
      </c>
      <c r="AG46" s="249">
        <f ca="1">(AG25+AG32+AG39)*(Hypothèses!$D$71+(Hypothèses!$E$71-Hypothèses!$D$71)*MONTH(AG$2)/12)</f>
        <v>0</v>
      </c>
      <c r="AH46" s="246">
        <f ca="1">(AH25+AH32+AH39)*(Hypothèses!$E$71+(Hypothèses!$F$71-Hypothèses!$E$71)*MONTH(AH$2)/12)</f>
        <v>0</v>
      </c>
      <c r="AI46" s="246">
        <f ca="1">(AI25+AI32+AI39)*(Hypothèses!$E$71+(Hypothèses!$F$71-Hypothèses!$E$71)*MONTH(AI$2)/12)</f>
        <v>0</v>
      </c>
      <c r="AJ46" s="246">
        <f ca="1">(AJ25+AJ32+AJ39)*(Hypothèses!$E$71+(Hypothèses!$F$71-Hypothèses!$E$71)*MONTH(AJ$2)/12)</f>
        <v>0</v>
      </c>
      <c r="AK46" s="246">
        <f ca="1">(AK25+AK32+AK39)*(Hypothèses!$E$71+(Hypothèses!$F$71-Hypothèses!$E$71)*MONTH(AK$2)/12)</f>
        <v>0</v>
      </c>
      <c r="AL46" s="246">
        <f ca="1">(AL25+AL32+AL39)*(Hypothèses!$E$71+(Hypothèses!$F$71-Hypothèses!$E$71)*MONTH(AL$2)/12)</f>
        <v>0</v>
      </c>
      <c r="AM46" s="246">
        <f ca="1">(AM25+AM32+AM39)*(Hypothèses!$E$71+(Hypothèses!$F$71-Hypothèses!$E$71)*MONTH(AM$2)/12)</f>
        <v>0</v>
      </c>
      <c r="AN46" s="246">
        <f ca="1">(AN25+AN32+AN39)*(Hypothèses!$E$71+(Hypothèses!$F$71-Hypothèses!$E$71)*MONTH(AN$2)/12)</f>
        <v>0</v>
      </c>
      <c r="AO46" s="246">
        <f ca="1">(AO25+AO32+AO39)*(Hypothèses!$E$71+(Hypothèses!$F$71-Hypothèses!$E$71)*MONTH(AO$2)/12)</f>
        <v>0</v>
      </c>
      <c r="AP46" s="246">
        <f ca="1">(AP25+AP32+AP39)*(Hypothèses!$E$71+(Hypothèses!$F$71-Hypothèses!$E$71)*MONTH(AP$2)/12)</f>
        <v>0</v>
      </c>
      <c r="AQ46" s="246">
        <f ca="1">(AQ25+AQ32+AQ39)*(Hypothèses!$E$71+(Hypothèses!$F$71-Hypothèses!$E$71)*MONTH(AQ$2)/12)</f>
        <v>0</v>
      </c>
      <c r="AR46" s="246">
        <f ca="1">(AR25+AR32+AR39)*(Hypothèses!$E$71+(Hypothèses!$F$71-Hypothèses!$E$71)*MONTH(AR$2)/12)</f>
        <v>0</v>
      </c>
      <c r="AS46" s="246">
        <f ca="1">(AS25+AS32+AS39)*(Hypothèses!$E$71+(Hypothèses!$F$71-Hypothèses!$E$71)*MONTH(AS$2)/12)</f>
        <v>0</v>
      </c>
      <c r="AT46" s="248">
        <f ca="1">(AT25+AT32+AT39)*(Hypothèses!$F$71+(Hypothèses!$G$71-Hypothèses!$F$71)*MONTH(AT$2)/12)</f>
        <v>0</v>
      </c>
      <c r="AU46" s="246">
        <f ca="1">(AU25+AU32+AU39)*(Hypothèses!$F$71+(Hypothèses!$G$71-Hypothèses!$F$71)*MONTH(AU$2)/12)</f>
        <v>0</v>
      </c>
      <c r="AV46" s="246">
        <f ca="1">(AV25+AV32+AV39)*(Hypothèses!$F$71+(Hypothèses!$G$71-Hypothèses!$F$71)*MONTH(AV$2)/12)</f>
        <v>0</v>
      </c>
      <c r="AW46" s="246">
        <f ca="1">(AW25+AW32+AW39)*(Hypothèses!$F$71+(Hypothèses!$G$71-Hypothèses!$F$71)*MONTH(AW$2)/12)</f>
        <v>0</v>
      </c>
      <c r="AX46" s="246">
        <f ca="1">(AX25+AX32+AX39)*(Hypothèses!$F$71+(Hypothèses!$G$71-Hypothèses!$F$71)*MONTH(AX$2)/12)</f>
        <v>0</v>
      </c>
      <c r="AY46" s="246">
        <f ca="1">(AY25+AY32+AY39)*(Hypothèses!$F$71+(Hypothèses!$G$71-Hypothèses!$F$71)*MONTH(AY$2)/12)</f>
        <v>0</v>
      </c>
      <c r="AZ46" s="246">
        <f ca="1">(AZ25+AZ32+AZ39)*(Hypothèses!$F$71+(Hypothèses!$G$71-Hypothèses!$F$71)*MONTH(AZ$2)/12)</f>
        <v>0</v>
      </c>
      <c r="BA46" s="246">
        <f ca="1">(BA25+BA32+BA39)*(Hypothèses!$F$71+(Hypothèses!$G$71-Hypothèses!$F$71)*MONTH(BA$2)/12)</f>
        <v>0</v>
      </c>
      <c r="BB46" s="246">
        <f ca="1">(BB25+BB32+BB39)*(Hypothèses!$F$71+(Hypothèses!$G$71-Hypothèses!$F$71)*MONTH(BB$2)/12)</f>
        <v>0</v>
      </c>
      <c r="BC46" s="246">
        <f ca="1">(BC25+BC32+BC39)*(Hypothèses!$F$71+(Hypothèses!$G$71-Hypothèses!$F$71)*MONTH(BC$2)/12)</f>
        <v>0</v>
      </c>
      <c r="BD46" s="246">
        <f ca="1">(BD25+BD32+BD39)*(Hypothèses!$F$71+(Hypothèses!$G$71-Hypothèses!$F$71)*MONTH(BD$2)/12)</f>
        <v>0</v>
      </c>
      <c r="BE46" s="249">
        <f ca="1">(BE25+BE32+BE39)*(Hypothèses!$F$71+(Hypothèses!$G$71-Hypothèses!$F$71)*MONTH(BE$2)/12)</f>
        <v>0</v>
      </c>
      <c r="BF46" s="246">
        <f ca="1">(BF25+BF32+BF39)*(Hypothèses!$G$71+(Hypothèses!$H$71-Hypothèses!$G$71)*MONTH(BF$2)/12)</f>
        <v>0</v>
      </c>
      <c r="BG46" s="246">
        <f ca="1">(BG25+BG32+BG39)*(Hypothèses!$G$71+(Hypothèses!$H$71-Hypothèses!$G$71)*MONTH(BG$2)/12)</f>
        <v>0</v>
      </c>
      <c r="BH46" s="246">
        <f ca="1">(BH25+BH32+BH39)*(Hypothèses!$G$71+(Hypothèses!$H$71-Hypothèses!$G$71)*MONTH(BH$2)/12)</f>
        <v>0</v>
      </c>
      <c r="BI46" s="246">
        <f ca="1">(BI25+BI32+BI39)*(Hypothèses!$G$71+(Hypothèses!$H$71-Hypothèses!$G$71)*MONTH(BI$2)/12)</f>
        <v>0</v>
      </c>
      <c r="BJ46" s="246">
        <f ca="1">(BJ25+BJ32+BJ39)*(Hypothèses!$G$71+(Hypothèses!$H$71-Hypothèses!$G$71)*MONTH(BJ$2)/12)</f>
        <v>0</v>
      </c>
      <c r="BK46" s="246">
        <f ca="1">(BK25+BK32+BK39)*(Hypothèses!$G$71+(Hypothèses!$H$71-Hypothèses!$G$71)*MONTH(BK$2)/12)</f>
        <v>0</v>
      </c>
      <c r="BL46" s="246">
        <f ca="1">(BL25+BL32+BL39)*(Hypothèses!$G$71+(Hypothèses!$H$71-Hypothèses!$G$71)*MONTH(BL$2)/12)</f>
        <v>0</v>
      </c>
      <c r="BM46" s="246">
        <f ca="1">(BM25+BM32+BM39)*(Hypothèses!$G$71+(Hypothèses!$H$71-Hypothèses!$G$71)*MONTH(BM$2)/12)</f>
        <v>0</v>
      </c>
      <c r="BN46" s="246">
        <f ca="1">(BN25+BN32+BN39)*(Hypothèses!$G$71+(Hypothèses!$H$71-Hypothèses!$G$71)*MONTH(BN$2)/12)</f>
        <v>0</v>
      </c>
      <c r="BO46" s="246">
        <f ca="1">(BO25+BO32+BO39)*(Hypothèses!$G$71+(Hypothèses!$H$71-Hypothèses!$G$71)*MONTH(BO$2)/12)</f>
        <v>0</v>
      </c>
      <c r="BP46" s="246">
        <f ca="1">(BP25+BP32+BP39)*(Hypothèses!$G$71+(Hypothèses!$H$71-Hypothèses!$G$71)*MONTH(BP$2)/12)</f>
        <v>0</v>
      </c>
      <c r="BQ46" s="246">
        <f ca="1">(BQ25+BQ32+BQ39)*(Hypothèses!$G$71+(Hypothèses!$H$71-Hypothèses!$G$71)*MONTH(BQ$2)/12)</f>
        <v>0</v>
      </c>
      <c r="BR46" s="250">
        <f ca="1">(BR25+BR32+BR39)*(Hypothèses!$H$71)</f>
        <v>0</v>
      </c>
      <c r="BS46" s="246">
        <f ca="1">(BS25+BS32+BS39)*(Hypothèses!$H$71)</f>
        <v>0</v>
      </c>
      <c r="BT46" s="246">
        <f ca="1">(BT25+BT32+BT39)*(Hypothèses!$H$71)</f>
        <v>0</v>
      </c>
      <c r="BU46" s="246">
        <f ca="1">(BU25+BU32+BU39)*(Hypothèses!$H$71)</f>
        <v>0</v>
      </c>
      <c r="BV46" s="246">
        <f ca="1">(BV25+BV32+BV39)*(Hypothèses!$H$71)</f>
        <v>0</v>
      </c>
      <c r="BW46" s="246">
        <f ca="1">(BW25+BW32+BW39)*(Hypothèses!$H$71)</f>
        <v>0</v>
      </c>
      <c r="BX46" s="246">
        <f ca="1">(BX25+BX32+BX39)*(Hypothèses!$H$71)</f>
        <v>0</v>
      </c>
      <c r="BY46" s="246">
        <f ca="1">(BY25+BY32+BY39)*(Hypothèses!$H$71)</f>
        <v>0</v>
      </c>
      <c r="BZ46" s="246">
        <f ca="1">(BZ25+BZ32+BZ39)*(Hypothèses!$H$71)</f>
        <v>0</v>
      </c>
      <c r="CA46" s="246">
        <f ca="1">(CA25+CA32+CA39)*(Hypothèses!$H$71)</f>
        <v>0</v>
      </c>
      <c r="CB46" s="246">
        <f ca="1">(CB25+CB32+CB39)*(Hypothèses!$H$71)</f>
        <v>0</v>
      </c>
      <c r="CC46" s="251">
        <f ca="1">(CC25+CC32+CC39)*(Hypothèses!$H$71)</f>
        <v>0</v>
      </c>
      <c r="CD46" s="246"/>
    </row>
    <row r="47" spans="1:82" ht="14">
      <c r="A47" s="233" t="s">
        <v>146</v>
      </c>
      <c r="B47" s="245"/>
      <c r="C47" s="248">
        <f>(C26+C33+C40)*(Hypothèses!$B$71+(Hypothèses!$C$71-Hypothèses!$B$71)*MONTH(C$2)/12)</f>
        <v>0</v>
      </c>
      <c r="D47" s="246">
        <f>(D26+D33+D40)*(Hypothèses!$B$71+(Hypothèses!$C$71-Hypothèses!$B$71)*MONTH(D$2)/12)</f>
        <v>0</v>
      </c>
      <c r="E47" s="246">
        <f>(E26+E33+E40)*(Hypothèses!$B$71+(Hypothèses!$C$71-Hypothèses!$B$71)*MONTH(E$2)/12)</f>
        <v>0</v>
      </c>
      <c r="F47" s="246">
        <f>(F26+F33+F40)*(Hypothèses!$B$71+(Hypothèses!$C$71-Hypothèses!$B$71)*MONTH(F$2)/12)</f>
        <v>0</v>
      </c>
      <c r="G47" s="246">
        <f>(G26+G33+G40)*(Hypothèses!$B$71+(Hypothèses!$C$71-Hypothèses!$B$71)*MONTH(G$2)/12)</f>
        <v>0</v>
      </c>
      <c r="H47" s="246">
        <f>(H26+H33+H40)*(Hypothèses!$B$71+(Hypothèses!$C$71-Hypothèses!$B$71)*MONTH(H$2)/12)</f>
        <v>0</v>
      </c>
      <c r="I47" s="249">
        <f>(I26+I33+I40)*(Hypothèses!$B$71+(Hypothèses!$C$71-Hypothèses!$B$71)*MONTH(I$2)/12)</f>
        <v>0</v>
      </c>
      <c r="J47" s="246">
        <f>(J26+J33+J40)*(Hypothèses!$C$71+(Hypothèses!$D$71-Hypothèses!$C$71)*MONTH(J$2)/12)</f>
        <v>0</v>
      </c>
      <c r="K47" s="246">
        <f ca="1">(K26+K33+K40)*(Hypothèses!$C$71+(Hypothèses!$D$71-Hypothèses!$C$71)*MONTH(K$2)/12)</f>
        <v>0</v>
      </c>
      <c r="L47" s="246">
        <f ca="1">(L26+L33+L40)*(Hypothèses!$C$71+(Hypothèses!$D$71-Hypothèses!$C$71)*MONTH(L$2)/12)</f>
        <v>0</v>
      </c>
      <c r="M47" s="246">
        <f ca="1">(M26+M33+M40)*(Hypothèses!$C$71+(Hypothèses!$D$71-Hypothèses!$C$71)*MONTH(M$2)/12)</f>
        <v>0</v>
      </c>
      <c r="N47" s="246">
        <f ca="1">(N26+N33+N40)*(Hypothèses!$C$71+(Hypothèses!$D$71-Hypothèses!$C$71)*MONTH(N$2)/12)</f>
        <v>0</v>
      </c>
      <c r="O47" s="246">
        <f ca="1">(O26+O33+O40)*(Hypothèses!$C$71+(Hypothèses!$D$71-Hypothèses!$C$71)*MONTH(O$2)/12)</f>
        <v>0</v>
      </c>
      <c r="P47" s="246">
        <f ca="1">(P26+P33+P40)*(Hypothèses!$C$71+(Hypothèses!$D$71-Hypothèses!$C$71)*MONTH(P$2)/12)</f>
        <v>0</v>
      </c>
      <c r="Q47" s="246">
        <f ca="1">(Q26+Q33+Q40)*(Hypothèses!$C$71+(Hypothèses!$D$71-Hypothèses!$C$71)*MONTH(Q$2)/12)</f>
        <v>0</v>
      </c>
      <c r="R47" s="246">
        <f ca="1">(R26+R33+R40)*(Hypothèses!$C$71+(Hypothèses!$D$71-Hypothèses!$C$71)*MONTH(R$2)/12)</f>
        <v>0</v>
      </c>
      <c r="S47" s="246">
        <f ca="1">(S26+S33+S40)*(Hypothèses!$C$71+(Hypothèses!$D$71-Hypothèses!$C$71)*MONTH(S$2)/12)</f>
        <v>0</v>
      </c>
      <c r="T47" s="246">
        <f ca="1">(T26+T33+T40)*(Hypothèses!$C$71+(Hypothèses!$D$71-Hypothèses!$C$71)*MONTH(T$2)/12)</f>
        <v>0</v>
      </c>
      <c r="U47" s="246">
        <f ca="1">(U26+U33+U40)*(Hypothèses!$C$71+(Hypothèses!$D$71-Hypothèses!$C$71)*MONTH(U$2)/12)</f>
        <v>0</v>
      </c>
      <c r="V47" s="248">
        <f ca="1">(V26+V33+V40)*(Hypothèses!$D$71+(Hypothèses!$E$71-Hypothèses!$D$71)*MONTH(V$2)/12)</f>
        <v>0</v>
      </c>
      <c r="W47" s="246">
        <f ca="1">(W26+W33+W40)*(Hypothèses!$D$71+(Hypothèses!$E$71-Hypothèses!$D$71)*MONTH(W$2)/12)</f>
        <v>0</v>
      </c>
      <c r="X47" s="246">
        <f ca="1">(X26+X33+X40)*(Hypothèses!$D$71+(Hypothèses!$E$71-Hypothèses!$D$71)*MONTH(X$2)/12)</f>
        <v>0</v>
      </c>
      <c r="Y47" s="246">
        <f ca="1">(Y26+Y33+Y40)*(Hypothèses!$D$71+(Hypothèses!$E$71-Hypothèses!$D$71)*MONTH(Y$2)/12)</f>
        <v>0</v>
      </c>
      <c r="Z47" s="246">
        <f ca="1">(Z26+Z33+Z40)*(Hypothèses!$D$71+(Hypothèses!$E$71-Hypothèses!$D$71)*MONTH(Z$2)/12)</f>
        <v>0</v>
      </c>
      <c r="AA47" s="246">
        <f ca="1">(AA26+AA33+AA40)*(Hypothèses!$D$71+(Hypothèses!$E$71-Hypothèses!$D$71)*MONTH(AA$2)/12)</f>
        <v>0</v>
      </c>
      <c r="AB47" s="246">
        <f ca="1">(AB26+AB33+AB40)*(Hypothèses!$D$71+(Hypothèses!$E$71-Hypothèses!$D$71)*MONTH(AB$2)/12)</f>
        <v>0</v>
      </c>
      <c r="AC47" s="246">
        <f ca="1">(AC26+AC33+AC40)*(Hypothèses!$D$71+(Hypothèses!$E$71-Hypothèses!$D$71)*MONTH(AC$2)/12)</f>
        <v>0</v>
      </c>
      <c r="AD47" s="246">
        <f ca="1">(AD26+AD33+AD40)*(Hypothèses!$D$71+(Hypothèses!$E$71-Hypothèses!$D$71)*MONTH(AD$2)/12)</f>
        <v>0</v>
      </c>
      <c r="AE47" s="246">
        <f ca="1">(AE26+AE33+AE40)*(Hypothèses!$D$71+(Hypothèses!$E$71-Hypothèses!$D$71)*MONTH(AE$2)/12)</f>
        <v>0</v>
      </c>
      <c r="AF47" s="246">
        <f ca="1">(AF26+AF33+AF40)*(Hypothèses!$D$71+(Hypothèses!$E$71-Hypothèses!$D$71)*MONTH(AF$2)/12)</f>
        <v>0</v>
      </c>
      <c r="AG47" s="249">
        <f ca="1">(AG26+AG33+AG40)*(Hypothèses!$D$71+(Hypothèses!$E$71-Hypothèses!$D$71)*MONTH(AG$2)/12)</f>
        <v>0</v>
      </c>
      <c r="AH47" s="246">
        <f ca="1">(AH26+AH33+AH40)*(Hypothèses!$E$71+(Hypothèses!$F$71-Hypothèses!$E$71)*MONTH(AH$2)/12)</f>
        <v>0</v>
      </c>
      <c r="AI47" s="246">
        <f ca="1">(AI26+AI33+AI40)*(Hypothèses!$E$71+(Hypothèses!$F$71-Hypothèses!$E$71)*MONTH(AI$2)/12)</f>
        <v>0</v>
      </c>
      <c r="AJ47" s="246">
        <f ca="1">(AJ26+AJ33+AJ40)*(Hypothèses!$E$71+(Hypothèses!$F$71-Hypothèses!$E$71)*MONTH(AJ$2)/12)</f>
        <v>0</v>
      </c>
      <c r="AK47" s="246">
        <f ca="1">(AK26+AK33+AK40)*(Hypothèses!$E$71+(Hypothèses!$F$71-Hypothèses!$E$71)*MONTH(AK$2)/12)</f>
        <v>0</v>
      </c>
      <c r="AL47" s="246">
        <f ca="1">(AL26+AL33+AL40)*(Hypothèses!$E$71+(Hypothèses!$F$71-Hypothèses!$E$71)*MONTH(AL$2)/12)</f>
        <v>0</v>
      </c>
      <c r="AM47" s="246">
        <f ca="1">(AM26+AM33+AM40)*(Hypothèses!$E$71+(Hypothèses!$F$71-Hypothèses!$E$71)*MONTH(AM$2)/12)</f>
        <v>0</v>
      </c>
      <c r="AN47" s="246">
        <f ca="1">(AN26+AN33+AN40)*(Hypothèses!$E$71+(Hypothèses!$F$71-Hypothèses!$E$71)*MONTH(AN$2)/12)</f>
        <v>0</v>
      </c>
      <c r="AO47" s="246">
        <f ca="1">(AO26+AO33+AO40)*(Hypothèses!$E$71+(Hypothèses!$F$71-Hypothèses!$E$71)*MONTH(AO$2)/12)</f>
        <v>0</v>
      </c>
      <c r="AP47" s="246">
        <f ca="1">(AP26+AP33+AP40)*(Hypothèses!$E$71+(Hypothèses!$F$71-Hypothèses!$E$71)*MONTH(AP$2)/12)</f>
        <v>0</v>
      </c>
      <c r="AQ47" s="246">
        <f ca="1">(AQ26+AQ33+AQ40)*(Hypothèses!$E$71+(Hypothèses!$F$71-Hypothèses!$E$71)*MONTH(AQ$2)/12)</f>
        <v>0</v>
      </c>
      <c r="AR47" s="246">
        <f ca="1">(AR26+AR33+AR40)*(Hypothèses!$E$71+(Hypothèses!$F$71-Hypothèses!$E$71)*MONTH(AR$2)/12)</f>
        <v>0</v>
      </c>
      <c r="AS47" s="246">
        <f ca="1">(AS26+AS33+AS40)*(Hypothèses!$E$71+(Hypothèses!$F$71-Hypothèses!$E$71)*MONTH(AS$2)/12)</f>
        <v>0</v>
      </c>
      <c r="AT47" s="248">
        <f ca="1">(AT26+AT33+AT40)*(Hypothèses!$F$71+(Hypothèses!$G$71-Hypothèses!$F$71)*MONTH(AT$2)/12)</f>
        <v>0</v>
      </c>
      <c r="AU47" s="246">
        <f ca="1">(AU26+AU33+AU40)*(Hypothèses!$F$71+(Hypothèses!$G$71-Hypothèses!$F$71)*MONTH(AU$2)/12)</f>
        <v>0</v>
      </c>
      <c r="AV47" s="246">
        <f ca="1">(AV26+AV33+AV40)*(Hypothèses!$F$71+(Hypothèses!$G$71-Hypothèses!$F$71)*MONTH(AV$2)/12)</f>
        <v>0</v>
      </c>
      <c r="AW47" s="246">
        <f ca="1">(AW26+AW33+AW40)*(Hypothèses!$F$71+(Hypothèses!$G$71-Hypothèses!$F$71)*MONTH(AW$2)/12)</f>
        <v>0</v>
      </c>
      <c r="AX47" s="246">
        <f ca="1">(AX26+AX33+AX40)*(Hypothèses!$F$71+(Hypothèses!$G$71-Hypothèses!$F$71)*MONTH(AX$2)/12)</f>
        <v>0</v>
      </c>
      <c r="AY47" s="246">
        <f ca="1">(AY26+AY33+AY40)*(Hypothèses!$F$71+(Hypothèses!$G$71-Hypothèses!$F$71)*MONTH(AY$2)/12)</f>
        <v>0</v>
      </c>
      <c r="AZ47" s="246">
        <f ca="1">(AZ26+AZ33+AZ40)*(Hypothèses!$F$71+(Hypothèses!$G$71-Hypothèses!$F$71)*MONTH(AZ$2)/12)</f>
        <v>0</v>
      </c>
      <c r="BA47" s="246">
        <f ca="1">(BA26+BA33+BA40)*(Hypothèses!$F$71+(Hypothèses!$G$71-Hypothèses!$F$71)*MONTH(BA$2)/12)</f>
        <v>0</v>
      </c>
      <c r="BB47" s="246">
        <f ca="1">(BB26+BB33+BB40)*(Hypothèses!$F$71+(Hypothèses!$G$71-Hypothèses!$F$71)*MONTH(BB$2)/12)</f>
        <v>0</v>
      </c>
      <c r="BC47" s="246">
        <f ca="1">(BC26+BC33+BC40)*(Hypothèses!$F$71+(Hypothèses!$G$71-Hypothèses!$F$71)*MONTH(BC$2)/12)</f>
        <v>0</v>
      </c>
      <c r="BD47" s="246">
        <f ca="1">(BD26+BD33+BD40)*(Hypothèses!$F$71+(Hypothèses!$G$71-Hypothèses!$F$71)*MONTH(BD$2)/12)</f>
        <v>0</v>
      </c>
      <c r="BE47" s="249">
        <f ca="1">(BE26+BE33+BE40)*(Hypothèses!$F$71+(Hypothèses!$G$71-Hypothèses!$F$71)*MONTH(BE$2)/12)</f>
        <v>0</v>
      </c>
      <c r="BF47" s="246">
        <f ca="1">(BF26+BF33+BF40)*(Hypothèses!$G$71+(Hypothèses!$H$71-Hypothèses!$G$71)*MONTH(BF$2)/12)</f>
        <v>0</v>
      </c>
      <c r="BG47" s="246">
        <f ca="1">(BG26+BG33+BG40)*(Hypothèses!$G$71+(Hypothèses!$H$71-Hypothèses!$G$71)*MONTH(BG$2)/12)</f>
        <v>0</v>
      </c>
      <c r="BH47" s="246">
        <f ca="1">(BH26+BH33+BH40)*(Hypothèses!$G$71+(Hypothèses!$H$71-Hypothèses!$G$71)*MONTH(BH$2)/12)</f>
        <v>0</v>
      </c>
      <c r="BI47" s="246">
        <f ca="1">(BI26+BI33+BI40)*(Hypothèses!$G$71+(Hypothèses!$H$71-Hypothèses!$G$71)*MONTH(BI$2)/12)</f>
        <v>0</v>
      </c>
      <c r="BJ47" s="246">
        <f ca="1">(BJ26+BJ33+BJ40)*(Hypothèses!$G$71+(Hypothèses!$H$71-Hypothèses!$G$71)*MONTH(BJ$2)/12)</f>
        <v>0</v>
      </c>
      <c r="BK47" s="246">
        <f ca="1">(BK26+BK33+BK40)*(Hypothèses!$G$71+(Hypothèses!$H$71-Hypothèses!$G$71)*MONTH(BK$2)/12)</f>
        <v>0</v>
      </c>
      <c r="BL47" s="246">
        <f ca="1">(BL26+BL33+BL40)*(Hypothèses!$G$71+(Hypothèses!$H$71-Hypothèses!$G$71)*MONTH(BL$2)/12)</f>
        <v>0</v>
      </c>
      <c r="BM47" s="246">
        <f ca="1">(BM26+BM33+BM40)*(Hypothèses!$G$71+(Hypothèses!$H$71-Hypothèses!$G$71)*MONTH(BM$2)/12)</f>
        <v>0</v>
      </c>
      <c r="BN47" s="246">
        <f ca="1">(BN26+BN33+BN40)*(Hypothèses!$G$71+(Hypothèses!$H$71-Hypothèses!$G$71)*MONTH(BN$2)/12)</f>
        <v>0</v>
      </c>
      <c r="BO47" s="246">
        <f ca="1">(BO26+BO33+BO40)*(Hypothèses!$G$71+(Hypothèses!$H$71-Hypothèses!$G$71)*MONTH(BO$2)/12)</f>
        <v>0</v>
      </c>
      <c r="BP47" s="246">
        <f ca="1">(BP26+BP33+BP40)*(Hypothèses!$G$71+(Hypothèses!$H$71-Hypothèses!$G$71)*MONTH(BP$2)/12)</f>
        <v>0</v>
      </c>
      <c r="BQ47" s="246">
        <f ca="1">(BQ26+BQ33+BQ40)*(Hypothèses!$G$71+(Hypothèses!$H$71-Hypothèses!$G$71)*MONTH(BQ$2)/12)</f>
        <v>0</v>
      </c>
      <c r="BR47" s="250">
        <f ca="1">(BR26+BR33+BR40)*(Hypothèses!$H$71)</f>
        <v>0</v>
      </c>
      <c r="BS47" s="246">
        <f ca="1">(BS26+BS33+BS40)*(Hypothèses!$H$71)</f>
        <v>0</v>
      </c>
      <c r="BT47" s="246">
        <f ca="1">(BT26+BT33+BT40)*(Hypothèses!$H$71)</f>
        <v>0</v>
      </c>
      <c r="BU47" s="246">
        <f ca="1">(BU26+BU33+BU40)*(Hypothèses!$H$71)</f>
        <v>0</v>
      </c>
      <c r="BV47" s="246">
        <f ca="1">(BV26+BV33+BV40)*(Hypothèses!$H$71)</f>
        <v>0</v>
      </c>
      <c r="BW47" s="246">
        <f ca="1">(BW26+BW33+BW40)*(Hypothèses!$H$71)</f>
        <v>0</v>
      </c>
      <c r="BX47" s="246">
        <f ca="1">(BX26+BX33+BX40)*(Hypothèses!$H$71)</f>
        <v>0</v>
      </c>
      <c r="BY47" s="246">
        <f ca="1">(BY26+BY33+BY40)*(Hypothèses!$H$71)</f>
        <v>0</v>
      </c>
      <c r="BZ47" s="246">
        <f ca="1">(BZ26+BZ33+BZ40)*(Hypothèses!$H$71)</f>
        <v>0</v>
      </c>
      <c r="CA47" s="246">
        <f ca="1">(CA26+CA33+CA40)*(Hypothèses!$H$71)</f>
        <v>0</v>
      </c>
      <c r="CB47" s="246">
        <f ca="1">(CB26+CB33+CB40)*(Hypothèses!$H$71)</f>
        <v>0</v>
      </c>
      <c r="CC47" s="251">
        <f ca="1">(CC26+CC33+CC40)*(Hypothèses!$H$71)</f>
        <v>0</v>
      </c>
      <c r="CD47" s="246"/>
    </row>
    <row r="48" spans="1:82" ht="14">
      <c r="A48" s="247"/>
      <c r="B48" s="245"/>
      <c r="C48" s="248"/>
      <c r="D48" s="246"/>
      <c r="E48" s="246"/>
      <c r="F48" s="246"/>
      <c r="G48" s="246"/>
      <c r="H48" s="246"/>
      <c r="I48" s="249"/>
      <c r="J48" s="246"/>
      <c r="K48" s="246"/>
      <c r="L48" s="246"/>
      <c r="M48" s="246"/>
      <c r="N48" s="246"/>
      <c r="O48" s="246"/>
      <c r="P48" s="246"/>
      <c r="Q48" s="246"/>
      <c r="R48" s="246"/>
      <c r="S48" s="246"/>
      <c r="T48" s="246"/>
      <c r="U48" s="246"/>
      <c r="V48" s="248"/>
      <c r="W48" s="246"/>
      <c r="X48" s="246"/>
      <c r="Y48" s="246"/>
      <c r="Z48" s="246"/>
      <c r="AA48" s="246"/>
      <c r="AB48" s="246"/>
      <c r="AC48" s="246"/>
      <c r="AD48" s="246"/>
      <c r="AE48" s="246"/>
      <c r="AF48" s="246"/>
      <c r="AG48" s="249"/>
      <c r="AH48" s="246"/>
      <c r="AI48" s="246"/>
      <c r="AJ48" s="246"/>
      <c r="AK48" s="246"/>
      <c r="AL48" s="246"/>
      <c r="AM48" s="246"/>
      <c r="AN48" s="246"/>
      <c r="AO48" s="246"/>
      <c r="AP48" s="246"/>
      <c r="AQ48" s="246"/>
      <c r="AR48" s="246"/>
      <c r="AS48" s="246"/>
      <c r="AT48" s="248"/>
      <c r="AU48" s="246"/>
      <c r="AV48" s="246"/>
      <c r="AW48" s="246"/>
      <c r="AX48" s="246"/>
      <c r="AY48" s="246"/>
      <c r="AZ48" s="246"/>
      <c r="BA48" s="246"/>
      <c r="BB48" s="246"/>
      <c r="BC48" s="246"/>
      <c r="BD48" s="246"/>
      <c r="BE48" s="249"/>
      <c r="BF48" s="246"/>
      <c r="BG48" s="246"/>
      <c r="BH48" s="246"/>
      <c r="BI48" s="246"/>
      <c r="BJ48" s="246"/>
      <c r="BK48" s="246"/>
      <c r="BL48" s="246"/>
      <c r="BM48" s="246"/>
      <c r="BN48" s="246"/>
      <c r="BO48" s="246"/>
      <c r="BP48" s="246"/>
      <c r="BQ48" s="246"/>
      <c r="BR48" s="250"/>
      <c r="BS48" s="246"/>
      <c r="BT48" s="246"/>
      <c r="BU48" s="246"/>
      <c r="BV48" s="246"/>
      <c r="BW48" s="246"/>
      <c r="BX48" s="246"/>
      <c r="BY48" s="246"/>
      <c r="BZ48" s="246"/>
      <c r="CA48" s="246"/>
      <c r="CB48" s="246"/>
      <c r="CC48" s="251"/>
      <c r="CD48" s="246"/>
    </row>
    <row r="49" spans="1:82" ht="14">
      <c r="A49" s="194" t="s">
        <v>150</v>
      </c>
      <c r="B49" s="61"/>
      <c r="C49" s="252"/>
      <c r="I49" s="253"/>
      <c r="V49" s="252"/>
      <c r="AG49" s="253"/>
      <c r="AT49" s="252"/>
      <c r="BE49" s="253"/>
      <c r="BR49" s="40"/>
      <c r="CC49" s="10"/>
    </row>
    <row r="50" spans="1:82" ht="14">
      <c r="A50" s="181"/>
      <c r="B50" s="61"/>
      <c r="C50" s="252"/>
      <c r="I50" s="253"/>
      <c r="V50" s="252"/>
      <c r="AG50" s="253"/>
      <c r="AT50" s="252"/>
      <c r="BE50" s="253"/>
      <c r="BR50" s="40"/>
      <c r="CC50" s="10"/>
    </row>
    <row r="51" spans="1:82" ht="15">
      <c r="A51" s="254" t="s">
        <v>151</v>
      </c>
      <c r="B51" s="255"/>
      <c r="C51" s="256">
        <f t="shared" ref="C51:CC51" si="9">C52+C59+C66</f>
        <v>47.699999999999996</v>
      </c>
      <c r="D51" s="221">
        <f t="shared" si="9"/>
        <v>48.67868010075567</v>
      </c>
      <c r="E51" s="221">
        <f t="shared" si="9"/>
        <v>49.638443879093188</v>
      </c>
      <c r="F51" s="221">
        <f t="shared" si="9"/>
        <v>50.579733055163715</v>
      </c>
      <c r="G51" s="221">
        <f t="shared" si="9"/>
        <v>51.502977082118377</v>
      </c>
      <c r="H51" s="221">
        <f t="shared" si="9"/>
        <v>52.408593537720662</v>
      </c>
      <c r="I51" s="257">
        <f t="shared" si="9"/>
        <v>53.296988502185997</v>
      </c>
      <c r="J51" s="221">
        <f t="shared" si="9"/>
        <v>54.313724649458656</v>
      </c>
      <c r="K51" s="221">
        <f t="shared" ca="1" si="9"/>
        <v>55.476270017360349</v>
      </c>
      <c r="L51" s="221">
        <f t="shared" ca="1" si="9"/>
        <v>55.721245232977665</v>
      </c>
      <c r="M51" s="221">
        <f t="shared" ca="1" si="9"/>
        <v>56.866742827927808</v>
      </c>
      <c r="N51" s="221">
        <f t="shared" ca="1" si="9"/>
        <v>57.994854723125961</v>
      </c>
      <c r="O51" s="221">
        <f t="shared" ca="1" si="9"/>
        <v>59.105898048998625</v>
      </c>
      <c r="P51" s="221">
        <f t="shared" ca="1" si="9"/>
        <v>60.200183053213507</v>
      </c>
      <c r="Q51" s="221">
        <f t="shared" ca="1" si="9"/>
        <v>61.679146777328619</v>
      </c>
      <c r="R51" s="221">
        <f t="shared" ca="1" si="9"/>
        <v>63.134030336650767</v>
      </c>
      <c r="S51" s="221">
        <f t="shared" ca="1" si="9"/>
        <v>64.565322171618362</v>
      </c>
      <c r="T51" s="221">
        <f t="shared" ca="1" si="9"/>
        <v>65.973498706420045</v>
      </c>
      <c r="U51" s="221">
        <f t="shared" ca="1" si="9"/>
        <v>67.359024692588065</v>
      </c>
      <c r="V51" s="256">
        <f t="shared" ca="1" si="9"/>
        <v>68.872644420498091</v>
      </c>
      <c r="W51" s="221">
        <f t="shared" ca="1" si="9"/>
        <v>70.368846391959579</v>
      </c>
      <c r="X51" s="221">
        <f t="shared" ca="1" si="9"/>
        <v>71.847875933592093</v>
      </c>
      <c r="Y51" s="221">
        <f t="shared" ca="1" si="9"/>
        <v>73.309974251250907</v>
      </c>
      <c r="Z51" s="221">
        <f t="shared" ca="1" si="9"/>
        <v>74.75537851272486</v>
      </c>
      <c r="AA51" s="221">
        <f t="shared" ca="1" si="9"/>
        <v>76.184321928448043</v>
      </c>
      <c r="AB51" s="221">
        <f t="shared" ca="1" si="9"/>
        <v>77.597033830280992</v>
      </c>
      <c r="AC51" s="221">
        <f t="shared" ca="1" si="9"/>
        <v>79.1943064990446</v>
      </c>
      <c r="AD51" s="221">
        <f t="shared" ca="1" si="9"/>
        <v>80.772565863024965</v>
      </c>
      <c r="AE51" s="221">
        <f t="shared" ca="1" si="9"/>
        <v>82.332101173450582</v>
      </c>
      <c r="AF51" s="221">
        <f t="shared" ca="1" si="9"/>
        <v>83.873196171775021</v>
      </c>
      <c r="AG51" s="257">
        <f t="shared" ca="1" si="9"/>
        <v>85.396129218337336</v>
      </c>
      <c r="AH51" s="221">
        <f t="shared" ca="1" si="9"/>
        <v>87.057261156444056</v>
      </c>
      <c r="AI51" s="221">
        <f t="shared" ca="1" si="9"/>
        <v>88.704218435428828</v>
      </c>
      <c r="AJ51" s="221">
        <f t="shared" ca="1" si="9"/>
        <v>90.337128542136696</v>
      </c>
      <c r="AK51" s="221">
        <f t="shared" ca="1" si="9"/>
        <v>91.95611820018901</v>
      </c>
      <c r="AL51" s="221">
        <f t="shared" ca="1" si="9"/>
        <v>93.561313356519108</v>
      </c>
      <c r="AM51" s="221">
        <f t="shared" ca="1" si="9"/>
        <v>95.152839168786272</v>
      </c>
      <c r="AN51" s="221">
        <f t="shared" ca="1" si="9"/>
        <v>96.730819993634839</v>
      </c>
      <c r="AO51" s="221">
        <f t="shared" ca="1" si="9"/>
        <v>98.295379375766686</v>
      </c>
      <c r="AP51" s="221">
        <f t="shared" ca="1" si="9"/>
        <v>99.846640037796007</v>
      </c>
      <c r="AQ51" s="221">
        <f t="shared" ca="1" si="9"/>
        <v>101.38472387085632</v>
      </c>
      <c r="AR51" s="221">
        <f t="shared" ca="1" si="9"/>
        <v>102.90975192593103</v>
      </c>
      <c r="AS51" s="221">
        <f t="shared" ca="1" si="9"/>
        <v>104.42184440587961</v>
      </c>
      <c r="AT51" s="256">
        <f t="shared" ca="1" si="9"/>
        <v>105.98619497218441</v>
      </c>
      <c r="AU51" s="221">
        <f t="shared" ca="1" si="9"/>
        <v>107.54102461487778</v>
      </c>
      <c r="AV51" s="221">
        <f t="shared" ca="1" si="9"/>
        <v>109.08633181582121</v>
      </c>
      <c r="AW51" s="221">
        <f t="shared" ca="1" si="9"/>
        <v>110.6221177393241</v>
      </c>
      <c r="AX51" s="221">
        <f t="shared" ca="1" si="9"/>
        <v>112.14838612407179</v>
      </c>
      <c r="AY51" s="221">
        <f t="shared" ca="1" si="9"/>
        <v>113.66514317860657</v>
      </c>
      <c r="AZ51" s="221">
        <f t="shared" ca="1" si="9"/>
        <v>115.17239748025163</v>
      </c>
      <c r="BA51" s="221">
        <f t="shared" ca="1" si="9"/>
        <v>117.17157675394549</v>
      </c>
      <c r="BB51" s="221">
        <f t="shared" ca="1" si="9"/>
        <v>119.15576156236899</v>
      </c>
      <c r="BC51" s="221">
        <f t="shared" ca="1" si="9"/>
        <v>121.12505325928008</v>
      </c>
      <c r="BD51" s="221">
        <f t="shared" ca="1" si="9"/>
        <v>123.07955338313256</v>
      </c>
      <c r="BE51" s="257">
        <f t="shared" ca="1" si="9"/>
        <v>125.01936361761382</v>
      </c>
      <c r="BF51" s="221">
        <f t="shared" ca="1" si="9"/>
        <v>127.05792665786053</v>
      </c>
      <c r="BG51" s="221">
        <f t="shared" ca="1" si="9"/>
        <v>129.08162571696278</v>
      </c>
      <c r="BH51" s="221">
        <f t="shared" ca="1" si="9"/>
        <v>132.89058287034302</v>
      </c>
      <c r="BI51" s="221">
        <f t="shared" ca="1" si="9"/>
        <v>136.66700915204603</v>
      </c>
      <c r="BJ51" s="221">
        <f t="shared" ca="1" si="9"/>
        <v>142.21126882223453</v>
      </c>
      <c r="BK51" s="221">
        <f t="shared" ca="1" si="9"/>
        <v>149.50608071737631</v>
      </c>
      <c r="BL51" s="221">
        <f t="shared" ca="1" si="9"/>
        <v>156.7343982929919</v>
      </c>
      <c r="BM51" s="221">
        <f t="shared" ca="1" si="9"/>
        <v>182.74521918460721</v>
      </c>
      <c r="BN51" s="221">
        <f t="shared" ca="1" si="9"/>
        <v>208.50090187639017</v>
      </c>
      <c r="BO51" s="221">
        <f t="shared" ca="1" si="9"/>
        <v>234.00484456918196</v>
      </c>
      <c r="BP51" s="221">
        <f t="shared" ca="1" si="9"/>
        <v>259.26038571400659</v>
      </c>
      <c r="BQ51" s="221">
        <f t="shared" ca="1" si="9"/>
        <v>284.2708052858585</v>
      </c>
      <c r="BR51" s="258">
        <f t="shared" ca="1" si="9"/>
        <v>309.00770621985288</v>
      </c>
      <c r="BS51" s="221">
        <f t="shared" ca="1" si="9"/>
        <v>334.40164577001048</v>
      </c>
      <c r="BT51" s="221">
        <f t="shared" ca="1" si="9"/>
        <v>359.54646098174334</v>
      </c>
      <c r="BU51" s="221">
        <f t="shared" ca="1" si="9"/>
        <v>385.25524138822345</v>
      </c>
      <c r="BV51" s="221">
        <f t="shared" ca="1" si="9"/>
        <v>410.71383063079202</v>
      </c>
      <c r="BW51" s="221">
        <f t="shared" ca="1" si="9"/>
        <v>435.92530103672721</v>
      </c>
      <c r="BX51" s="221">
        <f t="shared" ca="1" si="9"/>
        <v>463.50267975991852</v>
      </c>
      <c r="BY51" s="221">
        <f t="shared" ca="1" si="9"/>
        <v>534.77093571917169</v>
      </c>
      <c r="BZ51" s="221">
        <f t="shared" ca="1" si="9"/>
        <v>606.26658815307633</v>
      </c>
      <c r="CA51" s="221">
        <f t="shared" ca="1" si="9"/>
        <v>677.08856658306695</v>
      </c>
      <c r="CB51" s="221">
        <f t="shared" ca="1" si="9"/>
        <v>749.04467138507539</v>
      </c>
      <c r="CC51" s="259">
        <f t="shared" ca="1" si="9"/>
        <v>820.32423672062737</v>
      </c>
      <c r="CD51" s="224"/>
    </row>
    <row r="52" spans="1:82" ht="15">
      <c r="A52" s="243" t="s">
        <v>141</v>
      </c>
      <c r="B52" s="241"/>
      <c r="C52" s="227">
        <f t="shared" ref="C52:CC52" si="10">C53+C54+C55</f>
        <v>15</v>
      </c>
      <c r="D52" s="228">
        <f t="shared" si="10"/>
        <v>15.298949622166246</v>
      </c>
      <c r="E52" s="228">
        <f t="shared" si="10"/>
        <v>15.59490974811083</v>
      </c>
      <c r="F52" s="228">
        <f t="shared" si="10"/>
        <v>15.887910272795967</v>
      </c>
      <c r="G52" s="228">
        <f t="shared" si="10"/>
        <v>16.177980792234255</v>
      </c>
      <c r="H52" s="228">
        <f t="shared" si="10"/>
        <v>16.465150606478158</v>
      </c>
      <c r="I52" s="229">
        <f t="shared" si="10"/>
        <v>16.749448722579622</v>
      </c>
      <c r="J52" s="228">
        <f t="shared" si="10"/>
        <v>17.125623157987903</v>
      </c>
      <c r="K52" s="228">
        <f t="shared" ca="1" si="10"/>
        <v>17.538901548038861</v>
      </c>
      <c r="L52" s="228">
        <f t="shared" ca="1" si="10"/>
        <v>17.723873710969411</v>
      </c>
      <c r="M52" s="228">
        <f t="shared" ca="1" si="10"/>
        <v>18.132366096596517</v>
      </c>
      <c r="N52" s="228">
        <f t="shared" ca="1" si="10"/>
        <v>18.537590543138606</v>
      </c>
      <c r="O52" s="228">
        <f t="shared" ca="1" si="10"/>
        <v>18.939573194108359</v>
      </c>
      <c r="P52" s="228">
        <f t="shared" ca="1" si="10"/>
        <v>19.338339983870355</v>
      </c>
      <c r="Q52" s="228">
        <f t="shared" ca="1" si="10"/>
        <v>19.834200014629115</v>
      </c>
      <c r="R52" s="228">
        <f t="shared" ca="1" si="10"/>
        <v>20.326093165141803</v>
      </c>
      <c r="S52" s="228">
        <f t="shared" ca="1" si="10"/>
        <v>20.814051170450391</v>
      </c>
      <c r="T52" s="228">
        <f t="shared" ca="1" si="10"/>
        <v>21.298105511716511</v>
      </c>
      <c r="U52" s="228">
        <f t="shared" ca="1" si="10"/>
        <v>21.7782874182525</v>
      </c>
      <c r="V52" s="227">
        <f t="shared" ca="1" si="10"/>
        <v>22.428297794498651</v>
      </c>
      <c r="W52" s="228">
        <f t="shared" ca="1" si="10"/>
        <v>23.074408108487326</v>
      </c>
      <c r="X52" s="228">
        <f t="shared" ca="1" si="10"/>
        <v>23.716641760592069</v>
      </c>
      <c r="Y52" s="228">
        <f t="shared" ca="1" si="10"/>
        <v>24.355022010784182</v>
      </c>
      <c r="Z52" s="228">
        <f t="shared" ca="1" si="10"/>
        <v>24.989571979475144</v>
      </c>
      <c r="AA52" s="228">
        <f t="shared" ca="1" si="10"/>
        <v>25.620314648353961</v>
      </c>
      <c r="AB52" s="228">
        <f t="shared" ca="1" si="10"/>
        <v>26.247272861219503</v>
      </c>
      <c r="AC52" s="228">
        <f t="shared" ca="1" si="10"/>
        <v>26.93063934999677</v>
      </c>
      <c r="AD52" s="228">
        <f t="shared" ca="1" si="10"/>
        <v>27.609905639841372</v>
      </c>
      <c r="AE52" s="228">
        <f t="shared" ca="1" si="10"/>
        <v>28.285096331946907</v>
      </c>
      <c r="AF52" s="228">
        <f t="shared" ca="1" si="10"/>
        <v>28.956235879899808</v>
      </c>
      <c r="AG52" s="229">
        <f t="shared" ca="1" si="10"/>
        <v>29.623348590564994</v>
      </c>
      <c r="AH52" s="228">
        <f t="shared" ca="1" si="10"/>
        <v>30.456223661214182</v>
      </c>
      <c r="AI52" s="228">
        <f t="shared" ca="1" si="10"/>
        <v>31.284934356510124</v>
      </c>
      <c r="AJ52" s="228">
        <f t="shared" ca="1" si="10"/>
        <v>32.109501498329593</v>
      </c>
      <c r="AK52" s="228">
        <f t="shared" ca="1" si="10"/>
        <v>32.92994580443996</v>
      </c>
      <c r="AL52" s="228">
        <f t="shared" ca="1" si="10"/>
        <v>33.746287889019776</v>
      </c>
      <c r="AM52" s="228">
        <f t="shared" ca="1" si="10"/>
        <v>34.558548263176696</v>
      </c>
      <c r="AN52" s="228">
        <f t="shared" ca="1" si="10"/>
        <v>35.366747335462833</v>
      </c>
      <c r="AO52" s="228">
        <f t="shared" ca="1" si="10"/>
        <v>36.170905412387533</v>
      </c>
      <c r="AP52" s="228">
        <f t="shared" ca="1" si="10"/>
        <v>36.971042698927612</v>
      </c>
      <c r="AQ52" s="228">
        <f t="shared" ca="1" si="10"/>
        <v>37.767179299034993</v>
      </c>
      <c r="AR52" s="228">
        <f t="shared" ca="1" si="10"/>
        <v>38.559335216141832</v>
      </c>
      <c r="AS52" s="228">
        <f t="shared" ca="1" si="10"/>
        <v>39.347530353663139</v>
      </c>
      <c r="AT52" s="227">
        <f t="shared" ca="1" si="10"/>
        <v>40.271926203154266</v>
      </c>
      <c r="AU52" s="228">
        <f t="shared" ca="1" si="10"/>
        <v>41.191700073397939</v>
      </c>
      <c r="AV52" s="228">
        <f t="shared" ca="1" si="10"/>
        <v>42.106875074290393</v>
      </c>
      <c r="AW52" s="228">
        <f t="shared" ca="1" si="10"/>
        <v>43.017474200178384</v>
      </c>
      <c r="AX52" s="228">
        <f t="shared" ca="1" si="10"/>
        <v>43.923520330436936</v>
      </c>
      <c r="AY52" s="228">
        <f t="shared" ca="1" si="10"/>
        <v>44.825036230044198</v>
      </c>
      <c r="AZ52" s="228">
        <f t="shared" ca="1" si="10"/>
        <v>45.72204455015342</v>
      </c>
      <c r="BA52" s="228">
        <f t="shared" ca="1" si="10"/>
        <v>46.815134579291822</v>
      </c>
      <c r="BB52" s="228">
        <f t="shared" ca="1" si="10"/>
        <v>47.902759158284532</v>
      </c>
      <c r="BC52" s="228">
        <f t="shared" ca="1" si="10"/>
        <v>48.984945614382276</v>
      </c>
      <c r="BD52" s="228">
        <f t="shared" ca="1" si="10"/>
        <v>50.06172113819953</v>
      </c>
      <c r="BE52" s="229">
        <f t="shared" ca="1" si="10"/>
        <v>51.133112784397703</v>
      </c>
      <c r="BF52" s="228">
        <f t="shared" ca="1" si="10"/>
        <v>52.364360003851033</v>
      </c>
      <c r="BG52" s="228">
        <f t="shared" ca="1" si="10"/>
        <v>53.589450987207094</v>
      </c>
      <c r="BH52" s="228">
        <f t="shared" ca="1" si="10"/>
        <v>55.573416515646379</v>
      </c>
      <c r="BI52" s="228">
        <f t="shared" ca="1" si="10"/>
        <v>57.547462216443471</v>
      </c>
      <c r="BJ52" s="228">
        <f t="shared" ca="1" si="10"/>
        <v>60.321637688736566</v>
      </c>
      <c r="BK52" s="228">
        <f t="shared" ca="1" si="10"/>
        <v>63.8919422836682</v>
      </c>
      <c r="BL52" s="228">
        <f t="shared" ca="1" si="10"/>
        <v>67.444395355625176</v>
      </c>
      <c r="BM52" s="228">
        <f t="shared" ca="1" si="10"/>
        <v>78.533143152146792</v>
      </c>
      <c r="BN52" s="228">
        <f t="shared" ca="1" si="10"/>
        <v>89.566447209685805</v>
      </c>
      <c r="BO52" s="228">
        <f t="shared" ca="1" si="10"/>
        <v>100.54458474693712</v>
      </c>
      <c r="BP52" s="228">
        <f t="shared" ca="1" si="10"/>
        <v>111.46783159650218</v>
      </c>
      <c r="BQ52" s="228">
        <f t="shared" ca="1" si="10"/>
        <v>122.33646221181941</v>
      </c>
      <c r="BR52" s="230">
        <f t="shared" ca="1" si="10"/>
        <v>133.15074967406008</v>
      </c>
      <c r="BS52" s="228">
        <f t="shared" ca="1" si="10"/>
        <v>144.2709656989895</v>
      </c>
      <c r="BT52" s="228">
        <f t="shared" ca="1" si="10"/>
        <v>155.33558064379429</v>
      </c>
      <c r="BU52" s="228">
        <f t="shared" ca="1" si="10"/>
        <v>166.7048725138751</v>
      </c>
      <c r="BV52" s="228">
        <f t="shared" ca="1" si="10"/>
        <v>178.01731792460544</v>
      </c>
      <c r="BW52" s="228">
        <f t="shared" ca="1" si="10"/>
        <v>189.27320110828217</v>
      </c>
      <c r="BX52" s="228">
        <f t="shared" ca="1" si="10"/>
        <v>201.55280487604048</v>
      </c>
      <c r="BY52" s="228">
        <f t="shared" ca="1" si="10"/>
        <v>232.98827669455608</v>
      </c>
      <c r="BZ52" s="228">
        <f t="shared" ca="1" si="10"/>
        <v>264.67157115397913</v>
      </c>
      <c r="CA52" s="228">
        <f t="shared" ca="1" si="10"/>
        <v>296.19644914110501</v>
      </c>
      <c r="CB52" s="228">
        <f t="shared" ca="1" si="10"/>
        <v>328.28370273829529</v>
      </c>
      <c r="CC52" s="231">
        <f t="shared" ca="1" si="10"/>
        <v>360.2105200674996</v>
      </c>
      <c r="CD52" s="260"/>
    </row>
    <row r="53" spans="1:82" ht="14" outlineLevel="1">
      <c r="A53" s="233" t="s">
        <v>142</v>
      </c>
      <c r="B53" s="61"/>
      <c r="C53" s="234">
        <v>15</v>
      </c>
      <c r="D53" s="235">
        <f>C53*(1-'Annexe G  Evolution Portefeuill'!$C$20)+C$93*'Annexe B  Plan commercial'!$B$5*Hypothèses!$B$54</f>
        <v>15.298949622166246</v>
      </c>
      <c r="E53" s="235">
        <f>D53*(1-'Annexe G  Evolution Portefeuill'!$C$20)+D$93*'Annexe B  Plan commercial'!$B$5*Hypothèses!$B$54</f>
        <v>15.59490974811083</v>
      </c>
      <c r="F53" s="235">
        <f>E53*(1-'Annexe G  Evolution Portefeuill'!$C$20)+E$93*'Annexe B  Plan commercial'!$B$5*Hypothèses!$B$54</f>
        <v>15.887910272795967</v>
      </c>
      <c r="G53" s="235">
        <f>F53*(1-'Annexe G  Evolution Portefeuill'!$C$20)+F$93*'Annexe B  Plan commercial'!$B$5*Hypothèses!$B$54</f>
        <v>16.177980792234255</v>
      </c>
      <c r="H53" s="235">
        <f>G53*(1-'Annexe G  Evolution Portefeuill'!$C$20)+G$93*'Annexe B  Plan commercial'!$B$5*Hypothèses!$B$54</f>
        <v>16.465150606478158</v>
      </c>
      <c r="I53" s="236">
        <f>H53*(1-'Annexe G  Evolution Portefeuill'!$C$20)+H$93*'Annexe B  Plan commercial'!$B$5*Hypothèses!$B$54</f>
        <v>16.749448722579622</v>
      </c>
      <c r="J53" s="235">
        <f>I53*(1-'Annexe G  Evolution Portefeuill'!$D$20)+I$93*'Annexe B  Plan commercial'!$C$5*Hypothèses!$C$54</f>
        <v>17.125623157987903</v>
      </c>
      <c r="K53" s="235">
        <f ca="1">J53*(1-'Annexe G  Evolution Portefeuill'!$D$20)+J$93*'Annexe B  Plan commercial'!$C$5*Hypothèses!$C$54</f>
        <v>17.538901548038861</v>
      </c>
      <c r="L53" s="235">
        <f ca="1">K53*(1-'Annexe G  Evolution Portefeuill'!$D$20)+K$93*'Annexe B  Plan commercial'!$C$5*Hypothèses!$C$54</f>
        <v>17.723873710969411</v>
      </c>
      <c r="M53" s="235">
        <f ca="1">L53*(1-'Annexe G  Evolution Portefeuill'!$D$20)+L$93*'Annexe B  Plan commercial'!$C$5*Hypothèses!$C$54</f>
        <v>18.132366096596517</v>
      </c>
      <c r="N53" s="235">
        <f ca="1">M53*(1-'Annexe G  Evolution Portefeuill'!$D$20)+M$93*'Annexe B  Plan commercial'!$C$5*Hypothèses!$C$54</f>
        <v>18.537590543138606</v>
      </c>
      <c r="O53" s="235">
        <f ca="1">N53*(1-'Annexe G  Evolution Portefeuill'!$D$20)+N$93*'Annexe B  Plan commercial'!$C$5*Hypothèses!$C$54</f>
        <v>18.939573194108359</v>
      </c>
      <c r="P53" s="235">
        <f ca="1">O53*(1-'Annexe G  Evolution Portefeuill'!$D$20)+O$93*'Annexe B  Plan commercial'!$C$5*Hypothèses!$C$54</f>
        <v>19.338339983870355</v>
      </c>
      <c r="Q53" s="235">
        <f ca="1">P53*(1-'Annexe G  Evolution Portefeuill'!$D$20)+P$93*'Annexe B  Plan commercial'!$C$5*Hypothèses!$C$54</f>
        <v>19.834200014629115</v>
      </c>
      <c r="R53" s="235">
        <f ca="1">Q53*(1-'Annexe G  Evolution Portefeuill'!$D$20)+Q$93*'Annexe B  Plan commercial'!$C$5*Hypothèses!$C$54</f>
        <v>20.326093165141803</v>
      </c>
      <c r="S53" s="235">
        <f ca="1">R53*(1-'Annexe G  Evolution Portefeuill'!$D$20)+R$93*'Annexe B  Plan commercial'!$C$5*Hypothèses!$C$54</f>
        <v>20.814051170450391</v>
      </c>
      <c r="T53" s="235">
        <f ca="1">S53*(1-'Annexe G  Evolution Portefeuill'!$D$20)+S$93*'Annexe B  Plan commercial'!$C$5*Hypothèses!$C$54</f>
        <v>21.298105511716511</v>
      </c>
      <c r="U53" s="235">
        <f ca="1">T53*(1-'Annexe G  Evolution Portefeuill'!$D$20)+T$93*'Annexe B  Plan commercial'!$C$5*Hypothèses!$C$54</f>
        <v>21.7782874182525</v>
      </c>
      <c r="V53" s="237">
        <f ca="1">U53*(1-'Annexe G  Evolution Portefeuill'!$E$20)+U$93*'Annexe B  Plan commercial'!$D$5*Hypothèses!$D$54</f>
        <v>22.428297794498651</v>
      </c>
      <c r="W53" s="235">
        <f ca="1">V53*(1-'Annexe G  Evolution Portefeuill'!$E$20)+V$93*'Annexe B  Plan commercial'!$D$5*Hypothèses!$D$54</f>
        <v>23.074408108487326</v>
      </c>
      <c r="X53" s="235">
        <f ca="1">W53*(1-'Annexe G  Evolution Portefeuill'!$E$20)+W$93*'Annexe B  Plan commercial'!$D$5*Hypothèses!$D$54</f>
        <v>23.716641760592069</v>
      </c>
      <c r="Y53" s="235">
        <f ca="1">X53*(1-'Annexe G  Evolution Portefeuill'!$E$20)+X$93*'Annexe B  Plan commercial'!$D$5*Hypothèses!$D$54</f>
        <v>24.355022010784182</v>
      </c>
      <c r="Z53" s="235">
        <f ca="1">Y53*(1-'Annexe G  Evolution Portefeuill'!$E$20)+Y$93*'Annexe B  Plan commercial'!$D$5*Hypothèses!$D$54</f>
        <v>24.989571979475144</v>
      </c>
      <c r="AA53" s="235">
        <f ca="1">Z53*(1-'Annexe G  Evolution Portefeuill'!$E$20)+Z$93*'Annexe B  Plan commercial'!$D$5*Hypothèses!$D$54</f>
        <v>25.620314648353961</v>
      </c>
      <c r="AB53" s="235">
        <f ca="1">AA53*(1-'Annexe G  Evolution Portefeuill'!$E$20)+AA$93*'Annexe B  Plan commercial'!$D$5*Hypothèses!$D$54</f>
        <v>26.247272861219503</v>
      </c>
      <c r="AC53" s="235">
        <f ca="1">AB53*(1-'Annexe G  Evolution Portefeuill'!$E$20)+AB$93*'Annexe B  Plan commercial'!$D$5*Hypothèses!$D$54</f>
        <v>26.93063934999677</v>
      </c>
      <c r="AD53" s="235">
        <f ca="1">AC53*(1-'Annexe G  Evolution Portefeuill'!$E$20)+AC$93*'Annexe B  Plan commercial'!$D$5*Hypothèses!$D$54</f>
        <v>27.609905639841372</v>
      </c>
      <c r="AE53" s="235">
        <f ca="1">AD53*(1-'Annexe G  Evolution Portefeuill'!$E$20)+AD$93*'Annexe B  Plan commercial'!$D$5*Hypothèses!$D$54</f>
        <v>28.285096331946907</v>
      </c>
      <c r="AF53" s="235">
        <f ca="1">AE53*(1-'Annexe G  Evolution Portefeuill'!$E$20)+AE$93*'Annexe B  Plan commercial'!$D$5*Hypothèses!$D$54</f>
        <v>28.956235879899808</v>
      </c>
      <c r="AG53" s="236">
        <f ca="1">AF53*(1-'Annexe G  Evolution Portefeuill'!$E$20)+AF$93*'Annexe B  Plan commercial'!$D$5*Hypothèses!$D$54</f>
        <v>29.623348590564994</v>
      </c>
      <c r="AH53" s="235">
        <f ca="1">AG53*(1-'Annexe G  Evolution Portefeuill'!$F$20)+AG$93*'Annexe B  Plan commercial'!$E$5*Hypothèses!$E$54</f>
        <v>30.456223661214182</v>
      </c>
      <c r="AI53" s="235">
        <f ca="1">AH53*(1-'Annexe G  Evolution Portefeuill'!$F$20)+AH$93*'Annexe B  Plan commercial'!$E$5*Hypothèses!$E$54</f>
        <v>31.284934356510124</v>
      </c>
      <c r="AJ53" s="235">
        <f ca="1">AI53*(1-'Annexe G  Evolution Portefeuill'!$F$20)+AI$93*'Annexe B  Plan commercial'!$E$5*Hypothèses!$E$54</f>
        <v>32.109501498329593</v>
      </c>
      <c r="AK53" s="235">
        <f ca="1">AJ53*(1-'Annexe G  Evolution Portefeuill'!$F$20)+AJ$93*'Annexe B  Plan commercial'!$E$5*Hypothèses!$E$54</f>
        <v>32.92994580443996</v>
      </c>
      <c r="AL53" s="235">
        <f ca="1">AK53*(1-'Annexe G  Evolution Portefeuill'!$F$20)+AK$93*'Annexe B  Plan commercial'!$E$5*Hypothèses!$E$54</f>
        <v>33.746287889019776</v>
      </c>
      <c r="AM53" s="235">
        <f ca="1">AL53*(1-'Annexe G  Evolution Portefeuill'!$F$20)+AL$93*'Annexe B  Plan commercial'!$E$5*Hypothèses!$E$54</f>
        <v>34.558548263176696</v>
      </c>
      <c r="AN53" s="235">
        <f ca="1">AM53*(1-'Annexe G  Evolution Portefeuill'!$F$20)+AM$93*'Annexe B  Plan commercial'!$E$5*Hypothèses!$E$54</f>
        <v>35.366747335462833</v>
      </c>
      <c r="AO53" s="235">
        <f ca="1">AN53*(1-'Annexe G  Evolution Portefeuill'!$F$20)+AN$93*'Annexe B  Plan commercial'!$E$5*Hypothèses!$E$54</f>
        <v>36.170905412387533</v>
      </c>
      <c r="AP53" s="235">
        <f ca="1">AO53*(1-'Annexe G  Evolution Portefeuill'!$F$20)+AO$93*'Annexe B  Plan commercial'!$E$5*Hypothèses!$E$54</f>
        <v>36.971042698927612</v>
      </c>
      <c r="AQ53" s="235">
        <f ca="1">AP53*(1-'Annexe G  Evolution Portefeuill'!$F$20)+AP$93*'Annexe B  Plan commercial'!$E$5*Hypothèses!$E$54</f>
        <v>37.767179299034993</v>
      </c>
      <c r="AR53" s="235">
        <f ca="1">AQ53*(1-'Annexe G  Evolution Portefeuill'!$F$20)+AQ$93*'Annexe B  Plan commercial'!$E$5*Hypothèses!$E$54</f>
        <v>38.559335216141832</v>
      </c>
      <c r="AS53" s="235">
        <f ca="1">AR53*(1-'Annexe G  Evolution Portefeuill'!$F$20)+AR$93*'Annexe B  Plan commercial'!$E$5*Hypothèses!$E$54</f>
        <v>39.347530353663139</v>
      </c>
      <c r="AT53" s="237">
        <f ca="1">AS53*(1-'Annexe G  Evolution Portefeuill'!$G$20)+AS$93*'Annexe B  Plan commercial'!$F$5*Hypothèses!$F$54</f>
        <v>40.271926203154266</v>
      </c>
      <c r="AU53" s="235">
        <f ca="1">AT53*(1-'Annexe G  Evolution Portefeuill'!$G$20)+AT$93*'Annexe B  Plan commercial'!$F$5*Hypothèses!$F$54</f>
        <v>41.191700073397939</v>
      </c>
      <c r="AV53" s="235">
        <f ca="1">AU53*(1-'Annexe G  Evolution Portefeuill'!$G$20)+AU$93*'Annexe B  Plan commercial'!$F$5*Hypothèses!$F$54</f>
        <v>42.106875074290393</v>
      </c>
      <c r="AW53" s="235">
        <f ca="1">AV53*(1-'Annexe G  Evolution Portefeuill'!$G$20)+AV$93*'Annexe B  Plan commercial'!$F$5*Hypothèses!$F$54</f>
        <v>43.017474200178384</v>
      </c>
      <c r="AX53" s="235">
        <f ca="1">AW53*(1-'Annexe G  Evolution Portefeuill'!$G$20)+AW$93*'Annexe B  Plan commercial'!$F$5*Hypothèses!$F$54</f>
        <v>43.923520330436936</v>
      </c>
      <c r="AY53" s="235">
        <f ca="1">AX53*(1-'Annexe G  Evolution Portefeuill'!$G$20)+AX$93*'Annexe B  Plan commercial'!$F$5*Hypothèses!$F$54</f>
        <v>44.825036230044198</v>
      </c>
      <c r="AZ53" s="235">
        <f ca="1">AY53*(1-'Annexe G  Evolution Portefeuill'!$G$20)+AY$93*'Annexe B  Plan commercial'!$F$5*Hypothèses!$F$54</f>
        <v>45.72204455015342</v>
      </c>
      <c r="BA53" s="235">
        <f ca="1">AZ53*(1-'Annexe G  Evolution Portefeuill'!$G$20)+AZ$93*'Annexe B  Plan commercial'!$F$5*Hypothèses!$F$54</f>
        <v>46.815134579291822</v>
      </c>
      <c r="BB53" s="235">
        <f ca="1">BA53*(1-'Annexe G  Evolution Portefeuill'!$G$20)+BA$93*'Annexe B  Plan commercial'!$F$5*Hypothèses!$F$54</f>
        <v>47.902759158284532</v>
      </c>
      <c r="BC53" s="235">
        <f ca="1">BB53*(1-'Annexe G  Evolution Portefeuill'!$G$20)+BB$93*'Annexe B  Plan commercial'!$F$5*Hypothèses!$F$54</f>
        <v>48.984945614382276</v>
      </c>
      <c r="BD53" s="235">
        <f ca="1">BC53*(1-'Annexe G  Evolution Portefeuill'!$G$20)+BC$93*'Annexe B  Plan commercial'!$F$5*Hypothèses!$F$54</f>
        <v>50.06172113819953</v>
      </c>
      <c r="BE53" s="236">
        <f ca="1">BD53*(1-'Annexe G  Evolution Portefeuill'!$G$20)+BD$93*'Annexe B  Plan commercial'!$F$5*Hypothèses!$F$54</f>
        <v>51.133112784397703</v>
      </c>
      <c r="BF53" s="235">
        <f ca="1">BE53*(1-'Annexe G  Evolution Portefeuill'!$H$20)+BE$93*'Annexe B  Plan commercial'!$G$5*Hypothèses!$G$54</f>
        <v>52.364360003851033</v>
      </c>
      <c r="BG53" s="235">
        <f ca="1">BF53*(1-'Annexe G  Evolution Portefeuill'!$H$20)+BF$93*'Annexe B  Plan commercial'!$G$5*Hypothèses!$G$54</f>
        <v>53.589450987207094</v>
      </c>
      <c r="BH53" s="235">
        <f ca="1">BG53*(1-'Annexe G  Evolution Portefeuill'!$H$20)+BG$93*'Annexe B  Plan commercial'!$G$5*Hypothèses!$G$54</f>
        <v>55.213416515646379</v>
      </c>
      <c r="BI53" s="235">
        <f ca="1">BH53*(1-'Annexe G  Evolution Portefeuill'!$H$20)+BH$93*'Annexe B  Plan commercial'!$G$5*Hypothèses!$G$54</f>
        <v>56.829262216443468</v>
      </c>
      <c r="BJ53" s="235">
        <f ca="1">BI53*(1-'Annexe G  Evolution Portefeuill'!$H$20)+BI$93*'Annexe B  Plan commercial'!$G$5*Hypothèses!$G$54</f>
        <v>59.247028688736563</v>
      </c>
      <c r="BK53" s="235">
        <f ca="1">BJ53*(1-'Annexe G  Evolution Portefeuill'!$H$20)+BJ$93*'Annexe B  Plan commercial'!$G$5*Hypothèses!$G$54</f>
        <v>62.462706328668197</v>
      </c>
      <c r="BL53" s="235">
        <f ca="1">BK53*(1-'Annexe G  Evolution Portefeuill'!$H$20)+BK$93*'Annexe B  Plan commercial'!$G$5*Hypothèses!$G$54</f>
        <v>65.662305580400172</v>
      </c>
      <c r="BM53" s="235">
        <f ca="1">BL53*(1-'Annexe G  Evolution Portefeuill'!$H$20)+BL$93*'Annexe B  Plan commercial'!$G$5*Hypothèses!$G$54</f>
        <v>68.978994052498166</v>
      </c>
      <c r="BN53" s="235">
        <f ca="1">BM53*(1-'Annexe G  Evolution Portefeuill'!$H$20)+BM$93*'Annexe B  Plan commercial'!$G$5*Hypothèses!$G$54</f>
        <v>72.279099082235675</v>
      </c>
      <c r="BO53" s="235">
        <f ca="1">BN53*(1-'Annexe G  Evolution Portefeuill'!$H$20)+BN$93*'Annexe B  Plan commercial'!$G$5*Hypothèses!$G$54</f>
        <v>75.562703586824497</v>
      </c>
      <c r="BP53" s="235">
        <f ca="1">BO53*(1-'Annexe G  Evolution Portefeuill'!$H$20)+BO$93*'Annexe B  Plan commercial'!$G$5*Hypothèses!$G$54</f>
        <v>78.829890068890364</v>
      </c>
      <c r="BQ53" s="235">
        <f ca="1">BP53*(1-'Annexe G  Evolution Portefeuill'!$H$20)+BP$93*'Annexe B  Plan commercial'!$G$5*Hypothèses!$G$54</f>
        <v>82.080740618545903</v>
      </c>
      <c r="BR53" s="238">
        <f ca="1">BQ53*(1-'Annexe G  Evolution Portefeuill'!$I$20)+BQ$93*'Annexe B  Plan commercial'!$H$5*Hypothèses!$H$54</f>
        <v>85.315336915453173</v>
      </c>
      <c r="BS53" s="235">
        <f ca="1">BR53*(1-'Annexe G  Evolution Portefeuill'!$I$20)+BR$93*'Annexe B  Plan commercial'!$G$5*Hypothèses!$G$54</f>
        <v>88.533760230875899</v>
      </c>
      <c r="BT53" s="235">
        <f ca="1">BS53*(1-'Annexe G  Evolution Portefeuill'!$I$20)+BS$93*'Annexe B  Plan commercial'!$G$5*Hypothèses!$G$54</f>
        <v>91.736091429721512</v>
      </c>
      <c r="BU53" s="235">
        <f ca="1">BT53*(1-'Annexe G  Evolution Portefeuill'!$I$20)+BT$93*'Annexe B  Plan commercial'!$G$5*Hypothèses!$G$54</f>
        <v>94.922410972572905</v>
      </c>
      <c r="BV53" s="235">
        <f ca="1">BU53*(1-'Annexe G  Evolution Portefeuill'!$I$20)+BU$93*'Annexe B  Plan commercial'!$G$5*Hypothèses!$G$54</f>
        <v>98.092798917710041</v>
      </c>
      <c r="BW53" s="235">
        <f ca="1">BV53*(1-'Annexe G  Evolution Portefeuill'!$I$20)+BV$93*'Annexe B  Plan commercial'!$G$5*Hypothèses!$G$54</f>
        <v>101.24733492312149</v>
      </c>
      <c r="BX53" s="235">
        <f ca="1">BW53*(1-'Annexe G  Evolution Portefeuill'!$I$20)+BW$93*'Annexe B  Plan commercial'!$G$5*Hypothèses!$G$54</f>
        <v>104.38609824850587</v>
      </c>
      <c r="BY53" s="235">
        <f ca="1">BX53*(1-'Annexe G  Evolution Portefeuill'!$I$20)+BX$93*'Annexe B  Plan commercial'!$G$5*Hypothèses!$G$54</f>
        <v>111.11936926859836</v>
      </c>
      <c r="BZ53" s="235">
        <f ca="1">BY53*(1-'Annexe G  Evolution Portefeuill'!$I$20)+BY$93*'Annexe B  Plan commercial'!$G$5*Hypothèses!$G$54</f>
        <v>118.22397393359039</v>
      </c>
      <c r="CA53" s="235">
        <f ca="1">BZ53*(1-'Annexe G  Evolution Portefeuill'!$I$20)+BZ$93*'Annexe B  Plan commercial'!$G$5*Hypothèses!$G$54</f>
        <v>125.29305557525745</v>
      </c>
      <c r="CB53" s="235">
        <f ca="1">CA53*(1-'Annexe G  Evolution Portefeuill'!$I$20)+CA$93*'Annexe B  Plan commercial'!$G$5*Hypothèses!$G$54</f>
        <v>132.32679180871617</v>
      </c>
      <c r="CC53" s="239">
        <f ca="1">CB53*(1-'Annexe G  Evolution Portefeuill'!$I$20)+CB$93*'Annexe B  Plan commercial'!$G$5*Hypothèses!$G$54</f>
        <v>139.3253593610076</v>
      </c>
      <c r="CD53" s="261"/>
    </row>
    <row r="54" spans="1:82" ht="14" outlineLevel="1">
      <c r="A54" s="233" t="s">
        <v>143</v>
      </c>
      <c r="B54" s="61"/>
      <c r="C54" s="234">
        <v>0</v>
      </c>
      <c r="D54" s="235">
        <f>C54*(1-'Annexe G  Evolution Portefeuill'!$C$20)+C$94*'Annexe B  Plan commercial'!$B$11*Hypothèses!$B$55</f>
        <v>0</v>
      </c>
      <c r="E54" s="235">
        <f>D54*(1-'Annexe G  Evolution Portefeuill'!$C$20)+D$94*'Annexe B  Plan commercial'!$B$11*Hypothèses!$B$55</f>
        <v>0</v>
      </c>
      <c r="F54" s="235">
        <f>E54*(1-'Annexe G  Evolution Portefeuill'!$C$20)+E$94*'Annexe B  Plan commercial'!$B$11*Hypothèses!$B$55</f>
        <v>0</v>
      </c>
      <c r="G54" s="235">
        <f>F54*(1-'Annexe G  Evolution Portefeuill'!$C$20)+F$94*'Annexe B  Plan commercial'!$B$11*Hypothèses!$B$55</f>
        <v>0</v>
      </c>
      <c r="H54" s="235">
        <f>G54*(1-'Annexe G  Evolution Portefeuill'!$C$20)+G$94*'Annexe B  Plan commercial'!$B$11*Hypothèses!$B$55</f>
        <v>0</v>
      </c>
      <c r="I54" s="236">
        <f>H54*(1-'Annexe G  Evolution Portefeuill'!$C$20)+H$94*'Annexe B  Plan commercial'!$B$11*Hypothèses!$B$55</f>
        <v>0</v>
      </c>
      <c r="J54" s="235">
        <f>I54*(1-'Annexe G  Evolution Portefeuill'!$D$20)+I$94*'Annexe B  Plan commercial'!$C$11*Hypothèses!$C$55</f>
        <v>0</v>
      </c>
      <c r="K54" s="235">
        <f ca="1">J54*(1-'Annexe G  Evolution Portefeuill'!$D$20)+J$94*'Annexe B  Plan commercial'!$C$11*Hypothèses!$C$55</f>
        <v>0</v>
      </c>
      <c r="L54" s="235">
        <f ca="1">K54*(1-'Annexe G  Evolution Portefeuill'!$D$20)+K$94*'Annexe B  Plan commercial'!$C$11*Hypothèses!$C$55</f>
        <v>0</v>
      </c>
      <c r="M54" s="235">
        <f ca="1">L54*(1-'Annexe G  Evolution Portefeuill'!$D$20)+L$94*'Annexe B  Plan commercial'!$C$11*Hypothèses!$C$55</f>
        <v>0</v>
      </c>
      <c r="N54" s="235">
        <f ca="1">M54*(1-'Annexe G  Evolution Portefeuill'!$D$20)+M$94*'Annexe B  Plan commercial'!$C$11*Hypothèses!$C$55</f>
        <v>0</v>
      </c>
      <c r="O54" s="235">
        <f ca="1">N54*(1-'Annexe G  Evolution Portefeuill'!$D$20)+N$94*'Annexe B  Plan commercial'!$C$11*Hypothèses!$C$55</f>
        <v>0</v>
      </c>
      <c r="P54" s="235">
        <f ca="1">O54*(1-'Annexe G  Evolution Portefeuill'!$D$20)+O$94*'Annexe B  Plan commercial'!$C$11*Hypothèses!$C$55</f>
        <v>0</v>
      </c>
      <c r="Q54" s="235">
        <f ca="1">P54*(1-'Annexe G  Evolution Portefeuill'!$D$20)+P$94*'Annexe B  Plan commercial'!$C$11*Hypothèses!$C$55</f>
        <v>0</v>
      </c>
      <c r="R54" s="235">
        <f ca="1">Q54*(1-'Annexe G  Evolution Portefeuill'!$D$20)+Q$94*'Annexe B  Plan commercial'!$C$11*Hypothèses!$C$55</f>
        <v>0</v>
      </c>
      <c r="S54" s="235">
        <f ca="1">R54*(1-'Annexe G  Evolution Portefeuill'!$D$20)+R$94*'Annexe B  Plan commercial'!$C$11*Hypothèses!$C$55</f>
        <v>0</v>
      </c>
      <c r="T54" s="235">
        <f ca="1">S54*(1-'Annexe G  Evolution Portefeuill'!$D$20)+S$94*'Annexe B  Plan commercial'!$C$11*Hypothèses!$C$55</f>
        <v>0</v>
      </c>
      <c r="U54" s="235">
        <f ca="1">T54*(1-'Annexe G  Evolution Portefeuill'!$D$20)+T$94*'Annexe B  Plan commercial'!$C$11*Hypothèses!$C$55</f>
        <v>0</v>
      </c>
      <c r="V54" s="237">
        <f ca="1">U54*(1-'Annexe G  Evolution Portefeuill'!$E$20)+U$94*'Annexe B  Plan commercial'!$D$11*Hypothèses!$D$55</f>
        <v>0</v>
      </c>
      <c r="W54" s="235">
        <f ca="1">V54*(1-'Annexe G  Evolution Portefeuill'!$E$20)+V$94*'Annexe B  Plan commercial'!$D$11*Hypothèses!$D$55</f>
        <v>0</v>
      </c>
      <c r="X54" s="235">
        <f ca="1">W54*(1-'Annexe G  Evolution Portefeuill'!$E$20)+W$94*'Annexe B  Plan commercial'!$D$11*Hypothèses!$D$55</f>
        <v>0</v>
      </c>
      <c r="Y54" s="235">
        <f ca="1">X54*(1-'Annexe G  Evolution Portefeuill'!$E$20)+X$94*'Annexe B  Plan commercial'!$D$11*Hypothèses!$D$55</f>
        <v>0</v>
      </c>
      <c r="Z54" s="235">
        <f ca="1">Y54*(1-'Annexe G  Evolution Portefeuill'!$E$20)+Y$94*'Annexe B  Plan commercial'!$D$11*Hypothèses!$D$55</f>
        <v>0</v>
      </c>
      <c r="AA54" s="235">
        <f ca="1">Z54*(1-'Annexe G  Evolution Portefeuill'!$E$20)+Z$94*'Annexe B  Plan commercial'!$D$11*Hypothèses!$D$55</f>
        <v>0</v>
      </c>
      <c r="AB54" s="235">
        <f ca="1">AA54*(1-'Annexe G  Evolution Portefeuill'!$E$20)+AA$94*'Annexe B  Plan commercial'!$D$11*Hypothèses!$D$55</f>
        <v>0</v>
      </c>
      <c r="AC54" s="235">
        <f ca="1">AB54*(1-'Annexe G  Evolution Portefeuill'!$E$20)+AB$94*'Annexe B  Plan commercial'!$D$11*Hypothèses!$D$55</f>
        <v>0</v>
      </c>
      <c r="AD54" s="235">
        <f ca="1">AC54*(1-'Annexe G  Evolution Portefeuill'!$E$20)+AC$94*'Annexe B  Plan commercial'!$D$11*Hypothèses!$D$55</f>
        <v>0</v>
      </c>
      <c r="AE54" s="235">
        <f ca="1">AD54*(1-'Annexe G  Evolution Portefeuill'!$E$20)+AD$94*'Annexe B  Plan commercial'!$D$11*Hypothèses!$D$55</f>
        <v>0</v>
      </c>
      <c r="AF54" s="235">
        <f ca="1">AE54*(1-'Annexe G  Evolution Portefeuill'!$E$20)+AE$94*'Annexe B  Plan commercial'!$D$11*Hypothèses!$D$55</f>
        <v>0</v>
      </c>
      <c r="AG54" s="236">
        <f ca="1">AF54*(1-'Annexe G  Evolution Portefeuill'!$E$20)+AF$94*'Annexe B  Plan commercial'!$D$11*Hypothèses!$D$55</f>
        <v>0</v>
      </c>
      <c r="AH54" s="235">
        <f ca="1">AG54*(1-'Annexe G  Evolution Portefeuill'!$F$20)+AG$94*'Annexe B  Plan commercial'!$E$11*Hypothèses!$E$55</f>
        <v>0</v>
      </c>
      <c r="AI54" s="235">
        <f ca="1">AH54*(1-'Annexe G  Evolution Portefeuill'!$F$20)+AH$94*'Annexe B  Plan commercial'!$E$11*Hypothèses!$E$55</f>
        <v>0</v>
      </c>
      <c r="AJ54" s="235">
        <f ca="1">AI54*(1-'Annexe G  Evolution Portefeuill'!$F$20)+AI$94*'Annexe B  Plan commercial'!$E$11*Hypothèses!$E$55</f>
        <v>0</v>
      </c>
      <c r="AK54" s="235">
        <f ca="1">AJ54*(1-'Annexe G  Evolution Portefeuill'!$F$20)+AJ$94*'Annexe B  Plan commercial'!$E$11*Hypothèses!$E$55</f>
        <v>0</v>
      </c>
      <c r="AL54" s="235">
        <f ca="1">AK54*(1-'Annexe G  Evolution Portefeuill'!$F$20)+AK$94*'Annexe B  Plan commercial'!$E$11*Hypothèses!$E$55</f>
        <v>0</v>
      </c>
      <c r="AM54" s="235">
        <f ca="1">AL54*(1-'Annexe G  Evolution Portefeuill'!$F$20)+AL$94*'Annexe B  Plan commercial'!$E$11*Hypothèses!$E$55</f>
        <v>0</v>
      </c>
      <c r="AN54" s="235">
        <f ca="1">AM54*(1-'Annexe G  Evolution Portefeuill'!$F$20)+AM$94*'Annexe B  Plan commercial'!$E$11*Hypothèses!$E$55</f>
        <v>0</v>
      </c>
      <c r="AO54" s="235">
        <f ca="1">AN54*(1-'Annexe G  Evolution Portefeuill'!$F$20)+AN$94*'Annexe B  Plan commercial'!$E$11*Hypothèses!$E$55</f>
        <v>0</v>
      </c>
      <c r="AP54" s="235">
        <f ca="1">AO54*(1-'Annexe G  Evolution Portefeuill'!$F$20)+AO$94*'Annexe B  Plan commercial'!$E$11*Hypothèses!$E$55</f>
        <v>0</v>
      </c>
      <c r="AQ54" s="235">
        <f ca="1">AP54*(1-'Annexe G  Evolution Portefeuill'!$F$20)+AP$94*'Annexe B  Plan commercial'!$E$11*Hypothèses!$E$55</f>
        <v>0</v>
      </c>
      <c r="AR54" s="235">
        <f ca="1">AQ54*(1-'Annexe G  Evolution Portefeuill'!$F$20)+AQ$94*'Annexe B  Plan commercial'!$E$11*Hypothèses!$E$55</f>
        <v>0</v>
      </c>
      <c r="AS54" s="235">
        <f ca="1">AR54*(1-'Annexe G  Evolution Portefeuill'!$F$20)+AR$94*'Annexe B  Plan commercial'!$E$11*Hypothèses!$E$55</f>
        <v>0</v>
      </c>
      <c r="AT54" s="237">
        <f ca="1">AS54*(1-'Annexe G  Evolution Portefeuill'!$G$20)+AS$94*'Annexe B  Plan commercial'!$F$11*Hypothèses!$F$55</f>
        <v>0</v>
      </c>
      <c r="AU54" s="235">
        <f ca="1">AT54*(1-'Annexe G  Evolution Portefeuill'!$G$20)+AT$94*'Annexe B  Plan commercial'!$F$11*Hypothèses!$F$55</f>
        <v>0</v>
      </c>
      <c r="AV54" s="235">
        <f ca="1">AU54*(1-'Annexe G  Evolution Portefeuill'!$G$20)+AU$94*'Annexe B  Plan commercial'!$F$11*Hypothèses!$F$55</f>
        <v>0</v>
      </c>
      <c r="AW54" s="235">
        <f ca="1">AV54*(1-'Annexe G  Evolution Portefeuill'!$G$20)+AV$94*'Annexe B  Plan commercial'!$F$11*Hypothèses!$F$55</f>
        <v>0</v>
      </c>
      <c r="AX54" s="235">
        <f ca="1">AW54*(1-'Annexe G  Evolution Portefeuill'!$G$20)+AW$94*'Annexe B  Plan commercial'!$F$11*Hypothèses!$F$55</f>
        <v>0</v>
      </c>
      <c r="AY54" s="235">
        <f ca="1">AX54*(1-'Annexe G  Evolution Portefeuill'!$G$20)+AX$94*'Annexe B  Plan commercial'!$F$11*Hypothèses!$F$55</f>
        <v>0</v>
      </c>
      <c r="AZ54" s="235">
        <f ca="1">AY54*(1-'Annexe G  Evolution Portefeuill'!$G$20)+AY$94*'Annexe B  Plan commercial'!$F$11*Hypothèses!$F$55</f>
        <v>0</v>
      </c>
      <c r="BA54" s="235">
        <f ca="1">AZ54*(1-'Annexe G  Evolution Portefeuill'!$G$20)+AZ$94*'Annexe B  Plan commercial'!$F$11*Hypothèses!$F$55</f>
        <v>0</v>
      </c>
      <c r="BB54" s="235">
        <f ca="1">BA54*(1-'Annexe G  Evolution Portefeuill'!$G$20)+BA$94*'Annexe B  Plan commercial'!$F$11*Hypothèses!$F$55</f>
        <v>0</v>
      </c>
      <c r="BC54" s="235">
        <f ca="1">BB54*(1-'Annexe G  Evolution Portefeuill'!$G$20)+BB$94*'Annexe B  Plan commercial'!$F$11*Hypothèses!$F$55</f>
        <v>0</v>
      </c>
      <c r="BD54" s="235">
        <f ca="1">BC54*(1-'Annexe G  Evolution Portefeuill'!$G$20)+BC$94*'Annexe B  Plan commercial'!$F$11*Hypothèses!$F$55</f>
        <v>0</v>
      </c>
      <c r="BE54" s="236">
        <f ca="1">BD54*(1-'Annexe G  Evolution Portefeuill'!$G$20)+BD$94*'Annexe B  Plan commercial'!$F$11*Hypothèses!$F$55</f>
        <v>0</v>
      </c>
      <c r="BF54" s="235">
        <f ca="1">BE54*(1-'Annexe G  Evolution Portefeuill'!$H$20)+BE$94*'Annexe B  Plan commercial'!$G$11*Hypothèses!$G$55</f>
        <v>0</v>
      </c>
      <c r="BG54" s="235">
        <f ca="1">BF54*(1-'Annexe G  Evolution Portefeuill'!$H$20)+BF$94*'Annexe B  Plan commercial'!$G$11*Hypothèses!$G$55</f>
        <v>0</v>
      </c>
      <c r="BH54" s="235">
        <f ca="1">BG54*(1-'Annexe G  Evolution Portefeuill'!$H$20)+BG$94*'Annexe B  Plan commercial'!$G$11*Hypothèses!$G$55</f>
        <v>0.36</v>
      </c>
      <c r="BI54" s="235">
        <f ca="1">BH54*(1-'Annexe G  Evolution Portefeuill'!$H$20)+BH$94*'Annexe B  Plan commercial'!$G$11*Hypothèses!$G$55</f>
        <v>0.71819999999999995</v>
      </c>
      <c r="BJ54" s="235">
        <f ca="1">BI54*(1-'Annexe G  Evolution Portefeuill'!$H$20)+BI$94*'Annexe B  Plan commercial'!$G$11*Hypothèses!$G$55</f>
        <v>1.0746089999999999</v>
      </c>
      <c r="BK54" s="235">
        <f ca="1">BJ54*(1-'Annexe G  Evolution Portefeuill'!$H$20)+BJ$94*'Annexe B  Plan commercial'!$G$11*Hypothèses!$G$55</f>
        <v>1.4292359549999998</v>
      </c>
      <c r="BL54" s="235">
        <f ca="1">BK54*(1-'Annexe G  Evolution Portefeuill'!$H$20)+BK$94*'Annexe B  Plan commercial'!$G$11*Hypothèses!$G$55</f>
        <v>1.7820897752249998</v>
      </c>
      <c r="BM54" s="235">
        <f ca="1">BL54*(1-'Annexe G  Evolution Portefeuill'!$H$20)+BL$94*'Annexe B  Plan commercial'!$G$11*Hypothèses!$G$55</f>
        <v>9.5541490996486225</v>
      </c>
      <c r="BN54" s="235">
        <f ca="1">BM54*(1-'Annexe G  Evolution Portefeuill'!$H$20)+BM$94*'Annexe B  Plan commercial'!$G$11*Hypothèses!$G$55</f>
        <v>17.28734812745013</v>
      </c>
      <c r="BO54" s="235">
        <f ca="1">BN54*(1-'Annexe G  Evolution Portefeuill'!$H$20)+BN$94*'Annexe B  Plan commercial'!$G$11*Hypothèses!$G$55</f>
        <v>24.981881160112628</v>
      </c>
      <c r="BP54" s="235">
        <f ca="1">BO54*(1-'Annexe G  Evolution Portefeuill'!$H$20)+BO$94*'Annexe B  Plan commercial'!$G$11*Hypothèses!$G$55</f>
        <v>32.637941527611815</v>
      </c>
      <c r="BQ54" s="235">
        <f ca="1">BP54*(1-'Annexe G  Evolution Portefeuill'!$H$20)+BP$94*'Annexe B  Plan commercial'!$G$11*Hypothèses!$G$55</f>
        <v>40.255721593273506</v>
      </c>
      <c r="BR54" s="238">
        <f ca="1">BQ54*(1-'Annexe G  Evolution Portefeuill'!$I$20)+BQ$94*'Annexe B  Plan commercial'!$H$11*Hypothèses!$H$55</f>
        <v>47.835412758606893</v>
      </c>
      <c r="BS54" s="235">
        <f ca="1">BR54*(1-'Annexe G  Evolution Portefeuill'!$I$20)+BR$94*'Annexe B  Plan commercial'!$G$11*Hypothèses!$G$55</f>
        <v>55.737205468113608</v>
      </c>
      <c r="BT54" s="235">
        <f ca="1">BS54*(1-'Annexe G  Evolution Portefeuill'!$I$20)+BS$94*'Annexe B  Plan commercial'!$G$11*Hypothèses!$G$55</f>
        <v>63.59948921407279</v>
      </c>
      <c r="BU54" s="235">
        <f ca="1">BT54*(1-'Annexe G  Evolution Portefeuill'!$I$20)+BT$94*'Annexe B  Plan commercial'!$G$11*Hypothèses!$G$55</f>
        <v>71.42246154130217</v>
      </c>
      <c r="BV54" s="235">
        <f ca="1">BU54*(1-'Annexe G  Evolution Portefeuill'!$I$20)+BU$94*'Annexe B  Plan commercial'!$G$11*Hypothèses!$G$55</f>
        <v>79.206319006895399</v>
      </c>
      <c r="BW54" s="235">
        <f ca="1">BV54*(1-'Annexe G  Evolution Portefeuill'!$I$20)+BV$94*'Annexe B  Plan commercial'!$G$11*Hypothèses!$G$55</f>
        <v>86.951257185160671</v>
      </c>
      <c r="BX54" s="235">
        <f ca="1">BW54*(1-'Annexe G  Evolution Portefeuill'!$I$20)+BW$94*'Annexe B  Plan commercial'!$G$11*Hypothèses!$G$55</f>
        <v>95.377470672534614</v>
      </c>
      <c r="BY54" s="235">
        <f ca="1">BX54*(1-'Annexe G  Evolution Portefeuill'!$I$20)+BX$94*'Annexe B  Plan commercial'!$G$11*Hypothèses!$G$55</f>
        <v>107.0374766860905</v>
      </c>
      <c r="BZ54" s="235">
        <f ca="1">BY54*(1-'Annexe G  Evolution Portefeuill'!$I$20)+BY$94*'Annexe B  Plan commercial'!$G$11*Hypothèses!$G$55</f>
        <v>118.6391826695786</v>
      </c>
      <c r="CA54" s="235">
        <f ca="1">BZ54*(1-'Annexe G  Evolution Portefeuill'!$I$20)+BZ$94*'Annexe B  Plan commercial'!$G$11*Hypothèses!$G$55</f>
        <v>130.18288012314926</v>
      </c>
      <c r="CB54" s="235">
        <f ca="1">CA54*(1-'Annexe G  Evolution Portefeuill'!$I$20)+CA$94*'Annexe B  Plan commercial'!$G$11*Hypothèses!$G$55</f>
        <v>142.3888590894521</v>
      </c>
      <c r="CC54" s="239">
        <f ca="1">CB54*(1-'Annexe G  Evolution Portefeuill'!$I$20)+CB$94*'Annexe B  Plan commercial'!$G$11*Hypothèses!$G$55</f>
        <v>154.5338081609234</v>
      </c>
      <c r="CD54" s="261"/>
    </row>
    <row r="55" spans="1:82" ht="14" outlineLevel="1">
      <c r="A55" s="233" t="s">
        <v>144</v>
      </c>
      <c r="B55" s="61"/>
      <c r="C55" s="234">
        <v>0</v>
      </c>
      <c r="D55" s="235">
        <f>C55*(1-'Annexe G  Evolution Portefeuill'!$C$20)+C$95*'Annexe B  Plan commercial'!$B$17*Hypothèses!$B$56</f>
        <v>0</v>
      </c>
      <c r="E55" s="235">
        <f>D55*(1-'Annexe G  Evolution Portefeuill'!$C$20)+D$95*'Annexe B  Plan commercial'!$B$17*Hypothèses!$B$56</f>
        <v>0</v>
      </c>
      <c r="F55" s="235">
        <f>E55*(1-'Annexe G  Evolution Portefeuill'!$C$20)+E$95*'Annexe B  Plan commercial'!$B$17*Hypothèses!$B$56</f>
        <v>0</v>
      </c>
      <c r="G55" s="235">
        <f>F55*(1-'Annexe G  Evolution Portefeuill'!$C$20)+F$95*'Annexe B  Plan commercial'!$B$17*Hypothèses!$B$56</f>
        <v>0</v>
      </c>
      <c r="H55" s="235">
        <f>G55*(1-'Annexe G  Evolution Portefeuill'!$C$20)+G$95*'Annexe B  Plan commercial'!$B$17*Hypothèses!$B$56</f>
        <v>0</v>
      </c>
      <c r="I55" s="236">
        <f>H55*(1-'Annexe G  Evolution Portefeuill'!$C$20)+H$95*'Annexe B  Plan commercial'!$B$17*Hypothèses!$B$56</f>
        <v>0</v>
      </c>
      <c r="J55" s="235">
        <f>I55*(1-'Annexe G  Evolution Portefeuill'!$D$20)+I$95*'Annexe B  Plan commercial'!$C$17*Hypothèses!$C$56</f>
        <v>0</v>
      </c>
      <c r="K55" s="235">
        <f ca="1">J55*(1-'Annexe G  Evolution Portefeuill'!$D$20)+J$95*'Annexe B  Plan commercial'!$C$17*Hypothèses!$C$56</f>
        <v>0</v>
      </c>
      <c r="L55" s="235">
        <f ca="1">K55*(1-'Annexe G  Evolution Portefeuill'!$D$20)+K$95*'Annexe B  Plan commercial'!$C$17*Hypothèses!$C$56</f>
        <v>0</v>
      </c>
      <c r="M55" s="235">
        <f ca="1">L55*(1-'Annexe G  Evolution Portefeuill'!$D$20)+L$95*'Annexe B  Plan commercial'!$C$17*Hypothèses!$C$56</f>
        <v>0</v>
      </c>
      <c r="N55" s="235">
        <f ca="1">M55*(1-'Annexe G  Evolution Portefeuill'!$D$20)+M$95*'Annexe B  Plan commercial'!$C$17*Hypothèses!$C$56</f>
        <v>0</v>
      </c>
      <c r="O55" s="235">
        <f ca="1">N55*(1-'Annexe G  Evolution Portefeuill'!$D$20)+N$95*'Annexe B  Plan commercial'!$C$17*Hypothèses!$C$56</f>
        <v>0</v>
      </c>
      <c r="P55" s="235">
        <f ca="1">O55*(1-'Annexe G  Evolution Portefeuill'!$D$20)+O$95*'Annexe B  Plan commercial'!$C$17*Hypothèses!$C$56</f>
        <v>0</v>
      </c>
      <c r="Q55" s="235">
        <f ca="1">P55*(1-'Annexe G  Evolution Portefeuill'!$D$20)+P$95*'Annexe B  Plan commercial'!$C$17*Hypothèses!$C$56</f>
        <v>0</v>
      </c>
      <c r="R55" s="235">
        <f ca="1">Q55*(1-'Annexe G  Evolution Portefeuill'!$D$20)+Q$95*'Annexe B  Plan commercial'!$C$17*Hypothèses!$C$56</f>
        <v>0</v>
      </c>
      <c r="S55" s="235">
        <f ca="1">R55*(1-'Annexe G  Evolution Portefeuill'!$D$20)+R$95*'Annexe B  Plan commercial'!$C$17*Hypothèses!$C$56</f>
        <v>0</v>
      </c>
      <c r="T55" s="235">
        <f ca="1">S55*(1-'Annexe G  Evolution Portefeuill'!$D$20)+S$95*'Annexe B  Plan commercial'!$C$17*Hypothèses!$C$56</f>
        <v>0</v>
      </c>
      <c r="U55" s="235">
        <f ca="1">T55*(1-'Annexe G  Evolution Portefeuill'!$D$20)+T$95*'Annexe B  Plan commercial'!$C$17*Hypothèses!$C$56</f>
        <v>0</v>
      </c>
      <c r="V55" s="237">
        <f ca="1">U55*(1-'Annexe G  Evolution Portefeuill'!$E$20)+U$95*'Annexe B  Plan commercial'!$D$17*Hypothèses!$E$56</f>
        <v>0</v>
      </c>
      <c r="W55" s="235">
        <f ca="1">V55*(1-'Annexe G  Evolution Portefeuill'!$E$20)+V$95*'Annexe B  Plan commercial'!$D$17*Hypothèses!$E$56</f>
        <v>0</v>
      </c>
      <c r="X55" s="235">
        <f ca="1">W55*(1-'Annexe G  Evolution Portefeuill'!$E$20)+W$95*'Annexe B  Plan commercial'!$D$17*Hypothèses!$E$56</f>
        <v>0</v>
      </c>
      <c r="Y55" s="235">
        <f ca="1">X55*(1-'Annexe G  Evolution Portefeuill'!$E$20)+X$95*'Annexe B  Plan commercial'!$D$17*Hypothèses!$E$56</f>
        <v>0</v>
      </c>
      <c r="Z55" s="235">
        <f ca="1">Y55*(1-'Annexe G  Evolution Portefeuill'!$E$20)+Y$95*'Annexe B  Plan commercial'!$D$17*Hypothèses!$E$56</f>
        <v>0</v>
      </c>
      <c r="AA55" s="235">
        <f ca="1">Z55*(1-'Annexe G  Evolution Portefeuill'!$E$20)+Z$95*'Annexe B  Plan commercial'!$D$17*Hypothèses!$E$56</f>
        <v>0</v>
      </c>
      <c r="AB55" s="235">
        <f ca="1">AA55*(1-'Annexe G  Evolution Portefeuill'!$E$20)+AA$95*'Annexe B  Plan commercial'!$D$17*Hypothèses!$E$56</f>
        <v>0</v>
      </c>
      <c r="AC55" s="235">
        <f ca="1">AB55*(1-'Annexe G  Evolution Portefeuill'!$E$20)+AB$95*'Annexe B  Plan commercial'!$D$17*Hypothèses!$E$56</f>
        <v>0</v>
      </c>
      <c r="AD55" s="235">
        <f ca="1">AC55*(1-'Annexe G  Evolution Portefeuill'!$E$20)+AC$95*'Annexe B  Plan commercial'!$D$17*Hypothèses!$E$56</f>
        <v>0</v>
      </c>
      <c r="AE55" s="235">
        <f ca="1">AD55*(1-'Annexe G  Evolution Portefeuill'!$E$20)+AD$95*'Annexe B  Plan commercial'!$D$17*Hypothèses!$E$56</f>
        <v>0</v>
      </c>
      <c r="AF55" s="235">
        <f ca="1">AE55*(1-'Annexe G  Evolution Portefeuill'!$E$20)+AE$95*'Annexe B  Plan commercial'!$D$17*Hypothèses!$E$56</f>
        <v>0</v>
      </c>
      <c r="AG55" s="236">
        <f ca="1">AF55*(1-'Annexe G  Evolution Portefeuill'!$E$20)+AF$95*'Annexe B  Plan commercial'!$D$17*Hypothèses!$E$56</f>
        <v>0</v>
      </c>
      <c r="AH55" s="235">
        <f ca="1">AG55*(1-'Annexe G  Evolution Portefeuill'!$F$20)+AG$95*'Annexe B  Plan commercial'!$E$17*Hypothèses!$E$56</f>
        <v>0</v>
      </c>
      <c r="AI55" s="235">
        <f ca="1">AH55*(1-'Annexe G  Evolution Portefeuill'!$F$20)+AH$95*'Annexe B  Plan commercial'!$E$17*Hypothèses!$E$56</f>
        <v>0</v>
      </c>
      <c r="AJ55" s="235">
        <f ca="1">AI55*(1-'Annexe G  Evolution Portefeuill'!$F$20)+AI$95*'Annexe B  Plan commercial'!$E$17*Hypothèses!$E$56</f>
        <v>0</v>
      </c>
      <c r="AK55" s="235">
        <f ca="1">AJ55*(1-'Annexe G  Evolution Portefeuill'!$F$20)+AJ$95*'Annexe B  Plan commercial'!$E$17*Hypothèses!$E$56</f>
        <v>0</v>
      </c>
      <c r="AL55" s="235">
        <f ca="1">AK55*(1-'Annexe G  Evolution Portefeuill'!$F$20)+AK$95*'Annexe B  Plan commercial'!$E$17*Hypothèses!$E$56</f>
        <v>0</v>
      </c>
      <c r="AM55" s="235">
        <f ca="1">AL55*(1-'Annexe G  Evolution Portefeuill'!$F$20)+AL$95*'Annexe B  Plan commercial'!$E$17*Hypothèses!$E$56</f>
        <v>0</v>
      </c>
      <c r="AN55" s="235">
        <f ca="1">AM55*(1-'Annexe G  Evolution Portefeuill'!$F$20)+AM$95*'Annexe B  Plan commercial'!$E$17*Hypothèses!$E$56</f>
        <v>0</v>
      </c>
      <c r="AO55" s="235">
        <f ca="1">AN55*(1-'Annexe G  Evolution Portefeuill'!$F$20)+AN$95*'Annexe B  Plan commercial'!$E$17*Hypothèses!$E$56</f>
        <v>0</v>
      </c>
      <c r="AP55" s="235">
        <f ca="1">AO55*(1-'Annexe G  Evolution Portefeuill'!$F$20)+AO$95*'Annexe B  Plan commercial'!$E$17*Hypothèses!$E$56</f>
        <v>0</v>
      </c>
      <c r="AQ55" s="235">
        <f ca="1">AP55*(1-'Annexe G  Evolution Portefeuill'!$F$20)+AP$95*'Annexe B  Plan commercial'!$E$17*Hypothèses!$E$56</f>
        <v>0</v>
      </c>
      <c r="AR55" s="235">
        <f ca="1">AQ55*(1-'Annexe G  Evolution Portefeuill'!$F$20)+AQ$95*'Annexe B  Plan commercial'!$E$17*Hypothèses!$E$56</f>
        <v>0</v>
      </c>
      <c r="AS55" s="235">
        <f ca="1">AR55*(1-'Annexe G  Evolution Portefeuill'!$F$20)+AR$95*'Annexe B  Plan commercial'!$E$17*Hypothèses!$E$56</f>
        <v>0</v>
      </c>
      <c r="AT55" s="237">
        <f ca="1">AS55*(1-'Annexe G  Evolution Portefeuill'!$G$20)+AS$95*'Annexe B  Plan commercial'!$F$17*Hypothèses!$F$56</f>
        <v>0</v>
      </c>
      <c r="AU55" s="235">
        <f ca="1">AT55*(1-'Annexe G  Evolution Portefeuill'!$G$20)+AT$95*'Annexe B  Plan commercial'!$F$17*Hypothèses!$F$56</f>
        <v>0</v>
      </c>
      <c r="AV55" s="235">
        <f ca="1">AU55*(1-'Annexe G  Evolution Portefeuill'!$G$20)+AU$95*'Annexe B  Plan commercial'!$F$17*Hypothèses!$F$56</f>
        <v>0</v>
      </c>
      <c r="AW55" s="235">
        <f ca="1">AV55*(1-'Annexe G  Evolution Portefeuill'!$G$20)+AV$95*'Annexe B  Plan commercial'!$F$17*Hypothèses!$F$56</f>
        <v>0</v>
      </c>
      <c r="AX55" s="235">
        <f ca="1">AW55*(1-'Annexe G  Evolution Portefeuill'!$G$20)+AW$95*'Annexe B  Plan commercial'!$F$17*Hypothèses!$F$56</f>
        <v>0</v>
      </c>
      <c r="AY55" s="235">
        <f ca="1">AX55*(1-'Annexe G  Evolution Portefeuill'!$G$20)+AX$95*'Annexe B  Plan commercial'!$F$17*Hypothèses!$F$56</f>
        <v>0</v>
      </c>
      <c r="AZ55" s="235">
        <f ca="1">AY55*(1-'Annexe G  Evolution Portefeuill'!$G$20)+AY$95*'Annexe B  Plan commercial'!$F$17*Hypothèses!$F$56</f>
        <v>0</v>
      </c>
      <c r="BA55" s="235">
        <f ca="1">AZ55*(1-'Annexe G  Evolution Portefeuill'!$G$20)+AZ$95*'Annexe B  Plan commercial'!$F$17*Hypothèses!$F$56</f>
        <v>0</v>
      </c>
      <c r="BB55" s="235">
        <f ca="1">BA55*(1-'Annexe G  Evolution Portefeuill'!$G$20)+BA$95*'Annexe B  Plan commercial'!$F$17*Hypothèses!$F$56</f>
        <v>0</v>
      </c>
      <c r="BC55" s="235">
        <f ca="1">BB55*(1-'Annexe G  Evolution Portefeuill'!$G$20)+BB$95*'Annexe B  Plan commercial'!$F$17*Hypothèses!$F$56</f>
        <v>0</v>
      </c>
      <c r="BD55" s="235">
        <f ca="1">BC55*(1-'Annexe G  Evolution Portefeuill'!$G$20)+BC$95*'Annexe B  Plan commercial'!$F$17*Hypothèses!$F$56</f>
        <v>0</v>
      </c>
      <c r="BE55" s="236">
        <f ca="1">BD55*(1-'Annexe G  Evolution Portefeuill'!$G$20)+BD$95*'Annexe B  Plan commercial'!$F$17*Hypothèses!$F$56</f>
        <v>0</v>
      </c>
      <c r="BF55" s="235">
        <f ca="1">BE55*(1-'Annexe G  Evolution Portefeuill'!$H$20)+BE$95*'Annexe B  Plan commercial'!$G$17*Hypothèses!$H$56</f>
        <v>0</v>
      </c>
      <c r="BG55" s="235">
        <f ca="1">BF55*(1-'Annexe G  Evolution Portefeuill'!$H$20)+BF$95*'Annexe B  Plan commercial'!$G$17*Hypothèses!$H$56</f>
        <v>0</v>
      </c>
      <c r="BH55" s="235">
        <f ca="1">BG55*(1-'Annexe G  Evolution Portefeuill'!$H$20)+BG$95*'Annexe B  Plan commercial'!$G$17*Hypothèses!$H$56</f>
        <v>0</v>
      </c>
      <c r="BI55" s="235">
        <f ca="1">BH55*(1-'Annexe G  Evolution Portefeuill'!$H$20)+BH$95*'Annexe B  Plan commercial'!$G$17*Hypothèses!$H$56</f>
        <v>0</v>
      </c>
      <c r="BJ55" s="235">
        <f ca="1">BI55*(1-'Annexe G  Evolution Portefeuill'!$H$20)+BI$95*'Annexe B  Plan commercial'!$G$17*Hypothèses!$H$56</f>
        <v>0</v>
      </c>
      <c r="BK55" s="235">
        <f ca="1">BJ55*(1-'Annexe G  Evolution Portefeuill'!$H$20)+BJ$95*'Annexe B  Plan commercial'!$G$17*Hypothèses!$H$56</f>
        <v>0</v>
      </c>
      <c r="BL55" s="235">
        <f ca="1">BK55*(1-'Annexe G  Evolution Portefeuill'!$H$20)+BK$95*'Annexe B  Plan commercial'!$G$17*Hypothèses!$H$56</f>
        <v>0</v>
      </c>
      <c r="BM55" s="235">
        <f ca="1">BL55*(1-'Annexe G  Evolution Portefeuill'!$H$20)+BL$95*'Annexe B  Plan commercial'!$G$17*Hypothèses!$H$56</f>
        <v>0</v>
      </c>
      <c r="BN55" s="235">
        <f ca="1">BM55*(1-'Annexe G  Evolution Portefeuill'!$H$20)+BM$95*'Annexe B  Plan commercial'!$G$17*Hypothèses!$H$56</f>
        <v>0</v>
      </c>
      <c r="BO55" s="235">
        <f ca="1">BN55*(1-'Annexe G  Evolution Portefeuill'!$H$20)+BN$95*'Annexe B  Plan commercial'!$G$17*Hypothèses!$H$56</f>
        <v>0</v>
      </c>
      <c r="BP55" s="235">
        <f ca="1">BO55*(1-'Annexe G  Evolution Portefeuill'!$H$20)+BO$95*'Annexe B  Plan commercial'!$G$17*Hypothèses!$H$56</f>
        <v>0</v>
      </c>
      <c r="BQ55" s="235">
        <f ca="1">BP55*(1-'Annexe G  Evolution Portefeuill'!$H$20)+BP$95*'Annexe B  Plan commercial'!$G$17*Hypothèses!$H$56</f>
        <v>0</v>
      </c>
      <c r="BR55" s="238">
        <f ca="1">BQ55*(1-'Annexe G  Evolution Portefeuill'!$I$20)+BQ$95*'Annexe B  Plan commercial'!$H$17*Hypothèses!$H$56</f>
        <v>0</v>
      </c>
      <c r="BS55" s="235">
        <f ca="1">BR55*(1-'Annexe G  Evolution Portefeuill'!$I$20)+BR$95*'Annexe B  Plan commercial'!$H$17*Hypothèses!$H$56</f>
        <v>0</v>
      </c>
      <c r="BT55" s="235">
        <f ca="1">BS55*(1-'Annexe G  Evolution Portefeuill'!$I$20)+BS$95*'Annexe B  Plan commercial'!$H$17*Hypothèses!$H$56</f>
        <v>0</v>
      </c>
      <c r="BU55" s="235">
        <f ca="1">BT55*(1-'Annexe G  Evolution Portefeuill'!$I$20)+BT$95*'Annexe B  Plan commercial'!$H$17*Hypothèses!$H$56</f>
        <v>0.36</v>
      </c>
      <c r="BV55" s="235">
        <f ca="1">BU55*(1-'Annexe G  Evolution Portefeuill'!$I$20)+BU$95*'Annexe B  Plan commercial'!$H$17*Hypothèses!$H$56</f>
        <v>0.71819999999999995</v>
      </c>
      <c r="BW55" s="235">
        <f ca="1">BV55*(1-'Annexe G  Evolution Portefeuill'!$I$20)+BV$95*'Annexe B  Plan commercial'!$H$17*Hypothèses!$H$56</f>
        <v>1.0746089999999999</v>
      </c>
      <c r="BX55" s="235">
        <f ca="1">BW55*(1-'Annexe G  Evolution Portefeuill'!$I$20)+BW$95*'Annexe B  Plan commercial'!$H$17*Hypothèses!$H$56</f>
        <v>1.7892359549999999</v>
      </c>
      <c r="BY55" s="235">
        <f ca="1">BX55*(1-'Annexe G  Evolution Portefeuill'!$I$20)+BX$95*'Annexe B  Plan commercial'!$H$17*Hypothèses!$H$56</f>
        <v>14.831430739867224</v>
      </c>
      <c r="BZ55" s="235">
        <f ca="1">BY55*(1-'Annexe G  Evolution Portefeuill'!$I$20)+BY$95*'Annexe B  Plan commercial'!$H$17*Hypothèses!$H$56</f>
        <v>27.808414550810113</v>
      </c>
      <c r="CA55" s="235">
        <f ca="1">BZ55*(1-'Annexe G  Evolution Portefeuill'!$I$20)+BZ$95*'Annexe B  Plan commercial'!$H$17*Hypothèses!$H$56</f>
        <v>40.720513442698284</v>
      </c>
      <c r="CB55" s="235">
        <f ca="1">CA55*(1-'Annexe G  Evolution Portefeuill'!$I$20)+CA$95*'Annexe B  Plan commercial'!$H$17*Hypothèses!$H$56</f>
        <v>53.568051840127012</v>
      </c>
      <c r="CC55" s="239">
        <f ca="1">CB55*(1-'Annexe G  Evolution Portefeuill'!$I$20)+CB$95*'Annexe B  Plan commercial'!$H$17*Hypothèses!$H$56</f>
        <v>66.351352545568602</v>
      </c>
      <c r="CD55" s="261"/>
    </row>
    <row r="56" spans="1:82" ht="15">
      <c r="A56" s="243" t="s">
        <v>145</v>
      </c>
      <c r="B56" s="241"/>
      <c r="C56" s="234">
        <v>0</v>
      </c>
      <c r="D56" s="235">
        <f>C56*(1-'Annexe G  Evolution Portefeuill'!$C$20)+C$96*'Annexe B  Plan commercial'!$B$23*Hypothèses!$B$57</f>
        <v>0</v>
      </c>
      <c r="E56" s="235">
        <f>D56*(1-'Annexe G  Evolution Portefeuill'!$C$20)+D$96*'Annexe B  Plan commercial'!$B$23*Hypothèses!$B$57</f>
        <v>0</v>
      </c>
      <c r="F56" s="235">
        <f>E56*(1-'Annexe G  Evolution Portefeuill'!$C$20)+E$96*'Annexe B  Plan commercial'!$B$23*Hypothèses!$B$57</f>
        <v>0</v>
      </c>
      <c r="G56" s="235">
        <f>F56*(1-'Annexe G  Evolution Portefeuill'!$C$20)+F$96*'Annexe B  Plan commercial'!$B$23*Hypothèses!$B$57</f>
        <v>0</v>
      </c>
      <c r="H56" s="235">
        <f>G56*(1-'Annexe G  Evolution Portefeuill'!$C$20)+G$96*'Annexe B  Plan commercial'!$B$23*Hypothèses!$B$57</f>
        <v>0</v>
      </c>
      <c r="I56" s="236">
        <f>H56*(1-'Annexe G  Evolution Portefeuill'!$C$20)+H$96*'Annexe B  Plan commercial'!$B$23*Hypothèses!$B$57</f>
        <v>0</v>
      </c>
      <c r="J56" s="235">
        <f>I56*(1-'Annexe G  Evolution Portefeuill'!$D$20)+I$96*'Annexe B  Plan commercial'!$C$23*Hypothèses!$C$57</f>
        <v>0</v>
      </c>
      <c r="K56" s="235">
        <f ca="1">J56*(1-'Annexe G  Evolution Portefeuill'!$D$20)+J$96*'Annexe B  Plan commercial'!$C$23*Hypothèses!$C$57</f>
        <v>0</v>
      </c>
      <c r="L56" s="235">
        <f ca="1">K56*(1-'Annexe G  Evolution Portefeuill'!$D$20)+K$96*'Annexe B  Plan commercial'!$C$23*Hypothèses!$C$57</f>
        <v>0</v>
      </c>
      <c r="M56" s="235">
        <f ca="1">L56*(1-'Annexe G  Evolution Portefeuill'!$D$20)+L$96*'Annexe B  Plan commercial'!$C$23*Hypothèses!$C$57</f>
        <v>0</v>
      </c>
      <c r="N56" s="235">
        <f ca="1">M56*(1-'Annexe G  Evolution Portefeuill'!$D$20)+M$96*'Annexe B  Plan commercial'!$C$23*Hypothèses!$C$57</f>
        <v>0</v>
      </c>
      <c r="O56" s="235">
        <f ca="1">N56*(1-'Annexe G  Evolution Portefeuill'!$D$20)+N$96*'Annexe B  Plan commercial'!$C$23*Hypothèses!$C$57</f>
        <v>0</v>
      </c>
      <c r="P56" s="235">
        <f ca="1">O56*(1-'Annexe G  Evolution Portefeuill'!$D$20)+O$96*'Annexe B  Plan commercial'!$C$23*Hypothèses!$C$57</f>
        <v>0</v>
      </c>
      <c r="Q56" s="235">
        <f ca="1">P56*(1-'Annexe G  Evolution Portefeuill'!$D$20)+P$96*'Annexe B  Plan commercial'!$C$23*Hypothèses!$C$57</f>
        <v>0</v>
      </c>
      <c r="R56" s="235">
        <f ca="1">Q56*(1-'Annexe G  Evolution Portefeuill'!$D$20)+Q$96*'Annexe B  Plan commercial'!$C$23*Hypothèses!$C$57</f>
        <v>0</v>
      </c>
      <c r="S56" s="235">
        <f ca="1">R56*(1-'Annexe G  Evolution Portefeuill'!$D$20)+R$96*'Annexe B  Plan commercial'!$C$23*Hypothèses!$C$57</f>
        <v>0</v>
      </c>
      <c r="T56" s="235">
        <f ca="1">S56*(1-'Annexe G  Evolution Portefeuill'!$D$20)+S$96*'Annexe B  Plan commercial'!$C$23*Hypothèses!$C$57</f>
        <v>0</v>
      </c>
      <c r="U56" s="235">
        <f ca="1">T56*(1-'Annexe G  Evolution Portefeuill'!$D$20)+T$96*'Annexe B  Plan commercial'!$C$23*Hypothèses!$C$57</f>
        <v>0</v>
      </c>
      <c r="V56" s="237">
        <f ca="1">U56*(1-'Annexe G  Evolution Portefeuill'!$E$20)+U$96*'Annexe B  Plan commercial'!$D$23*Hypothèses!$E$57</f>
        <v>0</v>
      </c>
      <c r="W56" s="235">
        <f ca="1">V56*(1-'Annexe G  Evolution Portefeuill'!$E$20)+V$96*'Annexe B  Plan commercial'!$D$23*Hypothèses!$E$57</f>
        <v>0</v>
      </c>
      <c r="X56" s="235">
        <f ca="1">W56*(1-'Annexe G  Evolution Portefeuill'!$E$20)+W$96*'Annexe B  Plan commercial'!$D$23*Hypothèses!$E$57</f>
        <v>0</v>
      </c>
      <c r="Y56" s="235">
        <f ca="1">X56*(1-'Annexe G  Evolution Portefeuill'!$E$20)+X$96*'Annexe B  Plan commercial'!$D$23*Hypothèses!$E$57</f>
        <v>0</v>
      </c>
      <c r="Z56" s="235">
        <f ca="1">Y56*(1-'Annexe G  Evolution Portefeuill'!$E$20)+Y$96*'Annexe B  Plan commercial'!$D$23*Hypothèses!$E$57</f>
        <v>0</v>
      </c>
      <c r="AA56" s="235">
        <f ca="1">Z56*(1-'Annexe G  Evolution Portefeuill'!$E$20)+Z$96*'Annexe B  Plan commercial'!$D$23*Hypothèses!$E$57</f>
        <v>0</v>
      </c>
      <c r="AB56" s="235">
        <f ca="1">AA56*(1-'Annexe G  Evolution Portefeuill'!$E$20)+AA$96*'Annexe B  Plan commercial'!$D$23*Hypothèses!$E$57</f>
        <v>0</v>
      </c>
      <c r="AC56" s="235">
        <f ca="1">AB56*(1-'Annexe G  Evolution Portefeuill'!$E$20)+AB$96*'Annexe B  Plan commercial'!$D$23*Hypothèses!$E$57</f>
        <v>0</v>
      </c>
      <c r="AD56" s="235">
        <f ca="1">AC56*(1-'Annexe G  Evolution Portefeuill'!$E$20)+AC$96*'Annexe B  Plan commercial'!$D$23*Hypothèses!$E$57</f>
        <v>0</v>
      </c>
      <c r="AE56" s="235">
        <f ca="1">AD56*(1-'Annexe G  Evolution Portefeuill'!$E$20)+AD$96*'Annexe B  Plan commercial'!$D$23*Hypothèses!$E$57</f>
        <v>0</v>
      </c>
      <c r="AF56" s="235">
        <f ca="1">AE56*(1-'Annexe G  Evolution Portefeuill'!$E$20)+AE$96*'Annexe B  Plan commercial'!$D$23*Hypothèses!$E$57</f>
        <v>0</v>
      </c>
      <c r="AG56" s="236">
        <f ca="1">AF56*(1-'Annexe G  Evolution Portefeuill'!$E$20)+AF$96*'Annexe B  Plan commercial'!$D$23*Hypothèses!$E$57</f>
        <v>0</v>
      </c>
      <c r="AH56" s="235">
        <f ca="1">AG56*(1-'Annexe G  Evolution Portefeuill'!$F$20)+AG$96*'Annexe B  Plan commercial'!$E$23*Hypothèses!$E$57</f>
        <v>0</v>
      </c>
      <c r="AI56" s="235">
        <f ca="1">AH56*(1-'Annexe G  Evolution Portefeuill'!$F$20)+AH$96*'Annexe B  Plan commercial'!$E$23*Hypothèses!$E$57</f>
        <v>0</v>
      </c>
      <c r="AJ56" s="235">
        <f ca="1">AI56*(1-'Annexe G  Evolution Portefeuill'!$F$20)+AI$96*'Annexe B  Plan commercial'!$E$23*Hypothèses!$E$57</f>
        <v>0</v>
      </c>
      <c r="AK56" s="235">
        <f ca="1">AJ56*(1-'Annexe G  Evolution Portefeuill'!$F$20)+AJ$96*'Annexe B  Plan commercial'!$E$23*Hypothèses!$E$57</f>
        <v>0</v>
      </c>
      <c r="AL56" s="235">
        <f ca="1">AK56*(1-'Annexe G  Evolution Portefeuill'!$F$20)+AK$96*'Annexe B  Plan commercial'!$E$23*Hypothèses!$E$57</f>
        <v>0</v>
      </c>
      <c r="AM56" s="235">
        <f ca="1">AL56*(1-'Annexe G  Evolution Portefeuill'!$F$20)+AL$96*'Annexe B  Plan commercial'!$E$23*Hypothèses!$E$57</f>
        <v>0</v>
      </c>
      <c r="AN56" s="235">
        <f ca="1">AM56*(1-'Annexe G  Evolution Portefeuill'!$F$20)+AM$96*'Annexe B  Plan commercial'!$E$23*Hypothèses!$E$57</f>
        <v>0</v>
      </c>
      <c r="AO56" s="235">
        <f ca="1">AN56*(1-'Annexe G  Evolution Portefeuill'!$F$20)+AN$96*'Annexe B  Plan commercial'!$E$23*Hypothèses!$E$57</f>
        <v>0</v>
      </c>
      <c r="AP56" s="235">
        <f ca="1">AO56*(1-'Annexe G  Evolution Portefeuill'!$F$20)+AO$96*'Annexe B  Plan commercial'!$E$23*Hypothèses!$E$57</f>
        <v>0</v>
      </c>
      <c r="AQ56" s="235">
        <f ca="1">AP56*(1-'Annexe G  Evolution Portefeuill'!$F$20)+AP$96*'Annexe B  Plan commercial'!$E$23*Hypothèses!$E$57</f>
        <v>0</v>
      </c>
      <c r="AR56" s="235">
        <f ca="1">AQ56*(1-'Annexe G  Evolution Portefeuill'!$F$20)+AQ$96*'Annexe B  Plan commercial'!$E$23*Hypothèses!$E$57</f>
        <v>0</v>
      </c>
      <c r="AS56" s="235">
        <f ca="1">AR56*(1-'Annexe G  Evolution Portefeuill'!$F$20)+AR$96*'Annexe B  Plan commercial'!$E$23*Hypothèses!$E$57</f>
        <v>0</v>
      </c>
      <c r="AT56" s="237">
        <f ca="1">AS56*(1-'Annexe G  Evolution Portefeuill'!$G$20)+AS$96*'Annexe B  Plan commercial'!$F$23*Hypothèses!$F$57</f>
        <v>0</v>
      </c>
      <c r="AU56" s="235">
        <f ca="1">AT56*(1-'Annexe G  Evolution Portefeuill'!$G$20)+AT$96*'Annexe B  Plan commercial'!$F$23*Hypothèses!$F$57</f>
        <v>0</v>
      </c>
      <c r="AV56" s="235">
        <f ca="1">AU56*(1-'Annexe G  Evolution Portefeuill'!$G$20)+AU$96*'Annexe B  Plan commercial'!$F$23*Hypothèses!$F$57</f>
        <v>0</v>
      </c>
      <c r="AW56" s="235">
        <f ca="1">AV56*(1-'Annexe G  Evolution Portefeuill'!$G$20)+AV$96*'Annexe B  Plan commercial'!$F$23*Hypothèses!$F$57</f>
        <v>0</v>
      </c>
      <c r="AX56" s="235">
        <f ca="1">AW56*(1-'Annexe G  Evolution Portefeuill'!$G$20)+AW$96*'Annexe B  Plan commercial'!$F$23*Hypothèses!$F$57</f>
        <v>0</v>
      </c>
      <c r="AY56" s="235">
        <f ca="1">AX56*(1-'Annexe G  Evolution Portefeuill'!$G$20)+AX$96*'Annexe B  Plan commercial'!$F$23*Hypothèses!$F$57</f>
        <v>0</v>
      </c>
      <c r="AZ56" s="235">
        <f ca="1">AY56*(1-'Annexe G  Evolution Portefeuill'!$G$20)+AY$96*'Annexe B  Plan commercial'!$F$23*Hypothèses!$F$57</f>
        <v>0</v>
      </c>
      <c r="BA56" s="235">
        <f ca="1">AZ56*(1-'Annexe G  Evolution Portefeuill'!$G$20)+AZ$96*'Annexe B  Plan commercial'!$F$23*Hypothèses!$F$57</f>
        <v>0</v>
      </c>
      <c r="BB56" s="235">
        <f ca="1">BA56*(1-'Annexe G  Evolution Portefeuill'!$G$20)+BA$96*'Annexe B  Plan commercial'!$F$23*Hypothèses!$F$57</f>
        <v>0</v>
      </c>
      <c r="BC56" s="235">
        <f ca="1">BB56*(1-'Annexe G  Evolution Portefeuill'!$G$20)+BB$96*'Annexe B  Plan commercial'!$F$23*Hypothèses!$F$57</f>
        <v>0</v>
      </c>
      <c r="BD56" s="235">
        <f ca="1">BC56*(1-'Annexe G  Evolution Portefeuill'!$G$20)+BC$96*'Annexe B  Plan commercial'!$F$23*Hypothèses!$F$57</f>
        <v>0</v>
      </c>
      <c r="BE56" s="236">
        <f ca="1">BD56*(1-'Annexe G  Evolution Portefeuill'!$G$20)+BD$96*'Annexe B  Plan commercial'!$F$23*Hypothèses!$F$57</f>
        <v>0</v>
      </c>
      <c r="BF56" s="235">
        <f ca="1">BE56*(1-'Annexe G  Evolution Portefeuill'!$H$20)+BE$96*'Annexe B  Plan commercial'!$G$23*Hypothèses!$H$57</f>
        <v>0</v>
      </c>
      <c r="BG56" s="235">
        <f ca="1">BF56*(1-'Annexe G  Evolution Portefeuill'!$H$20)+BF$96*'Annexe B  Plan commercial'!$G$23*Hypothèses!$H$57</f>
        <v>0</v>
      </c>
      <c r="BH56" s="235">
        <f ca="1">BG56*(1-'Annexe G  Evolution Portefeuill'!$H$20)+BG$96*'Annexe B  Plan commercial'!$G$23*Hypothèses!$H$57</f>
        <v>0</v>
      </c>
      <c r="BI56" s="235">
        <f ca="1">BH56*(1-'Annexe G  Evolution Portefeuill'!$H$20)+BH$96*'Annexe B  Plan commercial'!$G$23*Hypothèses!$H$57</f>
        <v>0</v>
      </c>
      <c r="BJ56" s="235">
        <f ca="1">BI56*(1-'Annexe G  Evolution Portefeuill'!$H$20)+BI$96*'Annexe B  Plan commercial'!$G$23*Hypothèses!$H$57</f>
        <v>0</v>
      </c>
      <c r="BK56" s="235">
        <f ca="1">BJ56*(1-'Annexe G  Evolution Portefeuill'!$H$20)+BJ$96*'Annexe B  Plan commercial'!$G$23*Hypothèses!$H$57</f>
        <v>0</v>
      </c>
      <c r="BL56" s="235">
        <f ca="1">BK56*(1-'Annexe G  Evolution Portefeuill'!$H$20)+BK$96*'Annexe B  Plan commercial'!$G$23*Hypothèses!$H$57</f>
        <v>0</v>
      </c>
      <c r="BM56" s="235">
        <f ca="1">BL56*(1-'Annexe G  Evolution Portefeuill'!$H$20)+BL$96*'Annexe B  Plan commercial'!$G$23*Hypothèses!$H$57</f>
        <v>0</v>
      </c>
      <c r="BN56" s="235">
        <f ca="1">BM56*(1-'Annexe G  Evolution Portefeuill'!$H$20)+BM$96*'Annexe B  Plan commercial'!$G$23*Hypothèses!$H$57</f>
        <v>0</v>
      </c>
      <c r="BO56" s="235">
        <f ca="1">BN56*(1-'Annexe G  Evolution Portefeuill'!$H$20)+BN$96*'Annexe B  Plan commercial'!$G$23*Hypothèses!$H$57</f>
        <v>0</v>
      </c>
      <c r="BP56" s="235">
        <f ca="1">BO56*(1-'Annexe G  Evolution Portefeuill'!$H$20)+BO$96*'Annexe B  Plan commercial'!$G$23*Hypothèses!$H$57</f>
        <v>0</v>
      </c>
      <c r="BQ56" s="235">
        <f ca="1">BP56*(1-'Annexe G  Evolution Portefeuill'!$H$20)+BP$96*'Annexe B  Plan commercial'!$G$23*Hypothèses!$H$57</f>
        <v>0</v>
      </c>
      <c r="BR56" s="238">
        <f ca="1">BQ56*(1-'Annexe G  Evolution Portefeuill'!$I$20)+BQ$96*'Annexe B  Plan commercial'!$H$23*Hypothèses!$H$57</f>
        <v>0</v>
      </c>
      <c r="BS56" s="235">
        <f ca="1">BR56*(1-'Annexe G  Evolution Portefeuill'!$I$20)+BR$96*'Annexe B  Plan commercial'!$H$23*Hypothèses!$H$57</f>
        <v>0</v>
      </c>
      <c r="BT56" s="235">
        <f ca="1">BS56*(1-'Annexe G  Evolution Portefeuill'!$I$20)+BS$96*'Annexe B  Plan commercial'!$H$23*Hypothèses!$H$57</f>
        <v>0</v>
      </c>
      <c r="BU56" s="235">
        <f ca="1">BT56*(1-'Annexe G  Evolution Portefeuill'!$I$20)+BT$96*'Annexe B  Plan commercial'!$H$23*Hypothèses!$H$57</f>
        <v>0</v>
      </c>
      <c r="BV56" s="235">
        <f ca="1">BU56*(1-'Annexe G  Evolution Portefeuill'!$I$20)+BU$96*'Annexe B  Plan commercial'!$H$23*Hypothèses!$H$57</f>
        <v>0</v>
      </c>
      <c r="BW56" s="235">
        <f ca="1">BV56*(1-'Annexe G  Evolution Portefeuill'!$I$20)+BV$96*'Annexe B  Plan commercial'!$H$23*Hypothèses!$H$57</f>
        <v>0</v>
      </c>
      <c r="BX56" s="235">
        <f ca="1">BW56*(1-'Annexe G  Evolution Portefeuill'!$I$20)+BW$96*'Annexe B  Plan commercial'!$H$23*Hypothèses!$H$57</f>
        <v>0</v>
      </c>
      <c r="BY56" s="235">
        <f ca="1">BX56*(1-'Annexe G  Evolution Portefeuill'!$I$20)+BX$96*'Annexe B  Plan commercial'!$H$23*Hypothèses!$H$57</f>
        <v>0</v>
      </c>
      <c r="BZ56" s="235">
        <f ca="1">BY56*(1-'Annexe G  Evolution Portefeuill'!$I$20)+BY$96*'Annexe B  Plan commercial'!$H$23*Hypothèses!$H$57</f>
        <v>0</v>
      </c>
      <c r="CA56" s="235">
        <f ca="1">BZ56*(1-'Annexe G  Evolution Portefeuill'!$I$20)+BZ$96*'Annexe B  Plan commercial'!$H$23*Hypothèses!$H$57</f>
        <v>0</v>
      </c>
      <c r="CB56" s="235">
        <f ca="1">CA56*(1-'Annexe G  Evolution Portefeuill'!$I$20)+CA$96*'Annexe B  Plan commercial'!$H$23*Hypothèses!$H$57</f>
        <v>0</v>
      </c>
      <c r="CC56" s="239">
        <f ca="1">CB56*(1-'Annexe G  Evolution Portefeuill'!$I$20)+CB$96*'Annexe B  Plan commercial'!$H$23*Hypothèses!$H$57</f>
        <v>0</v>
      </c>
      <c r="CD56" s="260"/>
    </row>
    <row r="57" spans="1:82" ht="15">
      <c r="A57" s="243" t="s">
        <v>146</v>
      </c>
      <c r="B57" s="241"/>
      <c r="C57" s="234">
        <v>0</v>
      </c>
      <c r="D57" s="235">
        <f>C57*(1-'Annexe G  Evolution Portefeuill'!$C$20)+C$97*'Annexe B  Plan commercial'!$B$30*Hypothèses!$B$58</f>
        <v>0</v>
      </c>
      <c r="E57" s="235">
        <f>D57*(1-'Annexe G  Evolution Portefeuill'!$C$20)+D$97*'Annexe B  Plan commercial'!$B$30*Hypothèses!$B$58</f>
        <v>0</v>
      </c>
      <c r="F57" s="235">
        <f>E57*(1-'Annexe G  Evolution Portefeuill'!$C$20)+E$97*'Annexe B  Plan commercial'!$B$30*Hypothèses!$B$58</f>
        <v>0</v>
      </c>
      <c r="G57" s="235">
        <f>F57*(1-'Annexe G  Evolution Portefeuill'!$C$20)+F$97*'Annexe B  Plan commercial'!$B$30*Hypothèses!$B$58</f>
        <v>0</v>
      </c>
      <c r="H57" s="235">
        <f>G57*(1-'Annexe G  Evolution Portefeuill'!$C$20)+G$97*'Annexe B  Plan commercial'!$B$30*Hypothèses!$B$58</f>
        <v>0</v>
      </c>
      <c r="I57" s="236">
        <f>H57*(1-'Annexe G  Evolution Portefeuill'!$C$20)+H$97*'Annexe B  Plan commercial'!$B$30*Hypothèses!$B$58</f>
        <v>0</v>
      </c>
      <c r="J57" s="235">
        <f>I57*(1-'Annexe G  Evolution Portefeuill'!$D$20)+I$97*'Annexe B  Plan commercial'!$C$30*Hypothèses!$C$58</f>
        <v>0</v>
      </c>
      <c r="K57" s="235">
        <f ca="1">J57*(1-'Annexe G  Evolution Portefeuill'!$D$20)+J$97*'Annexe B  Plan commercial'!$C$30*Hypothèses!$C$58</f>
        <v>0</v>
      </c>
      <c r="L57" s="235">
        <f ca="1">K57*(1-'Annexe G  Evolution Portefeuill'!$D$20)+K$97*'Annexe B  Plan commercial'!$C$30*Hypothèses!$C$58</f>
        <v>0</v>
      </c>
      <c r="M57" s="235">
        <f ca="1">L57*(1-'Annexe G  Evolution Portefeuill'!$D$20)+L$97*'Annexe B  Plan commercial'!$C$30*Hypothèses!$C$58</f>
        <v>0</v>
      </c>
      <c r="N57" s="235">
        <f ca="1">M57*(1-'Annexe G  Evolution Portefeuill'!$D$20)+M$97*'Annexe B  Plan commercial'!$C$30*Hypothèses!$C$58</f>
        <v>0</v>
      </c>
      <c r="O57" s="235">
        <f ca="1">N57*(1-'Annexe G  Evolution Portefeuill'!$D$20)+N$97*'Annexe B  Plan commercial'!$C$30*Hypothèses!$C$58</f>
        <v>0</v>
      </c>
      <c r="P57" s="235">
        <f ca="1">O57*(1-'Annexe G  Evolution Portefeuill'!$D$20)+O$97*'Annexe B  Plan commercial'!$C$30*Hypothèses!$C$58</f>
        <v>0</v>
      </c>
      <c r="Q57" s="235">
        <f ca="1">P57*(1-'Annexe G  Evolution Portefeuill'!$D$20)+P$97*'Annexe B  Plan commercial'!$C$30*Hypothèses!$C$58</f>
        <v>0</v>
      </c>
      <c r="R57" s="235">
        <f ca="1">Q57*(1-'Annexe G  Evolution Portefeuill'!$D$20)+Q$97*'Annexe B  Plan commercial'!$C$30*Hypothèses!$C$58</f>
        <v>0</v>
      </c>
      <c r="S57" s="235">
        <f ca="1">R57*(1-'Annexe G  Evolution Portefeuill'!$D$20)+R$97*'Annexe B  Plan commercial'!$C$30*Hypothèses!$C$58</f>
        <v>0</v>
      </c>
      <c r="T57" s="235">
        <f ca="1">S57*(1-'Annexe G  Evolution Portefeuill'!$D$20)+S$97*'Annexe B  Plan commercial'!$C$30*Hypothèses!$C$58</f>
        <v>0</v>
      </c>
      <c r="U57" s="235">
        <f ca="1">T57*(1-'Annexe G  Evolution Portefeuill'!$D$20)+T$97*'Annexe B  Plan commercial'!$C$30*Hypothèses!$C$58</f>
        <v>0</v>
      </c>
      <c r="V57" s="237">
        <f ca="1">U57*(1-'Annexe G  Evolution Portefeuill'!$E$20)+U$97*'Annexe B  Plan commercial'!$D$30*Hypothèses!$E$58</f>
        <v>0</v>
      </c>
      <c r="W57" s="235">
        <f ca="1">V57*(1-'Annexe G  Evolution Portefeuill'!$E$20)+V$97*'Annexe B  Plan commercial'!$D$30*Hypothèses!$E$58</f>
        <v>0</v>
      </c>
      <c r="X57" s="235">
        <f ca="1">W57*(1-'Annexe G  Evolution Portefeuill'!$E$20)+W$97*'Annexe B  Plan commercial'!$D$30*Hypothèses!$E$58</f>
        <v>0</v>
      </c>
      <c r="Y57" s="235">
        <f ca="1">X57*(1-'Annexe G  Evolution Portefeuill'!$E$20)+X$97*'Annexe B  Plan commercial'!$D$30*Hypothèses!$E$58</f>
        <v>0</v>
      </c>
      <c r="Z57" s="235">
        <f ca="1">Y57*(1-'Annexe G  Evolution Portefeuill'!$E$20)+Y$97*'Annexe B  Plan commercial'!$D$30*Hypothèses!$E$58</f>
        <v>0</v>
      </c>
      <c r="AA57" s="235">
        <f ca="1">Z57*(1-'Annexe G  Evolution Portefeuill'!$E$20)+Z$97*'Annexe B  Plan commercial'!$D$30*Hypothèses!$E$58</f>
        <v>0</v>
      </c>
      <c r="AB57" s="235">
        <f ca="1">AA57*(1-'Annexe G  Evolution Portefeuill'!$E$20)+AA$97*'Annexe B  Plan commercial'!$D$30*Hypothèses!$E$58</f>
        <v>0</v>
      </c>
      <c r="AC57" s="235">
        <f ca="1">AB57*(1-'Annexe G  Evolution Portefeuill'!$E$20)+AB$97*'Annexe B  Plan commercial'!$D$30*Hypothèses!$E$58</f>
        <v>0</v>
      </c>
      <c r="AD57" s="235">
        <f ca="1">AC57*(1-'Annexe G  Evolution Portefeuill'!$E$20)+AC$97*'Annexe B  Plan commercial'!$D$30*Hypothèses!$E$58</f>
        <v>0</v>
      </c>
      <c r="AE57" s="235">
        <f ca="1">AD57*(1-'Annexe G  Evolution Portefeuill'!$E$20)+AD$97*'Annexe B  Plan commercial'!$D$30*Hypothèses!$E$58</f>
        <v>0</v>
      </c>
      <c r="AF57" s="235">
        <f ca="1">AE57*(1-'Annexe G  Evolution Portefeuill'!$E$20)+AE$97*'Annexe B  Plan commercial'!$D$30*Hypothèses!$E$58</f>
        <v>0</v>
      </c>
      <c r="AG57" s="236">
        <f ca="1">AF57*(1-'Annexe G  Evolution Portefeuill'!$E$20)+AF$97*'Annexe B  Plan commercial'!$D$30*Hypothèses!$E$58</f>
        <v>0</v>
      </c>
      <c r="AH57" s="235">
        <f ca="1">AG57*(1-'Annexe G  Evolution Portefeuill'!$F$20)+AG$97*'Annexe B  Plan commercial'!$E$30*Hypothèses!$E$58</f>
        <v>0</v>
      </c>
      <c r="AI57" s="235">
        <f ca="1">AH57*(1-'Annexe G  Evolution Portefeuill'!$F$20)+AH$97*'Annexe B  Plan commercial'!$E$30*Hypothèses!$E$58</f>
        <v>0</v>
      </c>
      <c r="AJ57" s="235">
        <f ca="1">AI57*(1-'Annexe G  Evolution Portefeuill'!$F$20)+AI$97*'Annexe B  Plan commercial'!$E$30*Hypothèses!$E$58</f>
        <v>0</v>
      </c>
      <c r="AK57" s="235">
        <f ca="1">AJ57*(1-'Annexe G  Evolution Portefeuill'!$F$20)+AJ$97*'Annexe B  Plan commercial'!$E$30*Hypothèses!$E$58</f>
        <v>0</v>
      </c>
      <c r="AL57" s="235">
        <f ca="1">AK57*(1-'Annexe G  Evolution Portefeuill'!$F$20)+AK$97*'Annexe B  Plan commercial'!$E$30*Hypothèses!$E$58</f>
        <v>0</v>
      </c>
      <c r="AM57" s="235">
        <f ca="1">AL57*(1-'Annexe G  Evolution Portefeuill'!$F$20)+AL$97*'Annexe B  Plan commercial'!$E$30*Hypothèses!$E$58</f>
        <v>0</v>
      </c>
      <c r="AN57" s="235">
        <f ca="1">AM57*(1-'Annexe G  Evolution Portefeuill'!$F$20)+AM$97*'Annexe B  Plan commercial'!$E$30*Hypothèses!$E$58</f>
        <v>0</v>
      </c>
      <c r="AO57" s="235">
        <f ca="1">AN57*(1-'Annexe G  Evolution Portefeuill'!$F$20)+AN$97*'Annexe B  Plan commercial'!$E$30*Hypothèses!$E$58</f>
        <v>0</v>
      </c>
      <c r="AP57" s="235">
        <f ca="1">AO57*(1-'Annexe G  Evolution Portefeuill'!$F$20)+AO$97*'Annexe B  Plan commercial'!$E$30*Hypothèses!$E$58</f>
        <v>0</v>
      </c>
      <c r="AQ57" s="235">
        <f ca="1">AP57*(1-'Annexe G  Evolution Portefeuill'!$F$20)+AP$97*'Annexe B  Plan commercial'!$E$30*Hypothèses!$E$58</f>
        <v>0</v>
      </c>
      <c r="AR57" s="235">
        <f ca="1">AQ57*(1-'Annexe G  Evolution Portefeuill'!$F$20)+AQ$97*'Annexe B  Plan commercial'!$E$30*Hypothèses!$E$58</f>
        <v>0</v>
      </c>
      <c r="AS57" s="235">
        <f ca="1">AR57*(1-'Annexe G  Evolution Portefeuill'!$F$20)+AR$97*'Annexe B  Plan commercial'!$E$30*Hypothèses!$E$58</f>
        <v>0</v>
      </c>
      <c r="AT57" s="237">
        <f ca="1">AS57*(1-'Annexe G  Evolution Portefeuill'!$G$20)+AS$97*'Annexe B  Plan commercial'!$F$30*Hypothèses!$F$58</f>
        <v>0</v>
      </c>
      <c r="AU57" s="235">
        <f ca="1">AT57*(1-'Annexe G  Evolution Portefeuill'!$G$20)+AT$97*'Annexe B  Plan commercial'!$F$30*Hypothèses!$F$58</f>
        <v>0</v>
      </c>
      <c r="AV57" s="235">
        <f ca="1">AU57*(1-'Annexe G  Evolution Portefeuill'!$G$20)+AU$97*'Annexe B  Plan commercial'!$F$30*Hypothèses!$F$58</f>
        <v>0</v>
      </c>
      <c r="AW57" s="235">
        <f ca="1">AV57*(1-'Annexe G  Evolution Portefeuill'!$G$20)+AV$97*'Annexe B  Plan commercial'!$F$30*Hypothèses!$F$58</f>
        <v>0</v>
      </c>
      <c r="AX57" s="235">
        <f ca="1">AW57*(1-'Annexe G  Evolution Portefeuill'!$G$20)+AW$97*'Annexe B  Plan commercial'!$F$30*Hypothèses!$F$58</f>
        <v>0</v>
      </c>
      <c r="AY57" s="235">
        <f ca="1">AX57*(1-'Annexe G  Evolution Portefeuill'!$G$20)+AX$97*'Annexe B  Plan commercial'!$F$30*Hypothèses!$F$58</f>
        <v>0</v>
      </c>
      <c r="AZ57" s="235">
        <f ca="1">AY57*(1-'Annexe G  Evolution Portefeuill'!$G$20)+AY$97*'Annexe B  Plan commercial'!$F$30*Hypothèses!$F$58</f>
        <v>0</v>
      </c>
      <c r="BA57" s="235">
        <f ca="1">AZ57*(1-'Annexe G  Evolution Portefeuill'!$G$20)+AZ$97*'Annexe B  Plan commercial'!$F$30*Hypothèses!$F$58</f>
        <v>0</v>
      </c>
      <c r="BB57" s="235">
        <f ca="1">BA57*(1-'Annexe G  Evolution Portefeuill'!$G$20)+BA$97*'Annexe B  Plan commercial'!$F$30*Hypothèses!$F$58</f>
        <v>0</v>
      </c>
      <c r="BC57" s="235">
        <f ca="1">BB57*(1-'Annexe G  Evolution Portefeuill'!$G$20)+BB$97*'Annexe B  Plan commercial'!$F$30*Hypothèses!$F$58</f>
        <v>0</v>
      </c>
      <c r="BD57" s="235">
        <f ca="1">BC57*(1-'Annexe G  Evolution Portefeuill'!$G$20)+BC$97*'Annexe B  Plan commercial'!$F$30*Hypothèses!$F$58</f>
        <v>0</v>
      </c>
      <c r="BE57" s="236">
        <f ca="1">BD57*(1-'Annexe G  Evolution Portefeuill'!$G$20)+BD$97*'Annexe B  Plan commercial'!$F$30*Hypothèses!$F$58</f>
        <v>0</v>
      </c>
      <c r="BF57" s="235">
        <f ca="1">BE57*(1-'Annexe G  Evolution Portefeuill'!$H$20)+BE$97*'Annexe B  Plan commercial'!$G$30*Hypothèses!$H$58</f>
        <v>0</v>
      </c>
      <c r="BG57" s="235">
        <f ca="1">BF57*(1-'Annexe G  Evolution Portefeuill'!$H$20)+BF$97*'Annexe B  Plan commercial'!$G$30*Hypothèses!$H$58</f>
        <v>0</v>
      </c>
      <c r="BH57" s="235">
        <f ca="1">BG57*(1-'Annexe G  Evolution Portefeuill'!$H$20)+BG$97*'Annexe B  Plan commercial'!$G$30*Hypothèses!$H$58</f>
        <v>0</v>
      </c>
      <c r="BI57" s="235">
        <f ca="1">BH57*(1-'Annexe G  Evolution Portefeuill'!$H$20)+BH$97*'Annexe B  Plan commercial'!$G$30*Hypothèses!$H$58</f>
        <v>0</v>
      </c>
      <c r="BJ57" s="235">
        <f ca="1">BI57*(1-'Annexe G  Evolution Portefeuill'!$H$20)+BI$97*'Annexe B  Plan commercial'!$G$30*Hypothèses!$H$58</f>
        <v>0</v>
      </c>
      <c r="BK57" s="235">
        <f ca="1">BJ57*(1-'Annexe G  Evolution Portefeuill'!$H$20)+BJ$97*'Annexe B  Plan commercial'!$G$30*Hypothèses!$H$58</f>
        <v>0</v>
      </c>
      <c r="BL57" s="235">
        <f ca="1">BK57*(1-'Annexe G  Evolution Portefeuill'!$H$20)+BK$97*'Annexe B  Plan commercial'!$G$30*Hypothèses!$H$58</f>
        <v>0</v>
      </c>
      <c r="BM57" s="235">
        <f ca="1">BL57*(1-'Annexe G  Evolution Portefeuill'!$H$20)+BL$97*'Annexe B  Plan commercial'!$G$30*Hypothèses!$H$58</f>
        <v>0</v>
      </c>
      <c r="BN57" s="235">
        <f ca="1">BM57*(1-'Annexe G  Evolution Portefeuill'!$H$20)+BM$97*'Annexe B  Plan commercial'!$G$30*Hypothèses!$H$58</f>
        <v>0</v>
      </c>
      <c r="BO57" s="235">
        <f ca="1">BN57*(1-'Annexe G  Evolution Portefeuill'!$H$20)+BN$97*'Annexe B  Plan commercial'!$G$30*Hypothèses!$H$58</f>
        <v>0</v>
      </c>
      <c r="BP57" s="235">
        <f ca="1">BO57*(1-'Annexe G  Evolution Portefeuill'!$H$20)+BO$97*'Annexe B  Plan commercial'!$G$30*Hypothèses!$H$58</f>
        <v>0</v>
      </c>
      <c r="BQ57" s="235">
        <f ca="1">BP57*(1-'Annexe G  Evolution Portefeuill'!$H$20)+BP$97*'Annexe B  Plan commercial'!$G$30*Hypothèses!$H$58</f>
        <v>0</v>
      </c>
      <c r="BR57" s="238">
        <f ca="1">BQ57*(1-'Annexe G  Evolution Portefeuill'!$I$20)+BQ$97*'Annexe B  Plan commercial'!$H$30*Hypothèses!$H$58</f>
        <v>0</v>
      </c>
      <c r="BS57" s="235">
        <f ca="1">BR57*(1-'Annexe G  Evolution Portefeuill'!$I$20)+BR$97*'Annexe B  Plan commercial'!$H$30*Hypothèses!$H$58</f>
        <v>0</v>
      </c>
      <c r="BT57" s="235">
        <f ca="1">BS57*(1-'Annexe G  Evolution Portefeuill'!$I$20)+BS$97*'Annexe B  Plan commercial'!$H$30*Hypothèses!$H$58</f>
        <v>0</v>
      </c>
      <c r="BU57" s="235">
        <f ca="1">BT57*(1-'Annexe G  Evolution Portefeuill'!$I$20)+BT$97*'Annexe B  Plan commercial'!$H$30*Hypothèses!$H$58</f>
        <v>0</v>
      </c>
      <c r="BV57" s="235">
        <f ca="1">BU57*(1-'Annexe G  Evolution Portefeuill'!$I$20)+BU$97*'Annexe B  Plan commercial'!$H$30*Hypothèses!$H$58</f>
        <v>0</v>
      </c>
      <c r="BW57" s="235">
        <f ca="1">BV57*(1-'Annexe G  Evolution Portefeuill'!$I$20)+BV$97*'Annexe B  Plan commercial'!$H$30*Hypothèses!$H$58</f>
        <v>0</v>
      </c>
      <c r="BX57" s="235">
        <f ca="1">BW57*(1-'Annexe G  Evolution Portefeuill'!$I$20)+BW$97*'Annexe B  Plan commercial'!$H$30*Hypothèses!$H$58</f>
        <v>0</v>
      </c>
      <c r="BY57" s="235">
        <f ca="1">BX57*(1-'Annexe G  Evolution Portefeuill'!$I$20)+BX$97*'Annexe B  Plan commercial'!$H$30*Hypothèses!$H$58</f>
        <v>0</v>
      </c>
      <c r="BZ57" s="235">
        <f ca="1">BY57*(1-'Annexe G  Evolution Portefeuill'!$I$20)+BY$97*'Annexe B  Plan commercial'!$H$30*Hypothèses!$H$58</f>
        <v>0</v>
      </c>
      <c r="CA57" s="235">
        <f ca="1">BZ57*(1-'Annexe G  Evolution Portefeuill'!$I$20)+BZ$97*'Annexe B  Plan commercial'!$H$30*Hypothèses!$H$58</f>
        <v>0</v>
      </c>
      <c r="CB57" s="235">
        <f ca="1">CA57*(1-'Annexe G  Evolution Portefeuill'!$I$20)+CA$97*'Annexe B  Plan commercial'!$H$30*Hypothèses!$H$58</f>
        <v>0</v>
      </c>
      <c r="CC57" s="239">
        <f ca="1">CB57*(1-'Annexe G  Evolution Portefeuill'!$I$20)+CB$97*'Annexe B  Plan commercial'!$H$30*Hypothèses!$H$58</f>
        <v>0</v>
      </c>
      <c r="CD57" s="260"/>
    </row>
    <row r="58" spans="1:82" ht="15">
      <c r="A58" s="243"/>
      <c r="B58" s="241"/>
      <c r="C58" s="227"/>
      <c r="D58" s="228"/>
      <c r="E58" s="228"/>
      <c r="F58" s="228"/>
      <c r="G58" s="228"/>
      <c r="H58" s="228"/>
      <c r="I58" s="229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8"/>
      <c r="U58" s="228"/>
      <c r="V58" s="227"/>
      <c r="W58" s="228"/>
      <c r="X58" s="228"/>
      <c r="Y58" s="228"/>
      <c r="Z58" s="228"/>
      <c r="AA58" s="228"/>
      <c r="AB58" s="228"/>
      <c r="AC58" s="228"/>
      <c r="AD58" s="228"/>
      <c r="AE58" s="228"/>
      <c r="AF58" s="228"/>
      <c r="AG58" s="229"/>
      <c r="AH58" s="228"/>
      <c r="AI58" s="228"/>
      <c r="AJ58" s="228"/>
      <c r="AK58" s="228"/>
      <c r="AL58" s="228"/>
      <c r="AM58" s="228"/>
      <c r="AN58" s="228"/>
      <c r="AO58" s="228"/>
      <c r="AP58" s="228"/>
      <c r="AQ58" s="228"/>
      <c r="AR58" s="228"/>
      <c r="AS58" s="228"/>
      <c r="AT58" s="227"/>
      <c r="AU58" s="228"/>
      <c r="AV58" s="228"/>
      <c r="AW58" s="228"/>
      <c r="AX58" s="228"/>
      <c r="AY58" s="228"/>
      <c r="AZ58" s="228"/>
      <c r="BA58" s="228"/>
      <c r="BB58" s="228"/>
      <c r="BC58" s="228"/>
      <c r="BD58" s="228"/>
      <c r="BE58" s="229"/>
      <c r="BF58" s="228"/>
      <c r="BG58" s="228"/>
      <c r="BH58" s="228"/>
      <c r="BI58" s="228"/>
      <c r="BJ58" s="228"/>
      <c r="BK58" s="228"/>
      <c r="BL58" s="228"/>
      <c r="BM58" s="228"/>
      <c r="BN58" s="228"/>
      <c r="BO58" s="228"/>
      <c r="BP58" s="228"/>
      <c r="BQ58" s="228"/>
      <c r="BR58" s="230"/>
      <c r="BS58" s="228"/>
      <c r="BT58" s="228"/>
      <c r="BU58" s="228"/>
      <c r="BV58" s="228"/>
      <c r="BW58" s="228"/>
      <c r="BX58" s="228"/>
      <c r="BY58" s="228"/>
      <c r="BZ58" s="228"/>
      <c r="CA58" s="228"/>
      <c r="CB58" s="228"/>
      <c r="CC58" s="231"/>
      <c r="CD58" s="260"/>
    </row>
    <row r="59" spans="1:82" ht="15">
      <c r="A59" s="243" t="s">
        <v>147</v>
      </c>
      <c r="B59" s="241"/>
      <c r="C59" s="227">
        <f t="shared" ref="C59:CC59" si="11">C60+C61+C62</f>
        <v>19.8</v>
      </c>
      <c r="D59" s="228">
        <f t="shared" si="11"/>
        <v>20.363119647355163</v>
      </c>
      <c r="E59" s="228">
        <f t="shared" si="11"/>
        <v>20.914976901763222</v>
      </c>
      <c r="F59" s="228">
        <f t="shared" si="11"/>
        <v>21.455797011083121</v>
      </c>
      <c r="G59" s="228">
        <f t="shared" si="11"/>
        <v>21.98580071821662</v>
      </c>
      <c r="H59" s="228">
        <f t="shared" si="11"/>
        <v>22.50520435120745</v>
      </c>
      <c r="I59" s="229">
        <f t="shared" si="11"/>
        <v>23.014219911538461</v>
      </c>
      <c r="J59" s="228">
        <f t="shared" si="11"/>
        <v>23.631811113464373</v>
      </c>
      <c r="K59" s="228">
        <f t="shared" ca="1" si="11"/>
        <v>24.318821169608473</v>
      </c>
      <c r="L59" s="228">
        <f t="shared" ca="1" si="11"/>
        <v>24.543808549770048</v>
      </c>
      <c r="M59" s="228">
        <f t="shared" ca="1" si="11"/>
        <v>25.214858650778798</v>
      </c>
      <c r="N59" s="228">
        <f t="shared" ca="1" si="11"/>
        <v>25.874165375019892</v>
      </c>
      <c r="O59" s="228">
        <f t="shared" ca="1" si="11"/>
        <v>26.521934231586769</v>
      </c>
      <c r="P59" s="228">
        <f t="shared" ca="1" si="11"/>
        <v>27.158367133163726</v>
      </c>
      <c r="Q59" s="228">
        <f t="shared" ca="1" si="11"/>
        <v>27.984229209592808</v>
      </c>
      <c r="R59" s="228">
        <f t="shared" ca="1" si="11"/>
        <v>28.795638699684382</v>
      </c>
      <c r="S59" s="228">
        <f t="shared" ca="1" si="11"/>
        <v>29.592848523699352</v>
      </c>
      <c r="T59" s="228">
        <f t="shared" ca="1" si="11"/>
        <v>30.376107175794061</v>
      </c>
      <c r="U59" s="228">
        <f t="shared" ca="1" si="11"/>
        <v>31.145658801477111</v>
      </c>
      <c r="V59" s="227">
        <f t="shared" ca="1" si="11"/>
        <v>31.979607420714402</v>
      </c>
      <c r="W59" s="228">
        <f t="shared" ca="1" si="11"/>
        <v>32.801046810663131</v>
      </c>
      <c r="X59" s="228">
        <f t="shared" ca="1" si="11"/>
        <v>33.610164609762627</v>
      </c>
      <c r="Y59" s="228">
        <f t="shared" ca="1" si="11"/>
        <v>34.40714564187563</v>
      </c>
      <c r="Z59" s="228">
        <f t="shared" ca="1" si="11"/>
        <v>35.19217195850694</v>
      </c>
      <c r="AA59" s="228">
        <f t="shared" ca="1" si="11"/>
        <v>35.965422880388779</v>
      </c>
      <c r="AB59" s="228">
        <f t="shared" ca="1" si="11"/>
        <v>36.727075038442386</v>
      </c>
      <c r="AC59" s="228">
        <f t="shared" ca="1" si="11"/>
        <v>37.577585789440057</v>
      </c>
      <c r="AD59" s="228">
        <f t="shared" ca="1" si="11"/>
        <v>38.415338879172765</v>
      </c>
      <c r="AE59" s="228">
        <f t="shared" ca="1" si="11"/>
        <v>39.240525672559485</v>
      </c>
      <c r="AF59" s="228">
        <f t="shared" ca="1" si="11"/>
        <v>40.053334664045401</v>
      </c>
      <c r="AG59" s="229">
        <f t="shared" ca="1" si="11"/>
        <v>40.853951520659031</v>
      </c>
      <c r="AH59" s="228">
        <f t="shared" ca="1" si="11"/>
        <v>41.724267027464769</v>
      </c>
      <c r="AI59" s="228">
        <f t="shared" ca="1" si="11"/>
        <v>42.583268432682033</v>
      </c>
      <c r="AJ59" s="228">
        <f t="shared" ca="1" si="11"/>
        <v>43.431102819631477</v>
      </c>
      <c r="AK59" s="228">
        <f t="shared" ca="1" si="11"/>
        <v>44.267915359550578</v>
      </c>
      <c r="AL59" s="228">
        <f t="shared" ca="1" si="11"/>
        <v>45.093849336450731</v>
      </c>
      <c r="AM59" s="228">
        <f t="shared" ca="1" si="11"/>
        <v>45.909046171651177</v>
      </c>
      <c r="AN59" s="228">
        <f t="shared" ca="1" si="11"/>
        <v>46.713645447994018</v>
      </c>
      <c r="AO59" s="228">
        <f t="shared" ca="1" si="11"/>
        <v>47.507784933744404</v>
      </c>
      <c r="AP59" s="228">
        <f t="shared" ca="1" si="11"/>
        <v>48.291600606180033</v>
      </c>
      <c r="AQ59" s="228">
        <f t="shared" ca="1" si="11"/>
        <v>49.065226674874005</v>
      </c>
      <c r="AR59" s="228">
        <f t="shared" ca="1" si="11"/>
        <v>49.828795604674951</v>
      </c>
      <c r="AS59" s="228">
        <f t="shared" ca="1" si="11"/>
        <v>50.582438138388483</v>
      </c>
      <c r="AT59" s="227">
        <f t="shared" ca="1" si="11"/>
        <v>51.376865757302127</v>
      </c>
      <c r="AU59" s="228">
        <f t="shared" ca="1" si="11"/>
        <v>52.161760244788809</v>
      </c>
      <c r="AV59" s="228">
        <f t="shared" ca="1" si="11"/>
        <v>52.937235998425649</v>
      </c>
      <c r="AW59" s="228">
        <f t="shared" ca="1" si="11"/>
        <v>53.703406043018852</v>
      </c>
      <c r="AX59" s="228">
        <f t="shared" ca="1" si="11"/>
        <v>54.460382047076934</v>
      </c>
      <c r="AY59" s="228">
        <f t="shared" ca="1" si="11"/>
        <v>55.208274339086316</v>
      </c>
      <c r="AZ59" s="228">
        <f t="shared" ca="1" si="11"/>
        <v>55.947191923591589</v>
      </c>
      <c r="BA59" s="228">
        <f t="shared" ca="1" si="11"/>
        <v>56.92795093536995</v>
      </c>
      <c r="BB59" s="228">
        <f t="shared" ca="1" si="11"/>
        <v>57.896940839006966</v>
      </c>
      <c r="BC59" s="228">
        <f t="shared" ca="1" si="11"/>
        <v>58.854302863800342</v>
      </c>
      <c r="BD59" s="228">
        <f t="shared" ca="1" si="11"/>
        <v>59.800176544296193</v>
      </c>
      <c r="BE59" s="229">
        <f t="shared" ca="1" si="11"/>
        <v>60.734699740626098</v>
      </c>
      <c r="BF59" s="228">
        <f t="shared" ca="1" si="11"/>
        <v>61.553530826854526</v>
      </c>
      <c r="BG59" s="228">
        <f t="shared" ca="1" si="11"/>
        <v>62.363354771134446</v>
      </c>
      <c r="BH59" s="228">
        <f t="shared" ca="1" si="11"/>
        <v>64.019270652027288</v>
      </c>
      <c r="BI59" s="228">
        <f t="shared" ca="1" si="11"/>
        <v>65.656971458230302</v>
      </c>
      <c r="BJ59" s="228">
        <f t="shared" ca="1" si="11"/>
        <v>68.086657555565097</v>
      </c>
      <c r="BK59" s="228">
        <f t="shared" ca="1" si="11"/>
        <v>71.299617105829185</v>
      </c>
      <c r="BL59" s="228">
        <f t="shared" ca="1" si="11"/>
        <v>74.477234101040381</v>
      </c>
      <c r="BM59" s="228">
        <f t="shared" ca="1" si="11"/>
        <v>87.029196742553623</v>
      </c>
      <c r="BN59" s="228">
        <f t="shared" ca="1" si="11"/>
        <v>99.4430877950102</v>
      </c>
      <c r="BO59" s="228">
        <f t="shared" ca="1" si="11"/>
        <v>111.72042604588978</v>
      </c>
      <c r="BP59" s="228">
        <f t="shared" ca="1" si="11"/>
        <v>123.86271357600967</v>
      </c>
      <c r="BQ59" s="228">
        <f t="shared" ca="1" si="11"/>
        <v>135.87143594329825</v>
      </c>
      <c r="BR59" s="230">
        <f t="shared" ca="1" si="11"/>
        <v>147.61219092860335</v>
      </c>
      <c r="BS59" s="228">
        <f t="shared" ca="1" si="11"/>
        <v>159.66205685408477</v>
      </c>
      <c r="BT59" s="228">
        <f t="shared" ca="1" si="11"/>
        <v>171.56732438846046</v>
      </c>
      <c r="BU59" s="228">
        <f t="shared" ca="1" si="11"/>
        <v>183.7797287124236</v>
      </c>
      <c r="BV59" s="228">
        <f t="shared" ca="1" si="11"/>
        <v>195.84558418449919</v>
      </c>
      <c r="BW59" s="228">
        <f t="shared" ca="1" si="11"/>
        <v>207.76664939090989</v>
      </c>
      <c r="BX59" s="228">
        <f t="shared" ca="1" si="11"/>
        <v>220.89466181484369</v>
      </c>
      <c r="BY59" s="228">
        <f t="shared" ca="1" si="11"/>
        <v>256.98417029885155</v>
      </c>
      <c r="BZ59" s="228">
        <f t="shared" ca="1" si="11"/>
        <v>293.04560468105132</v>
      </c>
      <c r="CA59" s="228">
        <f t="shared" ca="1" si="11"/>
        <v>328.67430185066468</v>
      </c>
      <c r="CB59" s="228">
        <f t="shared" ca="1" si="11"/>
        <v>364.77545465424271</v>
      </c>
      <c r="CC59" s="231">
        <f t="shared" ca="1" si="11"/>
        <v>400.4433936241777</v>
      </c>
      <c r="CD59" s="260"/>
    </row>
    <row r="60" spans="1:82" ht="14">
      <c r="A60" s="233" t="s">
        <v>142</v>
      </c>
      <c r="B60" s="61"/>
      <c r="C60" s="234">
        <f>66*0.3</f>
        <v>19.8</v>
      </c>
      <c r="D60" s="262">
        <f>C60*(1-'Annexe G  Evolution Portefeuill'!$C$21)+C$93*'Annexe B  Plan commercial'!$B6*Hypothèses!$B$54</f>
        <v>20.363119647355163</v>
      </c>
      <c r="E60" s="262">
        <f>D60*(1-'Annexe G  Evolution Portefeuill'!$C$21)+D$93*'Annexe B  Plan commercial'!$B6*Hypothèses!$B$54</f>
        <v>20.914976901763222</v>
      </c>
      <c r="F60" s="262">
        <f>E60*(1-'Annexe G  Evolution Portefeuill'!$C$21)+E$93*'Annexe B  Plan commercial'!$B6*Hypothèses!$B$54</f>
        <v>21.455797011083121</v>
      </c>
      <c r="G60" s="262">
        <f>F60*(1-'Annexe G  Evolution Portefeuill'!$C$21)+F$93*'Annexe B  Plan commercial'!$B6*Hypothèses!$B$54</f>
        <v>21.98580071821662</v>
      </c>
      <c r="H60" s="262">
        <f>G60*(1-'Annexe G  Evolution Portefeuill'!$C$21)+G$93*'Annexe B  Plan commercial'!$B6*Hypothèses!$B$54</f>
        <v>22.50520435120745</v>
      </c>
      <c r="I60" s="263">
        <f>H60*(1-'Annexe G  Evolution Portefeuill'!$C$21)+H$93*'Annexe B  Plan commercial'!$B6*Hypothèses!$B$54</f>
        <v>23.014219911538461</v>
      </c>
      <c r="J60" s="262">
        <f>I60*(1-'Annexe G  Evolution Portefeuill'!$D$21)+I$93*'Annexe B  Plan commercial'!$C6*Hypothèses!$C$54</f>
        <v>23.631811113464373</v>
      </c>
      <c r="K60" s="262">
        <f ca="1">J60*(1-'Annexe G  Evolution Portefeuill'!$D$21)+J$93*'Annexe B  Plan commercial'!$C6*Hypothèses!$C$54</f>
        <v>24.318821169608473</v>
      </c>
      <c r="L60" s="262">
        <f ca="1">K60*(1-'Annexe G  Evolution Portefeuill'!$D$21)+K$93*'Annexe B  Plan commercial'!$C6*Hypothèses!$C$54</f>
        <v>24.543808549770048</v>
      </c>
      <c r="M60" s="262">
        <f ca="1">L60*(1-'Annexe G  Evolution Portefeuill'!$D$21)+L$93*'Annexe B  Plan commercial'!$C6*Hypothèses!$C$54</f>
        <v>25.214858650778798</v>
      </c>
      <c r="N60" s="262">
        <f ca="1">M60*(1-'Annexe G  Evolution Portefeuill'!$D$21)+M$93*'Annexe B  Plan commercial'!$C6*Hypothèses!$C$54</f>
        <v>25.874165375019892</v>
      </c>
      <c r="O60" s="262">
        <f ca="1">N60*(1-'Annexe G  Evolution Portefeuill'!$D$21)+N$93*'Annexe B  Plan commercial'!$C6*Hypothèses!$C$54</f>
        <v>26.521934231586769</v>
      </c>
      <c r="P60" s="262">
        <f ca="1">O60*(1-'Annexe G  Evolution Portefeuill'!$D$21)+O$93*'Annexe B  Plan commercial'!$C6*Hypothèses!$C$54</f>
        <v>27.158367133163726</v>
      </c>
      <c r="Q60" s="262">
        <f ca="1">P60*(1-'Annexe G  Evolution Portefeuill'!$D$21)+P$93*'Annexe B  Plan commercial'!$C6*Hypothèses!$C$54</f>
        <v>27.984229209592808</v>
      </c>
      <c r="R60" s="262">
        <f ca="1">Q60*(1-'Annexe G  Evolution Portefeuill'!$D$21)+Q$93*'Annexe B  Plan commercial'!$C6*Hypothèses!$C$54</f>
        <v>28.795638699684382</v>
      </c>
      <c r="S60" s="262">
        <f ca="1">R60*(1-'Annexe G  Evolution Portefeuill'!$D$21)+R$93*'Annexe B  Plan commercial'!$C6*Hypothèses!$C$54</f>
        <v>29.592848523699352</v>
      </c>
      <c r="T60" s="262">
        <f ca="1">S60*(1-'Annexe G  Evolution Portefeuill'!$D$21)+S$93*'Annexe B  Plan commercial'!$C6*Hypothèses!$C$54</f>
        <v>30.376107175794061</v>
      </c>
      <c r="U60" s="262">
        <f ca="1">T60*(1-'Annexe G  Evolution Portefeuill'!$D$21)+T$93*'Annexe B  Plan commercial'!$C6*Hypothèses!$C$54</f>
        <v>31.145658801477111</v>
      </c>
      <c r="V60" s="264">
        <f ca="1">U60*(1-'Annexe G  Evolution Portefeuill'!$E$21)+U$93*'Annexe B  Plan commercial'!$D6*Hypothèses!$D$54</f>
        <v>31.979607420714402</v>
      </c>
      <c r="W60" s="262">
        <f ca="1">V60*(1-'Annexe G  Evolution Portefeuill'!$E$21)+V$93*'Annexe B  Plan commercial'!$D6*Hypothèses!$D$54</f>
        <v>32.801046810663131</v>
      </c>
      <c r="X60" s="262">
        <f ca="1">W60*(1-'Annexe G  Evolution Portefeuill'!$E$21)+W$93*'Annexe B  Plan commercial'!$D6*Hypothèses!$D$54</f>
        <v>33.610164609762627</v>
      </c>
      <c r="Y60" s="262">
        <f ca="1">X60*(1-'Annexe G  Evolution Portefeuill'!$E$21)+X$93*'Annexe B  Plan commercial'!$D6*Hypothèses!$D$54</f>
        <v>34.40714564187563</v>
      </c>
      <c r="Z60" s="262">
        <f ca="1">Y60*(1-'Annexe G  Evolution Portefeuill'!$E$21)+Y$93*'Annexe B  Plan commercial'!$D6*Hypothèses!$D$54</f>
        <v>35.19217195850694</v>
      </c>
      <c r="AA60" s="262">
        <f ca="1">Z60*(1-'Annexe G  Evolution Portefeuill'!$E$21)+Z$93*'Annexe B  Plan commercial'!$D6*Hypothèses!$D$54</f>
        <v>35.965422880388779</v>
      </c>
      <c r="AB60" s="262">
        <f ca="1">AA60*(1-'Annexe G  Evolution Portefeuill'!$E$21)+AA$93*'Annexe B  Plan commercial'!$D6*Hypothèses!$D$54</f>
        <v>36.727075038442386</v>
      </c>
      <c r="AC60" s="262">
        <f ca="1">AB60*(1-'Annexe G  Evolution Portefeuill'!$E$21)+AB$93*'Annexe B  Plan commercial'!$D6*Hypothèses!$D$54</f>
        <v>37.577585789440057</v>
      </c>
      <c r="AD60" s="262">
        <f ca="1">AC60*(1-'Annexe G  Evolution Portefeuill'!$E$21)+AC$93*'Annexe B  Plan commercial'!$D6*Hypothèses!$D$54</f>
        <v>38.415338879172765</v>
      </c>
      <c r="AE60" s="262">
        <f ca="1">AD60*(1-'Annexe G  Evolution Portefeuill'!$E$21)+AD$93*'Annexe B  Plan commercial'!$D6*Hypothèses!$D$54</f>
        <v>39.240525672559485</v>
      </c>
      <c r="AF60" s="262">
        <f ca="1">AE60*(1-'Annexe G  Evolution Portefeuill'!$E$21)+AE$93*'Annexe B  Plan commercial'!$D6*Hypothèses!$D$54</f>
        <v>40.053334664045401</v>
      </c>
      <c r="AG60" s="263">
        <f ca="1">AF60*(1-'Annexe G  Evolution Portefeuill'!$E$21)+AF$93*'Annexe B  Plan commercial'!$D6*Hypothèses!$D$54</f>
        <v>40.853951520659031</v>
      </c>
      <c r="AH60" s="262">
        <f ca="1">AG60*(1-'Annexe G  Evolution Portefeuill'!$F$21)+AG$93*'Annexe B  Plan commercial'!$E6*Hypothèses!$E$54</f>
        <v>41.724267027464769</v>
      </c>
      <c r="AI60" s="262">
        <f ca="1">AH60*(1-'Annexe G  Evolution Portefeuill'!$F$21)+AH$93*'Annexe B  Plan commercial'!$E6*Hypothèses!$E$54</f>
        <v>42.583268432682033</v>
      </c>
      <c r="AJ60" s="262">
        <f ca="1">AI60*(1-'Annexe G  Evolution Portefeuill'!$F$21)+AI$93*'Annexe B  Plan commercial'!$E6*Hypothèses!$E$54</f>
        <v>43.431102819631477</v>
      </c>
      <c r="AK60" s="262">
        <f ca="1">AJ60*(1-'Annexe G  Evolution Portefeuill'!$F$21)+AJ$93*'Annexe B  Plan commercial'!$E6*Hypothèses!$E$54</f>
        <v>44.267915359550578</v>
      </c>
      <c r="AL60" s="262">
        <f ca="1">AK60*(1-'Annexe G  Evolution Portefeuill'!$F$21)+AK$93*'Annexe B  Plan commercial'!$E6*Hypothèses!$E$54</f>
        <v>45.093849336450731</v>
      </c>
      <c r="AM60" s="262">
        <f ca="1">AL60*(1-'Annexe G  Evolution Portefeuill'!$F$21)+AL$93*'Annexe B  Plan commercial'!$E6*Hypothèses!$E$54</f>
        <v>45.909046171651177</v>
      </c>
      <c r="AN60" s="262">
        <f ca="1">AM60*(1-'Annexe G  Evolution Portefeuill'!$F$21)+AM$93*'Annexe B  Plan commercial'!$E6*Hypothèses!$E$54</f>
        <v>46.713645447994018</v>
      </c>
      <c r="AO60" s="262">
        <f ca="1">AN60*(1-'Annexe G  Evolution Portefeuill'!$F$21)+AN$93*'Annexe B  Plan commercial'!$E6*Hypothèses!$E$54</f>
        <v>47.507784933744404</v>
      </c>
      <c r="AP60" s="262">
        <f ca="1">AO60*(1-'Annexe G  Evolution Portefeuill'!$F$21)+AO$93*'Annexe B  Plan commercial'!$E6*Hypothèses!$E$54</f>
        <v>48.291600606180033</v>
      </c>
      <c r="AQ60" s="262">
        <f ca="1">AP60*(1-'Annexe G  Evolution Portefeuill'!$F$21)+AP$93*'Annexe B  Plan commercial'!$E6*Hypothèses!$E$54</f>
        <v>49.065226674874005</v>
      </c>
      <c r="AR60" s="262">
        <f ca="1">AQ60*(1-'Annexe G  Evolution Portefeuill'!$F$21)+AQ$93*'Annexe B  Plan commercial'!$E6*Hypothèses!$E$54</f>
        <v>49.828795604674951</v>
      </c>
      <c r="AS60" s="262">
        <f ca="1">AR60*(1-'Annexe G  Evolution Portefeuill'!$F$21)+AR$93*'Annexe B  Plan commercial'!$E6*Hypothèses!$E$54</f>
        <v>50.582438138388483</v>
      </c>
      <c r="AT60" s="264">
        <f ca="1">AS60*(1-'Annexe G  Evolution Portefeuill'!$G$21)+AS$93*'Annexe B  Plan commercial'!$F6*Hypothèses!$F$54</f>
        <v>51.376865757302127</v>
      </c>
      <c r="AU60" s="262">
        <f ca="1">AT60*(1-'Annexe G  Evolution Portefeuill'!$G$21)+AT$93*'Annexe B  Plan commercial'!$F6*Hypothèses!$F$54</f>
        <v>52.161760244788809</v>
      </c>
      <c r="AV60" s="262">
        <f ca="1">AU60*(1-'Annexe G  Evolution Portefeuill'!$G$21)+AU$93*'Annexe B  Plan commercial'!$F6*Hypothèses!$F$54</f>
        <v>52.937235998425649</v>
      </c>
      <c r="AW60" s="262">
        <f ca="1">AV60*(1-'Annexe G  Evolution Portefeuill'!$G$21)+AV$93*'Annexe B  Plan commercial'!$F6*Hypothèses!$F$54</f>
        <v>53.703406043018852</v>
      </c>
      <c r="AX60" s="262">
        <f ca="1">AW60*(1-'Annexe G  Evolution Portefeuill'!$G$21)+AW$93*'Annexe B  Plan commercial'!$F6*Hypothèses!$F$54</f>
        <v>54.460382047076934</v>
      </c>
      <c r="AY60" s="262">
        <f ca="1">AX60*(1-'Annexe G  Evolution Portefeuill'!$G$21)+AX$93*'Annexe B  Plan commercial'!$F6*Hypothèses!$F$54</f>
        <v>55.208274339086316</v>
      </c>
      <c r="AZ60" s="262">
        <f ca="1">AY60*(1-'Annexe G  Evolution Portefeuill'!$G$21)+AY$93*'Annexe B  Plan commercial'!$F6*Hypothèses!$F$54</f>
        <v>55.947191923591589</v>
      </c>
      <c r="BA60" s="262">
        <f ca="1">AZ60*(1-'Annexe G  Evolution Portefeuill'!$G$21)+AZ$93*'Annexe B  Plan commercial'!$F6*Hypothèses!$F$54</f>
        <v>56.92795093536995</v>
      </c>
      <c r="BB60" s="262">
        <f ca="1">BA60*(1-'Annexe G  Evolution Portefeuill'!$G$21)+BA$93*'Annexe B  Plan commercial'!$F6*Hypothèses!$F$54</f>
        <v>57.896940839006966</v>
      </c>
      <c r="BC60" s="262">
        <f ca="1">BB60*(1-'Annexe G  Evolution Portefeuill'!$G$21)+BB$93*'Annexe B  Plan commercial'!$F6*Hypothèses!$F$54</f>
        <v>58.854302863800342</v>
      </c>
      <c r="BD60" s="262">
        <f ca="1">BC60*(1-'Annexe G  Evolution Portefeuill'!$G$21)+BC$93*'Annexe B  Plan commercial'!$F6*Hypothèses!$F$54</f>
        <v>59.800176544296193</v>
      </c>
      <c r="BE60" s="263">
        <f ca="1">BD60*(1-'Annexe G  Evolution Portefeuill'!$G$21)+BD$93*'Annexe B  Plan commercial'!$F6*Hypothèses!$F$54</f>
        <v>60.734699740626098</v>
      </c>
      <c r="BF60" s="262">
        <f ca="1">BE60*(1-'Annexe G  Evolution Portefeuill'!$H$21)+BE$93*'Annexe B  Plan commercial'!$G6*Hypothèses!$G$54</f>
        <v>61.553530826854526</v>
      </c>
      <c r="BG60" s="262">
        <f ca="1">BF60*(1-'Annexe G  Evolution Portefeuill'!$H$21)+BF$93*'Annexe B  Plan commercial'!$G6*Hypothèses!$G$54</f>
        <v>62.363354771134446</v>
      </c>
      <c r="BH60" s="262">
        <f ca="1">BG60*(1-'Annexe G  Evolution Portefeuill'!$H$21)+BG$93*'Annexe B  Plan commercial'!$G6*Hypothèses!$G$54</f>
        <v>63.569270652027285</v>
      </c>
      <c r="BI60" s="262">
        <f ca="1">BH60*(1-'Annexe G  Evolution Portefeuill'!$H$21)+BH$93*'Annexe B  Plan commercial'!$G6*Hypothèses!$G$54</f>
        <v>64.761921458230304</v>
      </c>
      <c r="BJ60" s="262">
        <f ca="1">BI60*(1-'Annexe G  Evolution Portefeuill'!$H$21)+BI$93*'Annexe B  Plan commercial'!$G6*Hypothèses!$G$54</f>
        <v>66.751453105565091</v>
      </c>
      <c r="BK60" s="262">
        <f ca="1">BJ60*(1-'Annexe G  Evolution Portefeuill'!$H$21)+BJ$93*'Annexe B  Plan commercial'!$G6*Hypothèses!$G$54</f>
        <v>69.529099904779187</v>
      </c>
      <c r="BL60" s="262">
        <f ca="1">BK60*(1-'Annexe G  Evolution Portefeuill'!$H$21)+BK$93*'Annexe B  Plan commercial'!$G6*Hypothèses!$G$54</f>
        <v>72.276192589201926</v>
      </c>
      <c r="BM60" s="262">
        <f ca="1">BL60*(1-'Annexe G  Evolution Portefeuill'!$H$21)+BL$93*'Annexe B  Plan commercial'!$G6*Hypothèses!$G$54</f>
        <v>75.126154470720707</v>
      </c>
      <c r="BN60" s="262">
        <f ca="1">BM60*(1-'Annexe G  Evolution Portefeuill'!$H$21)+BM$93*'Annexe B  Plan commercial'!$G6*Hypothèses!$G$54</f>
        <v>77.944766771542774</v>
      </c>
      <c r="BO60" s="262">
        <f ca="1">BN60*(1-'Annexe G  Evolution Portefeuill'!$H$21)+BN$93*'Annexe B  Plan commercial'!$G6*Hypothèses!$G$54</f>
        <v>80.732374337055802</v>
      </c>
      <c r="BP60" s="262">
        <f ca="1">BO60*(1-'Annexe G  Evolution Portefeuill'!$H$21)+BO$93*'Annexe B  Plan commercial'!$G6*Hypothèses!$G$54</f>
        <v>83.489318219348178</v>
      </c>
      <c r="BQ60" s="262">
        <f ca="1">BP60*(1-'Annexe G  Evolution Portefeuill'!$H$21)+BP$93*'Annexe B  Plan commercial'!$G6*Hypothèses!$G$54</f>
        <v>86.215935718935341</v>
      </c>
      <c r="BR60" s="265">
        <f ca="1">BQ60*(1-'Annexe G  Evolution Portefeuill'!$I$21)+BQ$93*'Annexe B  Plan commercial'!$G6*Hypothèses!$G$54</f>
        <v>88.826344490308117</v>
      </c>
      <c r="BS60" s="262">
        <f ca="1">BR60*(1-'Annexe G  Evolution Portefeuill'!$I$21)+BR$93*'Annexe B  Plan commercial'!$G6*Hypothèses!$G$54</f>
        <v>91.405428356424409</v>
      </c>
      <c r="BT60" s="262">
        <f ca="1">BS60*(1-'Annexe G  Evolution Portefeuill'!$I$21)+BS$93*'Annexe B  Plan commercial'!$G6*Hypothèses!$G$54</f>
        <v>93.953563216147316</v>
      </c>
      <c r="BU60" s="262">
        <f ca="1">BT60*(1-'Annexe G  Evolution Portefeuill'!$I$21)+BT$93*'Annexe B  Plan commercial'!$G6*Hypothèses!$G$54</f>
        <v>96.471120457553539</v>
      </c>
      <c r="BV60" s="262">
        <f ca="1">BU60*(1-'Annexe G  Evolution Portefeuill'!$I$21)+BU$93*'Annexe B  Plan commercial'!$G6*Hypothèses!$G$54</f>
        <v>98.958467012062897</v>
      </c>
      <c r="BW60" s="262">
        <f ca="1">BV60*(1-'Annexe G  Evolution Portefeuill'!$I$21)+BV$93*'Annexe B  Plan commercial'!$G6*Hypothèses!$G$54</f>
        <v>101.41596540791814</v>
      </c>
      <c r="BX60" s="262">
        <f ca="1">BW60*(1-'Annexe G  Evolution Portefeuill'!$I$21)+BW$93*'Annexe B  Plan commercial'!$G6*Hypothèses!$G$54</f>
        <v>103.84397382302312</v>
      </c>
      <c r="BY60" s="262">
        <f ca="1">BX60*(1-'Annexe G  Evolution Portefeuill'!$I$21)+BX$93*'Annexe B  Plan commercial'!$G6*Hypothèses!$G$54</f>
        <v>109.85304764848186</v>
      </c>
      <c r="BZ60" s="262">
        <f ca="1">BY60*(1-'Annexe G  Evolution Portefeuill'!$I$21)+BY$93*'Annexe B  Plan commercial'!$G6*Hypothèses!$G$54</f>
        <v>116.1950125880351</v>
      </c>
      <c r="CA60" s="262">
        <f ca="1">BZ60*(1-'Annexe G  Evolution Portefeuill'!$I$21)+BZ$93*'Annexe B  Plan commercial'!$G6*Hypothèses!$G$54</f>
        <v>122.46087394831369</v>
      </c>
      <c r="CB60" s="262">
        <f ca="1">CA60*(1-'Annexe G  Evolution Portefeuill'!$I$21)+CA$93*'Annexe B  Plan commercial'!$G6*Hypothèses!$G$54</f>
        <v>128.65154497226894</v>
      </c>
      <c r="CC60" s="266">
        <f ca="1">CB60*(1-'Annexe G  Evolution Portefeuill'!$I$21)+CB$93*'Annexe B  Plan commercial'!$G6*Hypothèses!$G$54</f>
        <v>134.76792794393671</v>
      </c>
      <c r="CD60" s="261"/>
    </row>
    <row r="61" spans="1:82" ht="14">
      <c r="A61" s="233" t="s">
        <v>143</v>
      </c>
      <c r="B61" s="61"/>
      <c r="C61" s="234">
        <v>0</v>
      </c>
      <c r="D61" s="262">
        <f>C61*(1-'Annexe G  Evolution Portefeuill'!$C$21)+C94*'Annexe B  Plan commercial'!$B12*Hypothèses!$B$55</f>
        <v>0</v>
      </c>
      <c r="E61" s="262">
        <f>D61*(1-'Annexe G  Evolution Portefeuill'!$C$21)+D94*'Annexe B  Plan commercial'!$B12*Hypothèses!$B$55</f>
        <v>0</v>
      </c>
      <c r="F61" s="262">
        <f>E61*(1-'Annexe G  Evolution Portefeuill'!$C$21)+E94*'Annexe B  Plan commercial'!$B12*Hypothèses!$B$55</f>
        <v>0</v>
      </c>
      <c r="G61" s="262">
        <f>F61*(1-'Annexe G  Evolution Portefeuill'!$C$21)+F94*'Annexe B  Plan commercial'!$B12*Hypothèses!$B$55</f>
        <v>0</v>
      </c>
      <c r="H61" s="262">
        <f>G61*(1-'Annexe G  Evolution Portefeuill'!$C$21)+G94*'Annexe B  Plan commercial'!$B12*Hypothèses!$B$55</f>
        <v>0</v>
      </c>
      <c r="I61" s="263">
        <f>H61*(1-'Annexe G  Evolution Portefeuill'!$C$21)+H94*'Annexe B  Plan commercial'!$B12*Hypothèses!$B$55</f>
        <v>0</v>
      </c>
      <c r="J61" s="262">
        <f>I61*(1-'Annexe G  Evolution Portefeuill'!$D$21)+I94*'Annexe B  Plan commercial'!$C12*Hypothèses!$C$55</f>
        <v>0</v>
      </c>
      <c r="K61" s="262">
        <f ca="1">J61*(1-'Annexe G  Evolution Portefeuill'!$D$21)+J94*'Annexe B  Plan commercial'!$C12*Hypothèses!$C$55</f>
        <v>0</v>
      </c>
      <c r="L61" s="262">
        <f ca="1">K61*(1-'Annexe G  Evolution Portefeuill'!$D$21)+K94*'Annexe B  Plan commercial'!$C12*Hypothèses!$C$55</f>
        <v>0</v>
      </c>
      <c r="M61" s="262">
        <f ca="1">L61*(1-'Annexe G  Evolution Portefeuill'!$D$21)+L94*'Annexe B  Plan commercial'!$C12*Hypothèses!$C$55</f>
        <v>0</v>
      </c>
      <c r="N61" s="262">
        <f ca="1">M61*(1-'Annexe G  Evolution Portefeuill'!$D$21)+M94*'Annexe B  Plan commercial'!$C12*Hypothèses!$C$55</f>
        <v>0</v>
      </c>
      <c r="O61" s="262">
        <f ca="1">N61*(1-'Annexe G  Evolution Portefeuill'!$D$21)+N94*'Annexe B  Plan commercial'!$C12*Hypothèses!$C$55</f>
        <v>0</v>
      </c>
      <c r="P61" s="262">
        <f ca="1">O61*(1-'Annexe G  Evolution Portefeuill'!$D$21)+O94*'Annexe B  Plan commercial'!$C12*Hypothèses!$C$55</f>
        <v>0</v>
      </c>
      <c r="Q61" s="262">
        <f ca="1">P61*(1-'Annexe G  Evolution Portefeuill'!$D$21)+P94*'Annexe B  Plan commercial'!$C12*Hypothèses!$C$55</f>
        <v>0</v>
      </c>
      <c r="R61" s="262">
        <f ca="1">Q61*(1-'Annexe G  Evolution Portefeuill'!$D$21)+Q94*'Annexe B  Plan commercial'!$C12*Hypothèses!$C$55</f>
        <v>0</v>
      </c>
      <c r="S61" s="262">
        <f ca="1">R61*(1-'Annexe G  Evolution Portefeuill'!$D$21)+R94*'Annexe B  Plan commercial'!$C12*Hypothèses!$C$55</f>
        <v>0</v>
      </c>
      <c r="T61" s="262">
        <f ca="1">S61*(1-'Annexe G  Evolution Portefeuill'!$D$21)+S94*'Annexe B  Plan commercial'!$C12*Hypothèses!$C$55</f>
        <v>0</v>
      </c>
      <c r="U61" s="262">
        <f ca="1">T61*(1-'Annexe G  Evolution Portefeuill'!$D$21)+T94*'Annexe B  Plan commercial'!$C12*Hypothèses!$C$55</f>
        <v>0</v>
      </c>
      <c r="V61" s="264">
        <f ca="1">U61*(1-'Annexe G  Evolution Portefeuill'!$E$21)+U94*'Annexe B  Plan commercial'!$D12*Hypothèses!$D$55</f>
        <v>0</v>
      </c>
      <c r="W61" s="262">
        <f ca="1">V61*(1-'Annexe G  Evolution Portefeuill'!$E$21)+V94*'Annexe B  Plan commercial'!$D12*Hypothèses!$D$55</f>
        <v>0</v>
      </c>
      <c r="X61" s="262">
        <f ca="1">W61*(1-'Annexe G  Evolution Portefeuill'!$E$21)+W94*'Annexe B  Plan commercial'!$D12*Hypothèses!$D$55</f>
        <v>0</v>
      </c>
      <c r="Y61" s="262">
        <f ca="1">X61*(1-'Annexe G  Evolution Portefeuill'!$E$21)+X94*'Annexe B  Plan commercial'!$D12*Hypothèses!$D$55</f>
        <v>0</v>
      </c>
      <c r="Z61" s="262">
        <f ca="1">Y61*(1-'Annexe G  Evolution Portefeuill'!$E$21)+Y94*'Annexe B  Plan commercial'!$D12*Hypothèses!$D$55</f>
        <v>0</v>
      </c>
      <c r="AA61" s="262">
        <f ca="1">Z61*(1-'Annexe G  Evolution Portefeuill'!$E$21)+Z94*'Annexe B  Plan commercial'!$D12*Hypothèses!$D$55</f>
        <v>0</v>
      </c>
      <c r="AB61" s="262">
        <f ca="1">AA61*(1-'Annexe G  Evolution Portefeuill'!$E$21)+AA94*'Annexe B  Plan commercial'!$D12*Hypothèses!$D$55</f>
        <v>0</v>
      </c>
      <c r="AC61" s="262">
        <f ca="1">AB61*(1-'Annexe G  Evolution Portefeuill'!$E$21)+AB94*'Annexe B  Plan commercial'!$D12*Hypothèses!$D$55</f>
        <v>0</v>
      </c>
      <c r="AD61" s="262">
        <f ca="1">AC61*(1-'Annexe G  Evolution Portefeuill'!$E$21)+AC94*'Annexe B  Plan commercial'!$D12*Hypothèses!$D$55</f>
        <v>0</v>
      </c>
      <c r="AE61" s="262">
        <f ca="1">AD61*(1-'Annexe G  Evolution Portefeuill'!$E$21)+AD94*'Annexe B  Plan commercial'!$D12*Hypothèses!$D$55</f>
        <v>0</v>
      </c>
      <c r="AF61" s="262">
        <f ca="1">AE61*(1-'Annexe G  Evolution Portefeuill'!$E$21)+AE94*'Annexe B  Plan commercial'!$D12*Hypothèses!$D$55</f>
        <v>0</v>
      </c>
      <c r="AG61" s="263">
        <f ca="1">AF61*(1-'Annexe G  Evolution Portefeuill'!$E$21)+AF94*'Annexe B  Plan commercial'!$D12*Hypothèses!$D$55</f>
        <v>0</v>
      </c>
      <c r="AH61" s="262">
        <f ca="1">AG61*(1-'Annexe G  Evolution Portefeuill'!$F$21)+AG$94*'Annexe B  Plan commercial'!$E12*Hypothèses!$E$55</f>
        <v>0</v>
      </c>
      <c r="AI61" s="262">
        <f ca="1">AH61*(1-'Annexe G  Evolution Portefeuill'!$F$21)+AH$94*'Annexe B  Plan commercial'!$E12*Hypothèses!$E$55</f>
        <v>0</v>
      </c>
      <c r="AJ61" s="262">
        <f ca="1">AI61*(1-'Annexe G  Evolution Portefeuill'!$F$21)+AI$94*'Annexe B  Plan commercial'!$E12*Hypothèses!$E$55</f>
        <v>0</v>
      </c>
      <c r="AK61" s="262">
        <f ca="1">AJ61*(1-'Annexe G  Evolution Portefeuill'!$F$21)+AJ$94*'Annexe B  Plan commercial'!$E12*Hypothèses!$E$55</f>
        <v>0</v>
      </c>
      <c r="AL61" s="262">
        <f ca="1">AK61*(1-'Annexe G  Evolution Portefeuill'!$F$21)+AK$94*'Annexe B  Plan commercial'!$E12*Hypothèses!$E$55</f>
        <v>0</v>
      </c>
      <c r="AM61" s="262">
        <f ca="1">AL61*(1-'Annexe G  Evolution Portefeuill'!$F$21)+AL$94*'Annexe B  Plan commercial'!$E12*Hypothèses!$E$55</f>
        <v>0</v>
      </c>
      <c r="AN61" s="262">
        <f ca="1">AM61*(1-'Annexe G  Evolution Portefeuill'!$F$21)+AM$94*'Annexe B  Plan commercial'!$E12*Hypothèses!$E$55</f>
        <v>0</v>
      </c>
      <c r="AO61" s="262">
        <f ca="1">AN61*(1-'Annexe G  Evolution Portefeuill'!$F$21)+AN$94*'Annexe B  Plan commercial'!$E12*Hypothèses!$E$55</f>
        <v>0</v>
      </c>
      <c r="AP61" s="262">
        <f ca="1">AO61*(1-'Annexe G  Evolution Portefeuill'!$F$21)+AO$94*'Annexe B  Plan commercial'!$E12*Hypothèses!$E$55</f>
        <v>0</v>
      </c>
      <c r="AQ61" s="262">
        <f ca="1">AP61*(1-'Annexe G  Evolution Portefeuill'!$F$21)+AP$94*'Annexe B  Plan commercial'!$E12*Hypothèses!$E$55</f>
        <v>0</v>
      </c>
      <c r="AR61" s="262">
        <f ca="1">AQ61*(1-'Annexe G  Evolution Portefeuill'!$F$21)+AQ$94*'Annexe B  Plan commercial'!$E12*Hypothèses!$E$55</f>
        <v>0</v>
      </c>
      <c r="AS61" s="262">
        <f ca="1">AR61*(1-'Annexe G  Evolution Portefeuill'!$F$21)+AR$94*'Annexe B  Plan commercial'!$E12*Hypothèses!$E$55</f>
        <v>0</v>
      </c>
      <c r="AT61" s="264">
        <f ca="1">AS61*(1-'Annexe G  Evolution Portefeuill'!$G$21)+AS$94*'Annexe B  Plan commercial'!$F12*Hypothèses!$F$55</f>
        <v>0</v>
      </c>
      <c r="AU61" s="262">
        <f ca="1">AT61*(1-'Annexe G  Evolution Portefeuill'!$G$21)+AT$94*'Annexe B  Plan commercial'!$F12*Hypothèses!$F$55</f>
        <v>0</v>
      </c>
      <c r="AV61" s="262">
        <f ca="1">AU61*(1-'Annexe G  Evolution Portefeuill'!$G$21)+AU$94*'Annexe B  Plan commercial'!$F12*Hypothèses!$F$55</f>
        <v>0</v>
      </c>
      <c r="AW61" s="262">
        <f ca="1">AV61*(1-'Annexe G  Evolution Portefeuill'!$G$21)+AV$94*'Annexe B  Plan commercial'!$F12*Hypothèses!$F$55</f>
        <v>0</v>
      </c>
      <c r="AX61" s="262">
        <f ca="1">AW61*(1-'Annexe G  Evolution Portefeuill'!$G$21)+AW$94*'Annexe B  Plan commercial'!$F12*Hypothèses!$F$55</f>
        <v>0</v>
      </c>
      <c r="AY61" s="262">
        <f ca="1">AX61*(1-'Annexe G  Evolution Portefeuill'!$G$21)+AX$94*'Annexe B  Plan commercial'!$F12*Hypothèses!$F$55</f>
        <v>0</v>
      </c>
      <c r="AZ61" s="262">
        <f ca="1">AY61*(1-'Annexe G  Evolution Portefeuill'!$G$21)+AY$94*'Annexe B  Plan commercial'!$F12*Hypothèses!$F$55</f>
        <v>0</v>
      </c>
      <c r="BA61" s="262">
        <f ca="1">AZ61*(1-'Annexe G  Evolution Portefeuill'!$G$21)+AZ$94*'Annexe B  Plan commercial'!$F12*Hypothèses!$F$55</f>
        <v>0</v>
      </c>
      <c r="BB61" s="262">
        <f ca="1">BA61*(1-'Annexe G  Evolution Portefeuill'!$G$21)+BA$94*'Annexe B  Plan commercial'!$F12*Hypothèses!$F$55</f>
        <v>0</v>
      </c>
      <c r="BC61" s="262">
        <f ca="1">BB61*(1-'Annexe G  Evolution Portefeuill'!$G$21)+BB$94*'Annexe B  Plan commercial'!$F12*Hypothèses!$F$55</f>
        <v>0</v>
      </c>
      <c r="BD61" s="262">
        <f ca="1">BC61*(1-'Annexe G  Evolution Portefeuill'!$G$21)+BC$94*'Annexe B  Plan commercial'!$F12*Hypothèses!$F$55</f>
        <v>0</v>
      </c>
      <c r="BE61" s="263">
        <f ca="1">BD61*(1-'Annexe G  Evolution Portefeuill'!$G$21)+BD$94*'Annexe B  Plan commercial'!$F12*Hypothèses!$F$55</f>
        <v>0</v>
      </c>
      <c r="BF61" s="262">
        <f ca="1">BE61*(1-'Annexe G  Evolution Portefeuill'!$H$21)+BE$94*'Annexe B  Plan commercial'!$G12*Hypothèses!$G$55</f>
        <v>0</v>
      </c>
      <c r="BG61" s="262">
        <f ca="1">BF61*(1-'Annexe G  Evolution Portefeuill'!$H$21)+BF$94*'Annexe B  Plan commercial'!$G12*Hypothèses!$G$55</f>
        <v>0</v>
      </c>
      <c r="BH61" s="262">
        <f ca="1">BG61*(1-'Annexe G  Evolution Portefeuill'!$H$21)+BG$94*'Annexe B  Plan commercial'!$G12*Hypothèses!$G$55</f>
        <v>0.44999999999999996</v>
      </c>
      <c r="BI61" s="262">
        <f ca="1">BH61*(1-'Annexe G  Evolution Portefeuill'!$H$21)+BH$94*'Annexe B  Plan commercial'!$G12*Hypothèses!$G$55</f>
        <v>0.8950499999999999</v>
      </c>
      <c r="BJ61" s="262">
        <f ca="1">BI61*(1-'Annexe G  Evolution Portefeuill'!$H$21)+BI$94*'Annexe B  Plan commercial'!$G12*Hypothèses!$G$55</f>
        <v>1.33520445</v>
      </c>
      <c r="BK61" s="262">
        <f ca="1">BJ61*(1-'Annexe G  Evolution Portefeuill'!$H$21)+BJ$94*'Annexe B  Plan commercial'!$G12*Hypothèses!$G$55</f>
        <v>1.7705172010499999</v>
      </c>
      <c r="BL61" s="262">
        <f ca="1">BK61*(1-'Annexe G  Evolution Portefeuill'!$H$21)+BK$94*'Annexe B  Plan commercial'!$G12*Hypothèses!$G$55</f>
        <v>2.2010415118384499</v>
      </c>
      <c r="BM61" s="262">
        <f ca="1">BL61*(1-'Annexe G  Evolution Portefeuill'!$H$21)+BL$94*'Annexe B  Plan commercial'!$G12*Hypothèses!$G$55</f>
        <v>11.903042271832911</v>
      </c>
      <c r="BN61" s="262">
        <f ca="1">BM61*(1-'Annexe G  Evolution Portefeuill'!$H$21)+BM$94*'Annexe B  Plan commercial'!$G12*Hypothèses!$G$55</f>
        <v>21.498321023467433</v>
      </c>
      <c r="BO61" s="262">
        <f ca="1">BN61*(1-'Annexe G  Evolution Portefeuill'!$H$21)+BN$94*'Annexe B  Plan commercial'!$G12*Hypothèses!$G$55</f>
        <v>30.988051708833975</v>
      </c>
      <c r="BP61" s="262">
        <f ca="1">BO61*(1-'Annexe G  Evolution Portefeuill'!$H$21)+BO$94*'Annexe B  Plan commercial'!$G12*Hypothèses!$G$55</f>
        <v>40.37339535666149</v>
      </c>
      <c r="BQ61" s="262">
        <f ca="1">BP61*(1-'Annexe G  Evolution Portefeuill'!$H$21)+BP$94*'Annexe B  Plan commercial'!$G12*Hypothèses!$G$55</f>
        <v>49.655500224362896</v>
      </c>
      <c r="BR61" s="265">
        <f ca="1">BQ61*(1-'Annexe G  Evolution Portefeuill'!$I$21)+BQ$94*'Annexe B  Plan commercial'!$G12*Hypothèses!$G$55</f>
        <v>58.785846438295223</v>
      </c>
      <c r="BS61" s="262">
        <f ca="1">BR61*(1-'Annexe G  Evolution Portefeuill'!$I$21)+BR$94*'Annexe B  Plan commercial'!$G12*Hypothèses!$G$55</f>
        <v>68.256628497660373</v>
      </c>
      <c r="BT61" s="262">
        <f ca="1">BS61*(1-'Annexe G  Evolution Portefeuill'!$I$21)+BS$94*'Annexe B  Plan commercial'!$G12*Hypothèses!$G$55</f>
        <v>77.613761172313133</v>
      </c>
      <c r="BU61" s="262">
        <f ca="1">BT61*(1-'Annexe G  Evolution Portefeuill'!$I$21)+BT$94*'Annexe B  Plan commercial'!$G12*Hypothèses!$G$55</f>
        <v>86.858608254870063</v>
      </c>
      <c r="BV61" s="262">
        <f ca="1">BU61*(1-'Annexe G  Evolution Portefeuill'!$I$21)+BU$94*'Annexe B  Plan commercial'!$G12*Hypothèses!$G$55</f>
        <v>95.992517172436308</v>
      </c>
      <c r="BW61" s="262">
        <f ca="1">BV61*(1-'Annexe G  Evolution Portefeuill'!$I$21)+BV$94*'Annexe B  Plan commercial'!$G12*Hypothèses!$G$55</f>
        <v>105.01681918299177</v>
      </c>
      <c r="BX61" s="262">
        <f ca="1">BW61*(1-'Annexe G  Evolution Portefeuill'!$I$21)+BW$94*'Annexe B  Plan commercial'!$G12*Hypothèses!$G$55</f>
        <v>114.83282956942055</v>
      </c>
      <c r="BY61" s="262">
        <f ca="1">BX61*(1-'Annexe G  Evolution Portefeuill'!$I$21)+BX$94*'Annexe B  Plan commercial'!$G12*Hypothèses!$G$55</f>
        <v>128.62595232323571</v>
      </c>
      <c r="BZ61" s="262">
        <f ca="1">BY61*(1-'Annexe G  Evolution Portefeuill'!$I$21)+BY$94*'Annexe B  Plan commercial'!$G12*Hypothèses!$G$55</f>
        <v>142.25355760400507</v>
      </c>
      <c r="CA61" s="262">
        <f ca="1">BZ61*(1-'Annexe G  Evolution Portefeuill'!$I$21)+BZ$94*'Annexe B  Plan commercial'!$G12*Hypothèses!$G$55</f>
        <v>155.71763162140519</v>
      </c>
      <c r="CB61" s="262">
        <f ca="1">CA61*(1-'Annexe G  Evolution Portefeuill'!$I$21)+CA$94*'Annexe B  Plan commercial'!$G12*Hypothèses!$G$55</f>
        <v>169.92013675059653</v>
      </c>
      <c r="CC61" s="266">
        <f ca="1">CB61*(1-'Annexe G  Evolution Portefeuill'!$I$21)+CB$94*'Annexe B  Plan commercial'!$G12*Hypothèses!$G$55</f>
        <v>183.95221181823754</v>
      </c>
      <c r="CD61" s="261"/>
    </row>
    <row r="62" spans="1:82" ht="14">
      <c r="A62" s="233" t="s">
        <v>144</v>
      </c>
      <c r="B62" s="61"/>
      <c r="C62" s="234">
        <v>0</v>
      </c>
      <c r="D62" s="262">
        <f>C62*(1-'Annexe G  Evolution Portefeuill'!$C$21)+C95*'Annexe B  Plan commercial'!$B18*Hypothèses!$B$56</f>
        <v>0</v>
      </c>
      <c r="E62" s="262">
        <f>D62*(1-'Annexe G  Evolution Portefeuill'!$C$21)+D95*'Annexe B  Plan commercial'!$B18*Hypothèses!$B$56</f>
        <v>0</v>
      </c>
      <c r="F62" s="262">
        <f>E62*(1-'Annexe G  Evolution Portefeuill'!$C$21)+E95*'Annexe B  Plan commercial'!$B18*Hypothèses!$B$56</f>
        <v>0</v>
      </c>
      <c r="G62" s="262">
        <f>F62*(1-'Annexe G  Evolution Portefeuill'!$C$21)+F95*'Annexe B  Plan commercial'!$B18*Hypothèses!$B$56</f>
        <v>0</v>
      </c>
      <c r="H62" s="262">
        <f>G62*(1-'Annexe G  Evolution Portefeuill'!$C$21)+G95*'Annexe B  Plan commercial'!$B18*Hypothèses!$B$56</f>
        <v>0</v>
      </c>
      <c r="I62" s="263">
        <f>H62*(1-'Annexe G  Evolution Portefeuill'!$C$21)+H95*'Annexe B  Plan commercial'!$B18*Hypothèses!$B$56</f>
        <v>0</v>
      </c>
      <c r="J62" s="262">
        <f>I62*(1-'Annexe G  Evolution Portefeuill'!$D$21)+I95*'Annexe B  Plan commercial'!$C24*Hypothèses!$C$57</f>
        <v>0</v>
      </c>
      <c r="K62" s="262">
        <f ca="1">J62*(1-'Annexe G  Evolution Portefeuill'!$D$21)+J95*'Annexe B  Plan commercial'!$C24*Hypothèses!$C$57</f>
        <v>0</v>
      </c>
      <c r="L62" s="262">
        <f ca="1">K62*(1-'Annexe G  Evolution Portefeuill'!$D$21)+K95*'Annexe B  Plan commercial'!$C24*Hypothèses!$C$57</f>
        <v>0</v>
      </c>
      <c r="M62" s="262">
        <f ca="1">L62*(1-'Annexe G  Evolution Portefeuill'!$D$21)+L95*'Annexe B  Plan commercial'!$C24*Hypothèses!$C$57</f>
        <v>0</v>
      </c>
      <c r="N62" s="262">
        <f ca="1">M62*(1-'Annexe G  Evolution Portefeuill'!$D$21)+M95*'Annexe B  Plan commercial'!$C24*Hypothèses!$C$57</f>
        <v>0</v>
      </c>
      <c r="O62" s="262">
        <f ca="1">N62*(1-'Annexe G  Evolution Portefeuill'!$D$21)+N95*'Annexe B  Plan commercial'!$C24*Hypothèses!$C$57</f>
        <v>0</v>
      </c>
      <c r="P62" s="262">
        <f ca="1">O62*(1-'Annexe G  Evolution Portefeuill'!$D$21)+O95*'Annexe B  Plan commercial'!$C24*Hypothèses!$C$57</f>
        <v>0</v>
      </c>
      <c r="Q62" s="262">
        <f ca="1">P62*(1-'Annexe G  Evolution Portefeuill'!$D$21)+P95*'Annexe B  Plan commercial'!$C24*Hypothèses!$C$57</f>
        <v>0</v>
      </c>
      <c r="R62" s="262">
        <f ca="1">Q62*(1-'Annexe G  Evolution Portefeuill'!$D$21)+Q95*'Annexe B  Plan commercial'!$C24*Hypothèses!$C$57</f>
        <v>0</v>
      </c>
      <c r="S62" s="262">
        <f ca="1">R62*(1-'Annexe G  Evolution Portefeuill'!$D$21)+R95*'Annexe B  Plan commercial'!$C24*Hypothèses!$C$57</f>
        <v>0</v>
      </c>
      <c r="T62" s="262">
        <f ca="1">S62*(1-'Annexe G  Evolution Portefeuill'!$D$21)+S95*'Annexe B  Plan commercial'!$C24*Hypothèses!$C$57</f>
        <v>0</v>
      </c>
      <c r="U62" s="262">
        <f ca="1">T62*(1-'Annexe G  Evolution Portefeuill'!$D$21)+T95*'Annexe B  Plan commercial'!$C24*Hypothèses!$C$57</f>
        <v>0</v>
      </c>
      <c r="V62" s="264">
        <f ca="1">U62*(1-'Annexe G  Evolution Portefeuill'!$E$21)+U95*'Annexe B  Plan commercial'!$D18*Hypothèses!$D$56</f>
        <v>0</v>
      </c>
      <c r="W62" s="262">
        <f ca="1">V62*(1-'Annexe G  Evolution Portefeuill'!$E$21)+V95*'Annexe B  Plan commercial'!$D18*Hypothèses!$D$56</f>
        <v>0</v>
      </c>
      <c r="X62" s="262">
        <f ca="1">W62*(1-'Annexe G  Evolution Portefeuill'!$E$21)+W95*'Annexe B  Plan commercial'!$D18*Hypothèses!$D$56</f>
        <v>0</v>
      </c>
      <c r="Y62" s="262">
        <f ca="1">X62*(1-'Annexe G  Evolution Portefeuill'!$E$21)+X95*'Annexe B  Plan commercial'!$D18*Hypothèses!$D$56</f>
        <v>0</v>
      </c>
      <c r="Z62" s="262">
        <f ca="1">Y62*(1-'Annexe G  Evolution Portefeuill'!$E$21)+Y95*'Annexe B  Plan commercial'!$D18*Hypothèses!$D$56</f>
        <v>0</v>
      </c>
      <c r="AA62" s="262">
        <f ca="1">Z62*(1-'Annexe G  Evolution Portefeuill'!$E$21)+Z95*'Annexe B  Plan commercial'!$D18*Hypothèses!$D$56</f>
        <v>0</v>
      </c>
      <c r="AB62" s="262">
        <f ca="1">AA62*(1-'Annexe G  Evolution Portefeuill'!$E$21)+AA95*'Annexe B  Plan commercial'!$D18*Hypothèses!$D$56</f>
        <v>0</v>
      </c>
      <c r="AC62" s="262">
        <f ca="1">AB62*(1-'Annexe G  Evolution Portefeuill'!$E$21)+AB95*'Annexe B  Plan commercial'!$D18*Hypothèses!$D$56</f>
        <v>0</v>
      </c>
      <c r="AD62" s="262">
        <f ca="1">AC62*(1-'Annexe G  Evolution Portefeuill'!$E$21)+AC95*'Annexe B  Plan commercial'!$D18*Hypothèses!$D$56</f>
        <v>0</v>
      </c>
      <c r="AE62" s="262">
        <f ca="1">AD62*(1-'Annexe G  Evolution Portefeuill'!$E$21)+AD95*'Annexe B  Plan commercial'!$D18*Hypothèses!$D$56</f>
        <v>0</v>
      </c>
      <c r="AF62" s="262">
        <f ca="1">AE62*(1-'Annexe G  Evolution Portefeuill'!$E$21)+AE95*'Annexe B  Plan commercial'!$D18*Hypothèses!$D$56</f>
        <v>0</v>
      </c>
      <c r="AG62" s="263">
        <f ca="1">AF62*(1-'Annexe G  Evolution Portefeuill'!$E$21)+AF95*'Annexe B  Plan commercial'!$D18*Hypothèses!$D$56</f>
        <v>0</v>
      </c>
      <c r="AH62" s="262">
        <f ca="1">AG62*(1-'Annexe G  Evolution Portefeuill'!$F$21)+AG95*'Annexe B  Plan commercial'!$E18*Hypothèses!$E$56</f>
        <v>0</v>
      </c>
      <c r="AI62" s="262">
        <f ca="1">AH62*(1-'Annexe G  Evolution Portefeuill'!$F$21)+AH95*'Annexe B  Plan commercial'!$E18*Hypothèses!$E$56</f>
        <v>0</v>
      </c>
      <c r="AJ62" s="262">
        <f ca="1">AI62*(1-'Annexe G  Evolution Portefeuill'!$F$21)+AI95*'Annexe B  Plan commercial'!$E18*Hypothèses!$E$56</f>
        <v>0</v>
      </c>
      <c r="AK62" s="262">
        <f ca="1">AJ62*(1-'Annexe G  Evolution Portefeuill'!$F$21)+AJ95*'Annexe B  Plan commercial'!$E18*Hypothèses!$E$56</f>
        <v>0</v>
      </c>
      <c r="AL62" s="262">
        <f ca="1">AK62*(1-'Annexe G  Evolution Portefeuill'!$F$21)+AK95*'Annexe B  Plan commercial'!$E18*Hypothèses!$E$56</f>
        <v>0</v>
      </c>
      <c r="AM62" s="262">
        <f ca="1">AL62*(1-'Annexe G  Evolution Portefeuill'!$F$21)+AL95*'Annexe B  Plan commercial'!$E18*Hypothèses!$E$56</f>
        <v>0</v>
      </c>
      <c r="AN62" s="262">
        <f ca="1">AM62*(1-'Annexe G  Evolution Portefeuill'!$F$21)+AM95*'Annexe B  Plan commercial'!$E18*Hypothèses!$E$56</f>
        <v>0</v>
      </c>
      <c r="AO62" s="262">
        <f ca="1">AN62*(1-'Annexe G  Evolution Portefeuill'!$F$21)+AN95*'Annexe B  Plan commercial'!$E18*Hypothèses!$E$56</f>
        <v>0</v>
      </c>
      <c r="AP62" s="262">
        <f ca="1">AO62*(1-'Annexe G  Evolution Portefeuill'!$F$21)+AO95*'Annexe B  Plan commercial'!$E18*Hypothèses!$E$56</f>
        <v>0</v>
      </c>
      <c r="AQ62" s="262">
        <f ca="1">AP62*(1-'Annexe G  Evolution Portefeuill'!$F$21)+AP95*'Annexe B  Plan commercial'!$E18*Hypothèses!$E$56</f>
        <v>0</v>
      </c>
      <c r="AR62" s="262">
        <f ca="1">AQ62*(1-'Annexe G  Evolution Portefeuill'!$F$21)+AQ95*'Annexe B  Plan commercial'!$E18*Hypothèses!$E$56</f>
        <v>0</v>
      </c>
      <c r="AS62" s="262">
        <f ca="1">AR62*(1-'Annexe G  Evolution Portefeuill'!$F$21)+AR95*'Annexe B  Plan commercial'!$E18*Hypothèses!$E$56</f>
        <v>0</v>
      </c>
      <c r="AT62" s="264">
        <f ca="1">AS62*(1-'Annexe G  Evolution Portefeuill'!$G$21)+AS95*'Annexe B  Plan commercial'!$F18*Hypothèses!$F$56</f>
        <v>0</v>
      </c>
      <c r="AU62" s="262">
        <f ca="1">AT62*(1-'Annexe G  Evolution Portefeuill'!$G$21)+AT95*'Annexe B  Plan commercial'!$F18*Hypothèses!$F$56</f>
        <v>0</v>
      </c>
      <c r="AV62" s="262">
        <f ca="1">AU62*(1-'Annexe G  Evolution Portefeuill'!$G$21)+AU95*'Annexe B  Plan commercial'!$F18*Hypothèses!$F$56</f>
        <v>0</v>
      </c>
      <c r="AW62" s="262">
        <f ca="1">AV62*(1-'Annexe G  Evolution Portefeuill'!$G$21)+AV95*'Annexe B  Plan commercial'!$F18*Hypothèses!$F$56</f>
        <v>0</v>
      </c>
      <c r="AX62" s="262">
        <f ca="1">AW62*(1-'Annexe G  Evolution Portefeuill'!$G$21)+AW95*'Annexe B  Plan commercial'!$F18*Hypothèses!$F$56</f>
        <v>0</v>
      </c>
      <c r="AY62" s="262">
        <f ca="1">AX62*(1-'Annexe G  Evolution Portefeuill'!$G$21)+AX95*'Annexe B  Plan commercial'!$F18*Hypothèses!$F$56</f>
        <v>0</v>
      </c>
      <c r="AZ62" s="262">
        <f ca="1">AY62*(1-'Annexe G  Evolution Portefeuill'!$G$21)+AY95*'Annexe B  Plan commercial'!$F18*Hypothèses!$F$56</f>
        <v>0</v>
      </c>
      <c r="BA62" s="262">
        <f ca="1">AZ62*(1-'Annexe G  Evolution Portefeuill'!$G$21)+AZ95*'Annexe B  Plan commercial'!$F18*Hypothèses!$F$56</f>
        <v>0</v>
      </c>
      <c r="BB62" s="262">
        <f ca="1">BA62*(1-'Annexe G  Evolution Portefeuill'!$G$21)+BA95*'Annexe B  Plan commercial'!$F18*Hypothèses!$F$56</f>
        <v>0</v>
      </c>
      <c r="BC62" s="262">
        <f ca="1">BB62*(1-'Annexe G  Evolution Portefeuill'!$G$21)+BB95*'Annexe B  Plan commercial'!$F18*Hypothèses!$F$56</f>
        <v>0</v>
      </c>
      <c r="BD62" s="262">
        <f ca="1">BC62*(1-'Annexe G  Evolution Portefeuill'!$G$21)+BC95*'Annexe B  Plan commercial'!$F18*Hypothèses!$F$56</f>
        <v>0</v>
      </c>
      <c r="BE62" s="263">
        <f ca="1">BD62*(1-'Annexe G  Evolution Portefeuill'!$G$21)+BD95*'Annexe B  Plan commercial'!$F18*Hypothèses!$F$56</f>
        <v>0</v>
      </c>
      <c r="BF62" s="262">
        <f ca="1">BE62*(1-'Annexe G  Evolution Portefeuill'!$H$21)+BE95*'Annexe B  Plan commercial'!$G18*Hypothèses!$G$56</f>
        <v>0</v>
      </c>
      <c r="BG62" s="262">
        <f ca="1">BF62*(1-'Annexe G  Evolution Portefeuill'!$H$21)+BF95*'Annexe B  Plan commercial'!$G18*Hypothèses!$G$56</f>
        <v>0</v>
      </c>
      <c r="BH62" s="262">
        <f ca="1">BG62*(1-'Annexe G  Evolution Portefeuill'!$H$21)+BG95*'Annexe B  Plan commercial'!$G18*Hypothèses!$G$56</f>
        <v>0</v>
      </c>
      <c r="BI62" s="262">
        <f ca="1">BH62*(1-'Annexe G  Evolution Portefeuill'!$H$21)+BH95*'Annexe B  Plan commercial'!$G18*Hypothèses!$G$56</f>
        <v>0</v>
      </c>
      <c r="BJ62" s="262">
        <f ca="1">BI62*(1-'Annexe G  Evolution Portefeuill'!$H$21)+BI95*'Annexe B  Plan commercial'!$G18*Hypothèses!$G$56</f>
        <v>0</v>
      </c>
      <c r="BK62" s="262">
        <f ca="1">BJ62*(1-'Annexe G  Evolution Portefeuill'!$H$21)+BJ95*'Annexe B  Plan commercial'!$G18*Hypothèses!$G$56</f>
        <v>0</v>
      </c>
      <c r="BL62" s="262">
        <f ca="1">BK62*(1-'Annexe G  Evolution Portefeuill'!$H$21)+BK95*'Annexe B  Plan commercial'!$G18*Hypothèses!$G$56</f>
        <v>0</v>
      </c>
      <c r="BM62" s="262">
        <f ca="1">BL62*(1-'Annexe G  Evolution Portefeuill'!$H$21)+BL95*'Annexe B  Plan commercial'!$G18*Hypothèses!$G$56</f>
        <v>0</v>
      </c>
      <c r="BN62" s="262">
        <f ca="1">BM62*(1-'Annexe G  Evolution Portefeuill'!$H$21)+BM95*'Annexe B  Plan commercial'!$G18*Hypothèses!$G$56</f>
        <v>0</v>
      </c>
      <c r="BO62" s="262">
        <f ca="1">BN62*(1-'Annexe G  Evolution Portefeuill'!$H$21)+BN95*'Annexe B  Plan commercial'!$G18*Hypothèses!$G$56</f>
        <v>0</v>
      </c>
      <c r="BP62" s="262">
        <f ca="1">BO62*(1-'Annexe G  Evolution Portefeuill'!$H$21)+BO95*'Annexe B  Plan commercial'!$G18*Hypothèses!$G$56</f>
        <v>0</v>
      </c>
      <c r="BQ62" s="262">
        <f ca="1">BP62*(1-'Annexe G  Evolution Portefeuill'!$H$21)+BP95*'Annexe B  Plan commercial'!$G18*Hypothèses!$G$56</f>
        <v>0</v>
      </c>
      <c r="BR62" s="265">
        <f ca="1">BQ62*(1-'Annexe G  Evolution Portefeuill'!$I$21)+BQ95*'Annexe B  Plan commercial'!$H18*Hypothèses!$H$56</f>
        <v>0</v>
      </c>
      <c r="BS62" s="262">
        <f ca="1">BR62*(1-'Annexe G  Evolution Portefeuill'!$I$21)+BR95*'Annexe B  Plan commercial'!$H18*Hypothèses!$H$56</f>
        <v>0</v>
      </c>
      <c r="BT62" s="262">
        <f ca="1">BS62*(1-'Annexe G  Evolution Portefeuill'!$I$21)+BS95*'Annexe B  Plan commercial'!$H18*Hypothèses!$H$56</f>
        <v>0</v>
      </c>
      <c r="BU62" s="262">
        <f ca="1">BT62*(1-'Annexe G  Evolution Portefeuill'!$I$21)+BT95*'Annexe B  Plan commercial'!$H18*Hypothèses!$H$56</f>
        <v>0.44999999999999996</v>
      </c>
      <c r="BV62" s="262">
        <f ca="1">BU62*(1-'Annexe G  Evolution Portefeuill'!$I$21)+BU95*'Annexe B  Plan commercial'!$H18*Hypothèses!$H$56</f>
        <v>0.89459999999999984</v>
      </c>
      <c r="BW62" s="262">
        <f ca="1">BV62*(1-'Annexe G  Evolution Portefeuill'!$I$21)+BV95*'Annexe B  Plan commercial'!$H18*Hypothèses!$H$56</f>
        <v>1.3338647999999997</v>
      </c>
      <c r="BX62" s="262">
        <f ca="1">BW62*(1-'Annexe G  Evolution Portefeuill'!$I$21)+BW95*'Annexe B  Plan commercial'!$H18*Hypothèses!$H$56</f>
        <v>2.2178584223999995</v>
      </c>
      <c r="BY62" s="262">
        <f ca="1">BX62*(1-'Annexe G  Evolution Portefeuill'!$I$21)+BX95*'Annexe B  Plan commercial'!$H18*Hypothèses!$H$56</f>
        <v>18.505170327133978</v>
      </c>
      <c r="BZ62" s="262">
        <f ca="1">BY62*(1-'Annexe G  Evolution Portefeuill'!$I$21)+BY95*'Annexe B  Plan commercial'!$H18*Hypothèses!$H$56</f>
        <v>34.597034489011151</v>
      </c>
      <c r="CA62" s="262">
        <f ca="1">BZ62*(1-'Annexe G  Evolution Portefeuill'!$I$21)+BZ95*'Annexe B  Plan commercial'!$H18*Hypothèses!$H$56</f>
        <v>50.495796280945797</v>
      </c>
      <c r="CB62" s="262">
        <f ca="1">CA62*(1-'Annexe G  Evolution Portefeuill'!$I$21)+CA95*'Annexe B  Plan commercial'!$H18*Hypothèses!$H$56</f>
        <v>66.203772931377216</v>
      </c>
      <c r="CC62" s="266">
        <f ca="1">CB62*(1-'Annexe G  Evolution Portefeuill'!$I$21)+CB95*'Annexe B  Plan commercial'!$H18*Hypothèses!$H$56</f>
        <v>81.723253862003475</v>
      </c>
      <c r="CD62" s="261"/>
    </row>
    <row r="63" spans="1:82" ht="15">
      <c r="A63" s="243" t="s">
        <v>145</v>
      </c>
      <c r="B63" s="226"/>
      <c r="C63" s="234">
        <v>0</v>
      </c>
      <c r="D63" s="262">
        <f>C63*(1-'Annexe G  Evolution Portefeuill'!$C$21)+C96*'Annexe B  Plan commercial'!$B24*Hypothèses!$B$57</f>
        <v>0</v>
      </c>
      <c r="E63" s="262">
        <f>D63*(1-'Annexe G  Evolution Portefeuill'!$C$21)+D96*'Annexe B  Plan commercial'!$B24*Hypothèses!$B$57</f>
        <v>0</v>
      </c>
      <c r="F63" s="262">
        <f>E63*(1-'Annexe G  Evolution Portefeuill'!$C$21)+E96*'Annexe B  Plan commercial'!$B24*Hypothèses!$B$57</f>
        <v>0</v>
      </c>
      <c r="G63" s="262">
        <f>F63*(1-'Annexe G  Evolution Portefeuill'!$C$21)+F96*'Annexe B  Plan commercial'!$B24*Hypothèses!$B$57</f>
        <v>0</v>
      </c>
      <c r="H63" s="262">
        <f>G63*(1-'Annexe G  Evolution Portefeuill'!$C$21)+G96*'Annexe B  Plan commercial'!$B24*Hypothèses!$B$57</f>
        <v>0</v>
      </c>
      <c r="I63" s="263">
        <f>H63*(1-'Annexe G  Evolution Portefeuill'!$C$21)+H96*'Annexe B  Plan commercial'!$B24*Hypothèses!$B$57</f>
        <v>0</v>
      </c>
      <c r="J63" s="262">
        <f>I63*(1-'Annexe G  Evolution Portefeuill'!$D$21)+I96*'Annexe B  Plan commercial'!$C30*Hypothèses!$C$58</f>
        <v>0</v>
      </c>
      <c r="K63" s="262">
        <f ca="1">J63*(1-'Annexe G  Evolution Portefeuill'!$D$21)+J96*'Annexe B  Plan commercial'!$C30*Hypothèses!$C$58</f>
        <v>0</v>
      </c>
      <c r="L63" s="262">
        <f ca="1">K63*(1-'Annexe G  Evolution Portefeuill'!$D$21)+K96*'Annexe B  Plan commercial'!$C30*Hypothèses!$C$58</f>
        <v>0</v>
      </c>
      <c r="M63" s="262">
        <f ca="1">L63*(1-'Annexe G  Evolution Portefeuill'!$D$21)+L96*'Annexe B  Plan commercial'!$C30*Hypothèses!$C$58</f>
        <v>0</v>
      </c>
      <c r="N63" s="262">
        <f ca="1">M63*(1-'Annexe G  Evolution Portefeuill'!$D$21)+M96*'Annexe B  Plan commercial'!$C30*Hypothèses!$C$58</f>
        <v>0</v>
      </c>
      <c r="O63" s="262">
        <f ca="1">N63*(1-'Annexe G  Evolution Portefeuill'!$D$21)+N96*'Annexe B  Plan commercial'!$C30*Hypothèses!$C$58</f>
        <v>0</v>
      </c>
      <c r="P63" s="262">
        <f ca="1">O63*(1-'Annexe G  Evolution Portefeuill'!$D$21)+O96*'Annexe B  Plan commercial'!$C30*Hypothèses!$C$58</f>
        <v>0</v>
      </c>
      <c r="Q63" s="262">
        <f ca="1">P63*(1-'Annexe G  Evolution Portefeuill'!$D$21)+P96*'Annexe B  Plan commercial'!$C30*Hypothèses!$C$58</f>
        <v>0</v>
      </c>
      <c r="R63" s="262">
        <f ca="1">Q63*(1-'Annexe G  Evolution Portefeuill'!$D$21)+Q96*'Annexe B  Plan commercial'!$C30*Hypothèses!$C$58</f>
        <v>0</v>
      </c>
      <c r="S63" s="262">
        <f ca="1">R63*(1-'Annexe G  Evolution Portefeuill'!$D$21)+R96*'Annexe B  Plan commercial'!$C30*Hypothèses!$C$58</f>
        <v>0</v>
      </c>
      <c r="T63" s="262">
        <f ca="1">S63*(1-'Annexe G  Evolution Portefeuill'!$D$21)+S96*'Annexe B  Plan commercial'!$C30*Hypothèses!$C$58</f>
        <v>0</v>
      </c>
      <c r="U63" s="262">
        <f ca="1">T63*(1-'Annexe G  Evolution Portefeuill'!$D$21)+T96*'Annexe B  Plan commercial'!$C30*Hypothèses!$C$58</f>
        <v>0</v>
      </c>
      <c r="V63" s="264">
        <f ca="1">U63*(1-'Annexe G  Evolution Portefeuill'!$E$21)+U96*'Annexe B  Plan commercial'!$D24*Hypothèses!$D$57</f>
        <v>0</v>
      </c>
      <c r="W63" s="262">
        <f ca="1">V63*(1-'Annexe G  Evolution Portefeuill'!$E$21)+V96*'Annexe B  Plan commercial'!$D24*Hypothèses!$D$57</f>
        <v>0</v>
      </c>
      <c r="X63" s="262">
        <f ca="1">W63*(1-'Annexe G  Evolution Portefeuill'!$E$21)+W96*'Annexe B  Plan commercial'!$D24*Hypothèses!$D$57</f>
        <v>0</v>
      </c>
      <c r="Y63" s="262">
        <f ca="1">X63*(1-'Annexe G  Evolution Portefeuill'!$E$21)+X96*'Annexe B  Plan commercial'!$D24*Hypothèses!$D$57</f>
        <v>0</v>
      </c>
      <c r="Z63" s="262">
        <f ca="1">Y63*(1-'Annexe G  Evolution Portefeuill'!$E$21)+Y96*'Annexe B  Plan commercial'!$D24*Hypothèses!$D$57</f>
        <v>0</v>
      </c>
      <c r="AA63" s="262">
        <f ca="1">Z63*(1-'Annexe G  Evolution Portefeuill'!$E$21)+Z96*'Annexe B  Plan commercial'!$D24*Hypothèses!$D$57</f>
        <v>0</v>
      </c>
      <c r="AB63" s="262">
        <f ca="1">AA63*(1-'Annexe G  Evolution Portefeuill'!$E$21)+AA96*'Annexe B  Plan commercial'!$D24*Hypothèses!$D$57</f>
        <v>0</v>
      </c>
      <c r="AC63" s="262">
        <f ca="1">AB63*(1-'Annexe G  Evolution Portefeuill'!$E$21)+AB96*'Annexe B  Plan commercial'!$D24*Hypothèses!$D$57</f>
        <v>0</v>
      </c>
      <c r="AD63" s="262">
        <f ca="1">AC63*(1-'Annexe G  Evolution Portefeuill'!$E$21)+AC96*'Annexe B  Plan commercial'!$D24*Hypothèses!$D$57</f>
        <v>0</v>
      </c>
      <c r="AE63" s="262">
        <f ca="1">AD63*(1-'Annexe G  Evolution Portefeuill'!$E$21)+AD96*'Annexe B  Plan commercial'!$D24*Hypothèses!$D$57</f>
        <v>0</v>
      </c>
      <c r="AF63" s="262">
        <f ca="1">AE63*(1-'Annexe G  Evolution Portefeuill'!$E$21)+AE96*'Annexe B  Plan commercial'!$D24*Hypothèses!$D$57</f>
        <v>0</v>
      </c>
      <c r="AG63" s="263">
        <f ca="1">AF63*(1-'Annexe G  Evolution Portefeuill'!$E$21)+AF96*'Annexe B  Plan commercial'!$D24*Hypothèses!$D$57</f>
        <v>0</v>
      </c>
      <c r="AH63" s="262">
        <f ca="1">AG63*(1-'Annexe G  Evolution Portefeuill'!$F$21)+AG96*'Annexe B  Plan commercial'!$E24*Hypothèses!$E$57</f>
        <v>0</v>
      </c>
      <c r="AI63" s="262">
        <f ca="1">AH63*(1-'Annexe G  Evolution Portefeuill'!$F$21)+AH96*'Annexe B  Plan commercial'!$E24*Hypothèses!$E$57</f>
        <v>0</v>
      </c>
      <c r="AJ63" s="262">
        <f ca="1">AI63*(1-'Annexe G  Evolution Portefeuill'!$F$21)+AI96*'Annexe B  Plan commercial'!$E24*Hypothèses!$E$57</f>
        <v>0</v>
      </c>
      <c r="AK63" s="262">
        <f ca="1">AJ63*(1-'Annexe G  Evolution Portefeuill'!$F$21)+AJ96*'Annexe B  Plan commercial'!$E24*Hypothèses!$E$57</f>
        <v>0</v>
      </c>
      <c r="AL63" s="262">
        <f ca="1">AK63*(1-'Annexe G  Evolution Portefeuill'!$F$21)+AK96*'Annexe B  Plan commercial'!$E24*Hypothèses!$E$57</f>
        <v>0</v>
      </c>
      <c r="AM63" s="262">
        <f ca="1">AL63*(1-'Annexe G  Evolution Portefeuill'!$F$21)+AL96*'Annexe B  Plan commercial'!$E24*Hypothèses!$E$57</f>
        <v>0</v>
      </c>
      <c r="AN63" s="262">
        <f ca="1">AM63*(1-'Annexe G  Evolution Portefeuill'!$F$21)+AM96*'Annexe B  Plan commercial'!$E24*Hypothèses!$E$57</f>
        <v>0</v>
      </c>
      <c r="AO63" s="262">
        <f ca="1">AN63*(1-'Annexe G  Evolution Portefeuill'!$F$21)+AN96*'Annexe B  Plan commercial'!$E24*Hypothèses!$E$57</f>
        <v>0</v>
      </c>
      <c r="AP63" s="262">
        <f ca="1">AO63*(1-'Annexe G  Evolution Portefeuill'!$F$21)+AO96*'Annexe B  Plan commercial'!$E24*Hypothèses!$E$57</f>
        <v>0</v>
      </c>
      <c r="AQ63" s="262">
        <f ca="1">AP63*(1-'Annexe G  Evolution Portefeuill'!$F$21)+AP96*'Annexe B  Plan commercial'!$E24*Hypothèses!$E$57</f>
        <v>0</v>
      </c>
      <c r="AR63" s="262">
        <f ca="1">AQ63*(1-'Annexe G  Evolution Portefeuill'!$F$21)+AQ96*'Annexe B  Plan commercial'!$E24*Hypothèses!$E$57</f>
        <v>0</v>
      </c>
      <c r="AS63" s="262">
        <f ca="1">AR63*(1-'Annexe G  Evolution Portefeuill'!$F$21)+AR96*'Annexe B  Plan commercial'!$E24*Hypothèses!$E$57</f>
        <v>0</v>
      </c>
      <c r="AT63" s="264">
        <f ca="1">AS63*(1-'Annexe G  Evolution Portefeuill'!$G$21)+AS96*'Annexe B  Plan commercial'!$F24*Hypothèses!$F$57</f>
        <v>0</v>
      </c>
      <c r="AU63" s="262">
        <f ca="1">AT63*(1-'Annexe G  Evolution Portefeuill'!$G$21)+AT96*'Annexe B  Plan commercial'!$F24*Hypothèses!$F$57</f>
        <v>0</v>
      </c>
      <c r="AV63" s="262">
        <f ca="1">AU63*(1-'Annexe G  Evolution Portefeuill'!$G$21)+AU96*'Annexe B  Plan commercial'!$F24*Hypothèses!$F$57</f>
        <v>0</v>
      </c>
      <c r="AW63" s="262">
        <f ca="1">AV63*(1-'Annexe G  Evolution Portefeuill'!$G$21)+AV96*'Annexe B  Plan commercial'!$F24*Hypothèses!$F$57</f>
        <v>0</v>
      </c>
      <c r="AX63" s="262">
        <f ca="1">AW63*(1-'Annexe G  Evolution Portefeuill'!$G$21)+AW96*'Annexe B  Plan commercial'!$F24*Hypothèses!$F$57</f>
        <v>0</v>
      </c>
      <c r="AY63" s="262">
        <f ca="1">AX63*(1-'Annexe G  Evolution Portefeuill'!$G$21)+AX96*'Annexe B  Plan commercial'!$F24*Hypothèses!$F$57</f>
        <v>0</v>
      </c>
      <c r="AZ63" s="262">
        <f ca="1">AY63*(1-'Annexe G  Evolution Portefeuill'!$G$21)+AY96*'Annexe B  Plan commercial'!$F24*Hypothèses!$F$57</f>
        <v>0</v>
      </c>
      <c r="BA63" s="262">
        <f ca="1">AZ63*(1-'Annexe G  Evolution Portefeuill'!$G$21)+AZ96*'Annexe B  Plan commercial'!$F24*Hypothèses!$F$57</f>
        <v>0</v>
      </c>
      <c r="BB63" s="262">
        <f ca="1">BA63*(1-'Annexe G  Evolution Portefeuill'!$G$21)+BA96*'Annexe B  Plan commercial'!$F24*Hypothèses!$F$57</f>
        <v>0</v>
      </c>
      <c r="BC63" s="262">
        <f ca="1">BB63*(1-'Annexe G  Evolution Portefeuill'!$G$21)+BB96*'Annexe B  Plan commercial'!$F24*Hypothèses!$F$57</f>
        <v>0</v>
      </c>
      <c r="BD63" s="262">
        <f ca="1">BC63*(1-'Annexe G  Evolution Portefeuill'!$G$21)+BC96*'Annexe B  Plan commercial'!$F24*Hypothèses!$F$57</f>
        <v>0</v>
      </c>
      <c r="BE63" s="263">
        <f ca="1">BD63*(1-'Annexe G  Evolution Portefeuill'!$G$21)+BD96*'Annexe B  Plan commercial'!$F24*Hypothèses!$F$57</f>
        <v>0</v>
      </c>
      <c r="BF63" s="262">
        <f ca="1">BE63*(1-'Annexe G  Evolution Portefeuill'!$H$21)+BE96*'Annexe B  Plan commercial'!$G24*Hypothèses!$G$57</f>
        <v>0</v>
      </c>
      <c r="BG63" s="262">
        <f ca="1">BF63*(1-'Annexe G  Evolution Portefeuill'!$H$21)+BF96*'Annexe B  Plan commercial'!$G24*Hypothèses!$G$57</f>
        <v>0</v>
      </c>
      <c r="BH63" s="262">
        <f ca="1">BG63*(1-'Annexe G  Evolution Portefeuill'!$H$21)+BG96*'Annexe B  Plan commercial'!$G24*Hypothèses!$G$57</f>
        <v>0</v>
      </c>
      <c r="BI63" s="262">
        <f ca="1">BH63*(1-'Annexe G  Evolution Portefeuill'!$H$21)+BH96*'Annexe B  Plan commercial'!$G24*Hypothèses!$G$57</f>
        <v>0</v>
      </c>
      <c r="BJ63" s="262">
        <f ca="1">BI63*(1-'Annexe G  Evolution Portefeuill'!$H$21)+BI96*'Annexe B  Plan commercial'!$G24*Hypothèses!$G$57</f>
        <v>0</v>
      </c>
      <c r="BK63" s="262">
        <f ca="1">BJ63*(1-'Annexe G  Evolution Portefeuill'!$H$21)+BJ96*'Annexe B  Plan commercial'!$G24*Hypothèses!$G$57</f>
        <v>0</v>
      </c>
      <c r="BL63" s="262">
        <f ca="1">BK63*(1-'Annexe G  Evolution Portefeuill'!$H$21)+BK96*'Annexe B  Plan commercial'!$G24*Hypothèses!$G$57</f>
        <v>0</v>
      </c>
      <c r="BM63" s="262">
        <f ca="1">BL63*(1-'Annexe G  Evolution Portefeuill'!$H$21)+BL96*'Annexe B  Plan commercial'!$G24*Hypothèses!$G$57</f>
        <v>0</v>
      </c>
      <c r="BN63" s="262">
        <f ca="1">BM63*(1-'Annexe G  Evolution Portefeuill'!$H$21)+BM96*'Annexe B  Plan commercial'!$G24*Hypothèses!$G$57</f>
        <v>0</v>
      </c>
      <c r="BO63" s="262">
        <f ca="1">BN63*(1-'Annexe G  Evolution Portefeuill'!$H$21)+BN96*'Annexe B  Plan commercial'!$G24*Hypothèses!$G$57</f>
        <v>0</v>
      </c>
      <c r="BP63" s="262">
        <f ca="1">BO63*(1-'Annexe G  Evolution Portefeuill'!$H$21)+BO96*'Annexe B  Plan commercial'!$G24*Hypothèses!$G$57</f>
        <v>0</v>
      </c>
      <c r="BQ63" s="262">
        <f ca="1">BP63*(1-'Annexe G  Evolution Portefeuill'!$H$21)+BP96*'Annexe B  Plan commercial'!$G24*Hypothèses!$G$57</f>
        <v>0</v>
      </c>
      <c r="BR63" s="265">
        <f ca="1">BQ63*(1-'Annexe G  Evolution Portefeuill'!$I$21)+BQ96*'Annexe B  Plan commercial'!$H24*Hypothèses!$H$57</f>
        <v>0</v>
      </c>
      <c r="BS63" s="262">
        <f ca="1">BR63*(1-'Annexe G  Evolution Portefeuill'!$I$21)+BR96*'Annexe B  Plan commercial'!$H24*Hypothèses!$H$57</f>
        <v>0</v>
      </c>
      <c r="BT63" s="262">
        <f ca="1">BS63*(1-'Annexe G  Evolution Portefeuill'!$I$21)+BS96*'Annexe B  Plan commercial'!$H24*Hypothèses!$H$57</f>
        <v>0</v>
      </c>
      <c r="BU63" s="262">
        <f ca="1">BT63*(1-'Annexe G  Evolution Portefeuill'!$I$21)+BT96*'Annexe B  Plan commercial'!$H24*Hypothèses!$H$57</f>
        <v>0</v>
      </c>
      <c r="BV63" s="262">
        <f ca="1">BU63*(1-'Annexe G  Evolution Portefeuill'!$I$21)+BU96*'Annexe B  Plan commercial'!$H24*Hypothèses!$H$57</f>
        <v>0</v>
      </c>
      <c r="BW63" s="262">
        <f ca="1">BV63*(1-'Annexe G  Evolution Portefeuill'!$I$21)+BV96*'Annexe B  Plan commercial'!$H24*Hypothèses!$H$57</f>
        <v>0</v>
      </c>
      <c r="BX63" s="262">
        <f ca="1">BW63*(1-'Annexe G  Evolution Portefeuill'!$I$21)+BW96*'Annexe B  Plan commercial'!$H24*Hypothèses!$H$57</f>
        <v>0</v>
      </c>
      <c r="BY63" s="262">
        <f ca="1">BX63*(1-'Annexe G  Evolution Portefeuill'!$I$21)+BX96*'Annexe B  Plan commercial'!$H24*Hypothèses!$H$57</f>
        <v>0</v>
      </c>
      <c r="BZ63" s="262">
        <f ca="1">BY63*(1-'Annexe G  Evolution Portefeuill'!$I$21)+BY96*'Annexe B  Plan commercial'!$H24*Hypothèses!$H$57</f>
        <v>0</v>
      </c>
      <c r="CA63" s="262">
        <f ca="1">BZ63*(1-'Annexe G  Evolution Portefeuill'!$I$21)+BZ96*'Annexe B  Plan commercial'!$H24*Hypothèses!$H$57</f>
        <v>0</v>
      </c>
      <c r="CB63" s="262">
        <f ca="1">CA63*(1-'Annexe G  Evolution Portefeuill'!$I$21)+CA96*'Annexe B  Plan commercial'!$H24*Hypothèses!$H$57</f>
        <v>0</v>
      </c>
      <c r="CC63" s="266">
        <f ca="1">CB63*(1-'Annexe G  Evolution Portefeuill'!$I$21)+CB96*'Annexe B  Plan commercial'!$H24*Hypothèses!$H$57</f>
        <v>0</v>
      </c>
      <c r="CD63" s="232"/>
    </row>
    <row r="64" spans="1:82" ht="15">
      <c r="A64" s="243" t="s">
        <v>146</v>
      </c>
      <c r="B64" s="226"/>
      <c r="C64" s="234">
        <v>0</v>
      </c>
      <c r="D64" s="262">
        <f>C64*(1-'Annexe G  Evolution Portefeuill'!$C$21)+C97*'Annexe B  Plan commercial'!$B30*Hypothèses!$B$58</f>
        <v>0</v>
      </c>
      <c r="E64" s="262">
        <f>D64*(1-'Annexe G  Evolution Portefeuill'!$C$21)+D97*'Annexe B  Plan commercial'!$B30*Hypothèses!$B$58</f>
        <v>0</v>
      </c>
      <c r="F64" s="262">
        <f>E64*(1-'Annexe G  Evolution Portefeuill'!$C$21)+E97*'Annexe B  Plan commercial'!$B30*Hypothèses!$B$58</f>
        <v>0</v>
      </c>
      <c r="G64" s="262">
        <f>F64*(1-'Annexe G  Evolution Portefeuill'!$C$21)+F97*'Annexe B  Plan commercial'!$B30*Hypothèses!$B$58</f>
        <v>0</v>
      </c>
      <c r="H64" s="262">
        <f>G64*(1-'Annexe G  Evolution Portefeuill'!$C$21)+G97*'Annexe B  Plan commercial'!$B30*Hypothèses!$B$58</f>
        <v>0</v>
      </c>
      <c r="I64" s="263">
        <f>H64*(1-'Annexe G  Evolution Portefeuill'!$C$21)+H97*'Annexe B  Plan commercial'!$B30*Hypothèses!$B$58</f>
        <v>0</v>
      </c>
      <c r="J64" s="262">
        <f>I64*(1-'Annexe G  Evolution Portefeuill'!$D$21)+I97*'Annexe B  Plan commercial'!$C20*Hypothèses!$C$56</f>
        <v>0</v>
      </c>
      <c r="K64" s="262">
        <f ca="1">J64*(1-'Annexe G  Evolution Portefeuill'!$D$21)+J97*'Annexe B  Plan commercial'!$C20*Hypothèses!$C$56</f>
        <v>0</v>
      </c>
      <c r="L64" s="262">
        <f ca="1">K64*(1-'Annexe G  Evolution Portefeuill'!$D$21)+K97*'Annexe B  Plan commercial'!$C20*Hypothèses!$C$56</f>
        <v>0</v>
      </c>
      <c r="M64" s="262">
        <f ca="1">L64*(1-'Annexe G  Evolution Portefeuill'!$D$21)+L97*'Annexe B  Plan commercial'!$C20*Hypothèses!$C$56</f>
        <v>0</v>
      </c>
      <c r="N64" s="262">
        <f ca="1">M64*(1-'Annexe G  Evolution Portefeuill'!$D$21)+M97*'Annexe B  Plan commercial'!$C20*Hypothèses!$C$56</f>
        <v>0</v>
      </c>
      <c r="O64" s="262">
        <f ca="1">N64*(1-'Annexe G  Evolution Portefeuill'!$D$21)+N97*'Annexe B  Plan commercial'!$C20*Hypothèses!$C$56</f>
        <v>0</v>
      </c>
      <c r="P64" s="262">
        <f ca="1">O64*(1-'Annexe G  Evolution Portefeuill'!$D$21)+O97*'Annexe B  Plan commercial'!$C20*Hypothèses!$C$56</f>
        <v>0</v>
      </c>
      <c r="Q64" s="262">
        <f ca="1">P64*(1-'Annexe G  Evolution Portefeuill'!$D$21)+P97*'Annexe B  Plan commercial'!$C20*Hypothèses!$C$56</f>
        <v>0</v>
      </c>
      <c r="R64" s="262">
        <f ca="1">Q64*(1-'Annexe G  Evolution Portefeuill'!$D$21)+Q97*'Annexe B  Plan commercial'!$C20*Hypothèses!$C$56</f>
        <v>0</v>
      </c>
      <c r="S64" s="262">
        <f ca="1">R64*(1-'Annexe G  Evolution Portefeuill'!$D$21)+R97*'Annexe B  Plan commercial'!$C20*Hypothèses!$C$56</f>
        <v>0</v>
      </c>
      <c r="T64" s="262">
        <f ca="1">S64*(1-'Annexe G  Evolution Portefeuill'!$D$21)+S97*'Annexe B  Plan commercial'!$C20*Hypothèses!$C$56</f>
        <v>0</v>
      </c>
      <c r="U64" s="262">
        <f ca="1">T64*(1-'Annexe G  Evolution Portefeuill'!$D$21)+T97*'Annexe B  Plan commercial'!$C20*Hypothèses!$C$56</f>
        <v>0</v>
      </c>
      <c r="V64" s="264">
        <f ca="1">U64*(1-'Annexe G  Evolution Portefeuill'!$E$21)+U97*'Annexe B  Plan commercial'!$D30*Hypothèses!$D$58</f>
        <v>0</v>
      </c>
      <c r="W64" s="262">
        <f ca="1">V64*(1-'Annexe G  Evolution Portefeuill'!$E$21)+V97*'Annexe B  Plan commercial'!$D30*Hypothèses!$D$58</f>
        <v>0</v>
      </c>
      <c r="X64" s="262">
        <f ca="1">W64*(1-'Annexe G  Evolution Portefeuill'!$E$21)+W97*'Annexe B  Plan commercial'!$D30*Hypothèses!$D$58</f>
        <v>0</v>
      </c>
      <c r="Y64" s="262">
        <f ca="1">X64*(1-'Annexe G  Evolution Portefeuill'!$E$21)+X97*'Annexe B  Plan commercial'!$D30*Hypothèses!$D$58</f>
        <v>0</v>
      </c>
      <c r="Z64" s="262">
        <f ca="1">Y64*(1-'Annexe G  Evolution Portefeuill'!$E$21)+Y97*'Annexe B  Plan commercial'!$D30*Hypothèses!$D$58</f>
        <v>0</v>
      </c>
      <c r="AA64" s="262">
        <f ca="1">Z64*(1-'Annexe G  Evolution Portefeuill'!$E$21)+Z97*'Annexe B  Plan commercial'!$D30*Hypothèses!$D$58</f>
        <v>0</v>
      </c>
      <c r="AB64" s="262">
        <f ca="1">AA64*(1-'Annexe G  Evolution Portefeuill'!$E$21)+AA97*'Annexe B  Plan commercial'!$D30*Hypothèses!$D$58</f>
        <v>0</v>
      </c>
      <c r="AC64" s="262">
        <f ca="1">AB64*(1-'Annexe G  Evolution Portefeuill'!$E$21)+AB97*'Annexe B  Plan commercial'!$D30*Hypothèses!$D$58</f>
        <v>0</v>
      </c>
      <c r="AD64" s="262">
        <f ca="1">AC64*(1-'Annexe G  Evolution Portefeuill'!$E$21)+AC97*'Annexe B  Plan commercial'!$D30*Hypothèses!$D$58</f>
        <v>0</v>
      </c>
      <c r="AE64" s="262">
        <f ca="1">AD64*(1-'Annexe G  Evolution Portefeuill'!$E$21)+AD97*'Annexe B  Plan commercial'!$D30*Hypothèses!$D$58</f>
        <v>0</v>
      </c>
      <c r="AF64" s="262">
        <f ca="1">AE64*(1-'Annexe G  Evolution Portefeuill'!$E$21)+AE97*'Annexe B  Plan commercial'!$D30*Hypothèses!$D$58</f>
        <v>0</v>
      </c>
      <c r="AG64" s="263">
        <f ca="1">AF64*(1-'Annexe G  Evolution Portefeuill'!$E$21)+AF97*'Annexe B  Plan commercial'!$D30*Hypothèses!$D$58</f>
        <v>0</v>
      </c>
      <c r="AH64" s="262">
        <f ca="1">AG64*(1-'Annexe G  Evolution Portefeuill'!$F$21)+AG97*'Annexe B  Plan commercial'!$E30*Hypothèses!$E$58</f>
        <v>0</v>
      </c>
      <c r="AI64" s="262">
        <f ca="1">AH64*(1-'Annexe G  Evolution Portefeuill'!$F$21)+AH97*'Annexe B  Plan commercial'!$E30*Hypothèses!$E$58</f>
        <v>0</v>
      </c>
      <c r="AJ64" s="262">
        <f ca="1">AI64*(1-'Annexe G  Evolution Portefeuill'!$F$21)+AI97*'Annexe B  Plan commercial'!$E30*Hypothèses!$E$58</f>
        <v>0</v>
      </c>
      <c r="AK64" s="262">
        <f ca="1">AJ64*(1-'Annexe G  Evolution Portefeuill'!$F$21)+AJ97*'Annexe B  Plan commercial'!$E30*Hypothèses!$E$58</f>
        <v>0</v>
      </c>
      <c r="AL64" s="262">
        <f ca="1">AK64*(1-'Annexe G  Evolution Portefeuill'!$F$21)+AK97*'Annexe B  Plan commercial'!$E30*Hypothèses!$E$58</f>
        <v>0</v>
      </c>
      <c r="AM64" s="262">
        <f ca="1">AL64*(1-'Annexe G  Evolution Portefeuill'!$F$21)+AL97*'Annexe B  Plan commercial'!$E30*Hypothèses!$E$58</f>
        <v>0</v>
      </c>
      <c r="AN64" s="262">
        <f ca="1">AM64*(1-'Annexe G  Evolution Portefeuill'!$F$21)+AM97*'Annexe B  Plan commercial'!$E30*Hypothèses!$E$58</f>
        <v>0</v>
      </c>
      <c r="AO64" s="262">
        <f ca="1">AN64*(1-'Annexe G  Evolution Portefeuill'!$F$21)+AN97*'Annexe B  Plan commercial'!$E30*Hypothèses!$E$58</f>
        <v>0</v>
      </c>
      <c r="AP64" s="262">
        <f ca="1">AO64*(1-'Annexe G  Evolution Portefeuill'!$F$21)+AO97*'Annexe B  Plan commercial'!$E30*Hypothèses!$E$58</f>
        <v>0</v>
      </c>
      <c r="AQ64" s="262">
        <f ca="1">AP64*(1-'Annexe G  Evolution Portefeuill'!$F$21)+AP97*'Annexe B  Plan commercial'!$E30*Hypothèses!$E$58</f>
        <v>0</v>
      </c>
      <c r="AR64" s="262">
        <f ca="1">AQ64*(1-'Annexe G  Evolution Portefeuill'!$F$21)+AQ97*'Annexe B  Plan commercial'!$E30*Hypothèses!$E$58</f>
        <v>0</v>
      </c>
      <c r="AS64" s="262">
        <f ca="1">AR64*(1-'Annexe G  Evolution Portefeuill'!$F$21)+AR97*'Annexe B  Plan commercial'!$E30*Hypothèses!$E$58</f>
        <v>0</v>
      </c>
      <c r="AT64" s="264">
        <f ca="1">AS64*(1-'Annexe G  Evolution Portefeuill'!$G$21)+AS97*'Annexe B  Plan commercial'!$F30*Hypothèses!$F$58</f>
        <v>0</v>
      </c>
      <c r="AU64" s="262">
        <f ca="1">AT64*(1-'Annexe G  Evolution Portefeuill'!$G$21)+AT97*'Annexe B  Plan commercial'!$F30*Hypothèses!$F$58</f>
        <v>0</v>
      </c>
      <c r="AV64" s="262">
        <f ca="1">AU64*(1-'Annexe G  Evolution Portefeuill'!$G$21)+AU97*'Annexe B  Plan commercial'!$F30*Hypothèses!$F$58</f>
        <v>0</v>
      </c>
      <c r="AW64" s="262">
        <f ca="1">AV64*(1-'Annexe G  Evolution Portefeuill'!$G$21)+AV97*'Annexe B  Plan commercial'!$F30*Hypothèses!$F$58</f>
        <v>0</v>
      </c>
      <c r="AX64" s="262">
        <f ca="1">AW64*(1-'Annexe G  Evolution Portefeuill'!$G$21)+AW97*'Annexe B  Plan commercial'!$F30*Hypothèses!$F$58</f>
        <v>0</v>
      </c>
      <c r="AY64" s="262">
        <f ca="1">AX64*(1-'Annexe G  Evolution Portefeuill'!$G$21)+AX97*'Annexe B  Plan commercial'!$F30*Hypothèses!$F$58</f>
        <v>0</v>
      </c>
      <c r="AZ64" s="262">
        <f ca="1">AY64*(1-'Annexe G  Evolution Portefeuill'!$G$21)+AY97*'Annexe B  Plan commercial'!$F30*Hypothèses!$F$58</f>
        <v>0</v>
      </c>
      <c r="BA64" s="262">
        <f ca="1">AZ64*(1-'Annexe G  Evolution Portefeuill'!$G$21)+AZ97*'Annexe B  Plan commercial'!$F30*Hypothèses!$F$58</f>
        <v>0</v>
      </c>
      <c r="BB64" s="262">
        <f ca="1">BA64*(1-'Annexe G  Evolution Portefeuill'!$G$21)+BA97*'Annexe B  Plan commercial'!$F30*Hypothèses!$F$58</f>
        <v>0</v>
      </c>
      <c r="BC64" s="262">
        <f ca="1">BB64*(1-'Annexe G  Evolution Portefeuill'!$G$21)+BB97*'Annexe B  Plan commercial'!$F30*Hypothèses!$F$58</f>
        <v>0</v>
      </c>
      <c r="BD64" s="262">
        <f ca="1">BC64*(1-'Annexe G  Evolution Portefeuill'!$G$21)+BC97*'Annexe B  Plan commercial'!$F30*Hypothèses!$F$58</f>
        <v>0</v>
      </c>
      <c r="BE64" s="263">
        <f ca="1">BD64*(1-'Annexe G  Evolution Portefeuill'!$G$21)+BD97*'Annexe B  Plan commercial'!$F30*Hypothèses!$F$58</f>
        <v>0</v>
      </c>
      <c r="BF64" s="262">
        <f ca="1">BE64*(1-'Annexe G  Evolution Portefeuill'!$H$21)+BE97*'Annexe B  Plan commercial'!$G30*Hypothèses!$G$58</f>
        <v>0</v>
      </c>
      <c r="BG64" s="262">
        <f ca="1">BF64*(1-'Annexe G  Evolution Portefeuill'!$H$21)+BF97*'Annexe B  Plan commercial'!$G30*Hypothèses!$G$58</f>
        <v>0</v>
      </c>
      <c r="BH64" s="262">
        <f ca="1">BG64*(1-'Annexe G  Evolution Portefeuill'!$H$21)+BG97*'Annexe B  Plan commercial'!$G30*Hypothèses!$G$58</f>
        <v>0</v>
      </c>
      <c r="BI64" s="262">
        <f ca="1">BH64*(1-'Annexe G  Evolution Portefeuill'!$H$21)+BH97*'Annexe B  Plan commercial'!$G30*Hypothèses!$G$58</f>
        <v>0</v>
      </c>
      <c r="BJ64" s="262">
        <f ca="1">BI64*(1-'Annexe G  Evolution Portefeuill'!$H$21)+BI97*'Annexe B  Plan commercial'!$G30*Hypothèses!$G$58</f>
        <v>0</v>
      </c>
      <c r="BK64" s="262">
        <f ca="1">BJ64*(1-'Annexe G  Evolution Portefeuill'!$H$21)+BJ97*'Annexe B  Plan commercial'!$G30*Hypothèses!$G$58</f>
        <v>0</v>
      </c>
      <c r="BL64" s="262">
        <f ca="1">BK64*(1-'Annexe G  Evolution Portefeuill'!$H$21)+BK97*'Annexe B  Plan commercial'!$G30*Hypothèses!$G$58</f>
        <v>0</v>
      </c>
      <c r="BM64" s="262">
        <f ca="1">BL64*(1-'Annexe G  Evolution Portefeuill'!$H$21)+BL97*'Annexe B  Plan commercial'!$G30*Hypothèses!$G$58</f>
        <v>0</v>
      </c>
      <c r="BN64" s="262">
        <f ca="1">BM64*(1-'Annexe G  Evolution Portefeuill'!$H$21)+BM97*'Annexe B  Plan commercial'!$G30*Hypothèses!$G$58</f>
        <v>0</v>
      </c>
      <c r="BO64" s="262">
        <f ca="1">BN64*(1-'Annexe G  Evolution Portefeuill'!$H$21)+BN97*'Annexe B  Plan commercial'!$G30*Hypothèses!$G$58</f>
        <v>0</v>
      </c>
      <c r="BP64" s="262">
        <f ca="1">BO64*(1-'Annexe G  Evolution Portefeuill'!$H$21)+BO97*'Annexe B  Plan commercial'!$G30*Hypothèses!$G$58</f>
        <v>0</v>
      </c>
      <c r="BQ64" s="262">
        <f ca="1">BP64*(1-'Annexe G  Evolution Portefeuill'!$H$21)+BP97*'Annexe B  Plan commercial'!$G30*Hypothèses!$G$58</f>
        <v>0</v>
      </c>
      <c r="BR64" s="265">
        <f ca="1">BQ64*(1-'Annexe G  Evolution Portefeuill'!$I$21)+BQ97*'Annexe B  Plan commercial'!$H30*Hypothèses!$H$58</f>
        <v>0</v>
      </c>
      <c r="BS64" s="262">
        <f ca="1">BR64*(1-'Annexe G  Evolution Portefeuill'!$I$21)+BR97*'Annexe B  Plan commercial'!$H30*Hypothèses!$H$58</f>
        <v>0</v>
      </c>
      <c r="BT64" s="262">
        <f ca="1">BS64*(1-'Annexe G  Evolution Portefeuill'!$I$21)+BS97*'Annexe B  Plan commercial'!$H30*Hypothèses!$H$58</f>
        <v>0</v>
      </c>
      <c r="BU64" s="262">
        <f ca="1">BT64*(1-'Annexe G  Evolution Portefeuill'!$I$21)+BT97*'Annexe B  Plan commercial'!$H30*Hypothèses!$H$58</f>
        <v>0</v>
      </c>
      <c r="BV64" s="262">
        <f ca="1">BU64*(1-'Annexe G  Evolution Portefeuill'!$I$21)+BU97*'Annexe B  Plan commercial'!$H30*Hypothèses!$H$58</f>
        <v>0</v>
      </c>
      <c r="BW64" s="262">
        <f ca="1">BV64*(1-'Annexe G  Evolution Portefeuill'!$I$21)+BV97*'Annexe B  Plan commercial'!$H30*Hypothèses!$H$58</f>
        <v>0</v>
      </c>
      <c r="BX64" s="262">
        <f ca="1">BW64*(1-'Annexe G  Evolution Portefeuill'!$I$21)+BW97*'Annexe B  Plan commercial'!$H30*Hypothèses!$H$58</f>
        <v>0</v>
      </c>
      <c r="BY64" s="262">
        <f ca="1">BX64*(1-'Annexe G  Evolution Portefeuill'!$I$21)+BX97*'Annexe B  Plan commercial'!$H30*Hypothèses!$H$58</f>
        <v>0</v>
      </c>
      <c r="BZ64" s="262">
        <f ca="1">BY64*(1-'Annexe G  Evolution Portefeuill'!$I$21)+BY97*'Annexe B  Plan commercial'!$H30*Hypothèses!$H$58</f>
        <v>0</v>
      </c>
      <c r="CA64" s="262">
        <f ca="1">BZ64*(1-'Annexe G  Evolution Portefeuill'!$I$21)+BZ97*'Annexe B  Plan commercial'!$H30*Hypothèses!$H$58</f>
        <v>0</v>
      </c>
      <c r="CB64" s="262">
        <f ca="1">CA64*(1-'Annexe G  Evolution Portefeuill'!$I$21)+CA97*'Annexe B  Plan commercial'!$H30*Hypothèses!$H$58</f>
        <v>0</v>
      </c>
      <c r="CC64" s="266">
        <f ca="1">CB64*(1-'Annexe G  Evolution Portefeuill'!$I$21)+CB97*'Annexe B  Plan commercial'!$H30*Hypothèses!$H$58</f>
        <v>0</v>
      </c>
      <c r="CD64" s="232"/>
    </row>
    <row r="65" spans="1:82" ht="15">
      <c r="A65" s="267"/>
      <c r="B65" s="226"/>
      <c r="C65" s="268"/>
      <c r="D65" s="228"/>
      <c r="E65" s="228"/>
      <c r="F65" s="228"/>
      <c r="G65" s="228"/>
      <c r="H65" s="228"/>
      <c r="I65" s="229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7"/>
      <c r="W65" s="228"/>
      <c r="X65" s="228"/>
      <c r="Y65" s="228"/>
      <c r="Z65" s="228"/>
      <c r="AA65" s="228"/>
      <c r="AB65" s="228"/>
      <c r="AC65" s="228"/>
      <c r="AD65" s="228"/>
      <c r="AE65" s="228"/>
      <c r="AF65" s="228"/>
      <c r="AG65" s="229"/>
      <c r="AH65" s="228"/>
      <c r="AI65" s="228"/>
      <c r="AJ65" s="228"/>
      <c r="AK65" s="228"/>
      <c r="AL65" s="228"/>
      <c r="AM65" s="228"/>
      <c r="AN65" s="228"/>
      <c r="AO65" s="228"/>
      <c r="AP65" s="228"/>
      <c r="AQ65" s="228"/>
      <c r="AR65" s="228"/>
      <c r="AS65" s="228"/>
      <c r="AT65" s="227"/>
      <c r="AU65" s="228"/>
      <c r="AV65" s="228"/>
      <c r="AW65" s="228"/>
      <c r="AX65" s="228"/>
      <c r="AY65" s="228"/>
      <c r="AZ65" s="228"/>
      <c r="BA65" s="228"/>
      <c r="BB65" s="228"/>
      <c r="BC65" s="228"/>
      <c r="BD65" s="228"/>
      <c r="BE65" s="229"/>
      <c r="BF65" s="228"/>
      <c r="BG65" s="228"/>
      <c r="BH65" s="228"/>
      <c r="BI65" s="228"/>
      <c r="BJ65" s="228"/>
      <c r="BK65" s="228"/>
      <c r="BL65" s="228"/>
      <c r="BM65" s="228"/>
      <c r="BN65" s="228"/>
      <c r="BO65" s="228"/>
      <c r="BP65" s="228"/>
      <c r="BQ65" s="228"/>
      <c r="BR65" s="230"/>
      <c r="BS65" s="228"/>
      <c r="BT65" s="228"/>
      <c r="BU65" s="228"/>
      <c r="BV65" s="228"/>
      <c r="BW65" s="228"/>
      <c r="BX65" s="228"/>
      <c r="BY65" s="228"/>
      <c r="BZ65" s="228"/>
      <c r="CA65" s="228"/>
      <c r="CB65" s="228"/>
      <c r="CC65" s="231"/>
      <c r="CD65" s="232"/>
    </row>
    <row r="66" spans="1:82" ht="15">
      <c r="A66" s="267" t="s">
        <v>148</v>
      </c>
      <c r="B66" s="226"/>
      <c r="C66" s="268">
        <f t="shared" ref="C66:C67" si="12">43*0.3</f>
        <v>12.9</v>
      </c>
      <c r="D66" s="228">
        <f t="shared" ref="D66:CC66" si="13">D67+D68+D69</f>
        <v>13.016610831234257</v>
      </c>
      <c r="E66" s="228">
        <f t="shared" si="13"/>
        <v>13.128557229219142</v>
      </c>
      <c r="F66" s="228">
        <f t="shared" si="13"/>
        <v>13.236025771284632</v>
      </c>
      <c r="G66" s="228">
        <f t="shared" si="13"/>
        <v>13.339195571667503</v>
      </c>
      <c r="H66" s="228">
        <f t="shared" si="13"/>
        <v>13.438238580035058</v>
      </c>
      <c r="I66" s="229">
        <f t="shared" si="13"/>
        <v>13.533319868067911</v>
      </c>
      <c r="J66" s="228">
        <f t="shared" si="13"/>
        <v>13.556290378006382</v>
      </c>
      <c r="K66" s="228">
        <f t="shared" ca="1" si="13"/>
        <v>13.618547299713015</v>
      </c>
      <c r="L66" s="228">
        <f t="shared" ca="1" si="13"/>
        <v>13.453562972238206</v>
      </c>
      <c r="M66" s="228">
        <f t="shared" ca="1" si="13"/>
        <v>13.519518080552492</v>
      </c>
      <c r="N66" s="228">
        <f t="shared" ca="1" si="13"/>
        <v>13.583098804967465</v>
      </c>
      <c r="O66" s="228">
        <f t="shared" ca="1" si="13"/>
        <v>13.644390623303497</v>
      </c>
      <c r="P66" s="228">
        <f t="shared" ca="1" si="13"/>
        <v>13.703475936179434</v>
      </c>
      <c r="Q66" s="228">
        <f t="shared" ca="1" si="13"/>
        <v>13.860717553106698</v>
      </c>
      <c r="R66" s="228">
        <f t="shared" ca="1" si="13"/>
        <v>14.012298471824579</v>
      </c>
      <c r="S66" s="228">
        <f t="shared" ca="1" si="13"/>
        <v>14.158422477468617</v>
      </c>
      <c r="T66" s="228">
        <f t="shared" ca="1" si="13"/>
        <v>14.29928601890947</v>
      </c>
      <c r="U66" s="228">
        <f t="shared" ca="1" si="13"/>
        <v>14.435078472858452</v>
      </c>
      <c r="V66" s="227">
        <f t="shared" ca="1" si="13"/>
        <v>14.464739205285042</v>
      </c>
      <c r="W66" s="228">
        <f t="shared" ca="1" si="13"/>
        <v>14.493391472809128</v>
      </c>
      <c r="X66" s="228">
        <f t="shared" ca="1" si="13"/>
        <v>14.521069563237395</v>
      </c>
      <c r="Y66" s="228">
        <f t="shared" ca="1" si="13"/>
        <v>14.547806598591102</v>
      </c>
      <c r="Z66" s="228">
        <f t="shared" ca="1" si="13"/>
        <v>14.573634574742782</v>
      </c>
      <c r="AA66" s="228">
        <f t="shared" ca="1" si="13"/>
        <v>14.598584399705304</v>
      </c>
      <c r="AB66" s="228">
        <f t="shared" ca="1" si="13"/>
        <v>14.622685930619101</v>
      </c>
      <c r="AC66" s="228">
        <f t="shared" ca="1" si="13"/>
        <v>14.686081359607774</v>
      </c>
      <c r="AD66" s="228">
        <f t="shared" ca="1" si="13"/>
        <v>14.747321344010833</v>
      </c>
      <c r="AE66" s="228">
        <f t="shared" ca="1" si="13"/>
        <v>14.806479168944188</v>
      </c>
      <c r="AF66" s="228">
        <f t="shared" ca="1" si="13"/>
        <v>14.863625627829808</v>
      </c>
      <c r="AG66" s="229">
        <f t="shared" ca="1" si="13"/>
        <v>14.918829107113318</v>
      </c>
      <c r="AH66" s="228">
        <f t="shared" ca="1" si="13"/>
        <v>14.876770467765096</v>
      </c>
      <c r="AI66" s="228">
        <f t="shared" ca="1" si="13"/>
        <v>14.836015646236671</v>
      </c>
      <c r="AJ66" s="228">
        <f t="shared" ca="1" si="13"/>
        <v>14.796524224175625</v>
      </c>
      <c r="AK66" s="228">
        <f t="shared" ca="1" si="13"/>
        <v>14.758257036198472</v>
      </c>
      <c r="AL66" s="228">
        <f t="shared" ca="1" si="13"/>
        <v>14.721176131048612</v>
      </c>
      <c r="AM66" s="228">
        <f t="shared" ca="1" si="13"/>
        <v>14.685244733958397</v>
      </c>
      <c r="AN66" s="228">
        <f t="shared" ca="1" si="13"/>
        <v>14.650427210177979</v>
      </c>
      <c r="AO66" s="228">
        <f t="shared" ca="1" si="13"/>
        <v>14.616689029634752</v>
      </c>
      <c r="AP66" s="228">
        <f t="shared" ca="1" si="13"/>
        <v>14.583996732688368</v>
      </c>
      <c r="AQ66" s="228">
        <f t="shared" ca="1" si="13"/>
        <v>14.55231789694732</v>
      </c>
      <c r="AR66" s="228">
        <f t="shared" ca="1" si="13"/>
        <v>14.521621105114246</v>
      </c>
      <c r="AS66" s="228">
        <f t="shared" ca="1" si="13"/>
        <v>14.491875913827997</v>
      </c>
      <c r="AT66" s="227">
        <f t="shared" ca="1" si="13"/>
        <v>14.337403011728018</v>
      </c>
      <c r="AU66" s="228">
        <f t="shared" ca="1" si="13"/>
        <v>14.187564296691038</v>
      </c>
      <c r="AV66" s="228">
        <f t="shared" ca="1" si="13"/>
        <v>14.042220743105167</v>
      </c>
      <c r="AW66" s="228">
        <f t="shared" ca="1" si="13"/>
        <v>13.901237496126873</v>
      </c>
      <c r="AX66" s="228">
        <f t="shared" ca="1" si="13"/>
        <v>13.764483746557927</v>
      </c>
      <c r="AY66" s="228">
        <f t="shared" ca="1" si="13"/>
        <v>13.631832609476049</v>
      </c>
      <c r="AZ66" s="228">
        <f t="shared" ca="1" si="13"/>
        <v>13.503161006506629</v>
      </c>
      <c r="BA66" s="228">
        <f t="shared" ca="1" si="13"/>
        <v>13.428491239283721</v>
      </c>
      <c r="BB66" s="228">
        <f t="shared" ca="1" si="13"/>
        <v>13.356061565077502</v>
      </c>
      <c r="BC66" s="228">
        <f t="shared" ca="1" si="13"/>
        <v>13.285804781097468</v>
      </c>
      <c r="BD66" s="228">
        <f t="shared" ca="1" si="13"/>
        <v>13.217655700636836</v>
      </c>
      <c r="BE66" s="229">
        <f t="shared" ca="1" si="13"/>
        <v>13.151551092590022</v>
      </c>
      <c r="BF66" s="228">
        <f t="shared" ca="1" si="13"/>
        <v>13.140035827154973</v>
      </c>
      <c r="BG66" s="228">
        <f t="shared" ca="1" si="13"/>
        <v>13.128819958621236</v>
      </c>
      <c r="BH66" s="228">
        <f t="shared" ca="1" si="13"/>
        <v>13.297895702669376</v>
      </c>
      <c r="BI66" s="228">
        <f t="shared" ca="1" si="13"/>
        <v>13.462575477372264</v>
      </c>
      <c r="BJ66" s="228">
        <f t="shared" ca="1" si="13"/>
        <v>13.802973577932876</v>
      </c>
      <c r="BK66" s="228">
        <f t="shared" ca="1" si="13"/>
        <v>14.314521327878913</v>
      </c>
      <c r="BL66" s="228">
        <f t="shared" ca="1" si="13"/>
        <v>14.812768836326352</v>
      </c>
      <c r="BM66" s="228">
        <f t="shared" ca="1" si="13"/>
        <v>17.182879289906804</v>
      </c>
      <c r="BN66" s="228">
        <f t="shared" ca="1" si="13"/>
        <v>19.491366871694161</v>
      </c>
      <c r="BO66" s="228">
        <f t="shared" ca="1" si="13"/>
        <v>21.739833776355049</v>
      </c>
      <c r="BP66" s="228">
        <f t="shared" ca="1" si="13"/>
        <v>23.929840541494755</v>
      </c>
      <c r="BQ66" s="228">
        <f t="shared" ca="1" si="13"/>
        <v>26.062907130740825</v>
      </c>
      <c r="BR66" s="230">
        <f t="shared" ca="1" si="13"/>
        <v>28.244765617189465</v>
      </c>
      <c r="BS66" s="228">
        <f t="shared" ca="1" si="13"/>
        <v>30.46862321693623</v>
      </c>
      <c r="BT66" s="228">
        <f t="shared" ca="1" si="13"/>
        <v>32.643555949488572</v>
      </c>
      <c r="BU66" s="228">
        <f t="shared" ca="1" si="13"/>
        <v>34.770640161924753</v>
      </c>
      <c r="BV66" s="228">
        <f t="shared" ca="1" si="13"/>
        <v>36.850928521687344</v>
      </c>
      <c r="BW66" s="228">
        <f t="shared" ca="1" si="13"/>
        <v>38.885450537535149</v>
      </c>
      <c r="BX66" s="228">
        <f t="shared" ca="1" si="13"/>
        <v>41.055213069034309</v>
      </c>
      <c r="BY66" s="228">
        <f t="shared" ca="1" si="13"/>
        <v>44.798488725764088</v>
      </c>
      <c r="BZ66" s="228">
        <f t="shared" ca="1" si="13"/>
        <v>48.54941231804581</v>
      </c>
      <c r="CA66" s="228">
        <f t="shared" ca="1" si="13"/>
        <v>52.217815591297324</v>
      </c>
      <c r="CB66" s="228">
        <f t="shared" ca="1" si="13"/>
        <v>55.985513992537314</v>
      </c>
      <c r="CC66" s="231">
        <f t="shared" ca="1" si="13"/>
        <v>59.670323028950023</v>
      </c>
      <c r="CD66" s="232"/>
    </row>
    <row r="67" spans="1:82" ht="14">
      <c r="A67" s="233" t="s">
        <v>142</v>
      </c>
      <c r="B67" s="61"/>
      <c r="C67" s="234">
        <f t="shared" si="12"/>
        <v>12.9</v>
      </c>
      <c r="D67" s="262">
        <f>C67*(1-'Annexe G  Evolution Portefeuill'!$C$22)+C$93*'Annexe B  Plan commercial'!$B7*Hypothèses!$B$54</f>
        <v>13.016610831234257</v>
      </c>
      <c r="E67" s="262">
        <f>D67*(1-'Annexe G  Evolution Portefeuill'!$C$22)+D$93*'Annexe B  Plan commercial'!$B7*Hypothèses!$B$54</f>
        <v>13.128557229219142</v>
      </c>
      <c r="F67" s="262">
        <f>E67*(1-'Annexe G  Evolution Portefeuill'!$C$22)+E$93*'Annexe B  Plan commercial'!$B7*Hypothèses!$B$54</f>
        <v>13.236025771284632</v>
      </c>
      <c r="G67" s="262">
        <f>F67*(1-'Annexe G  Evolution Portefeuill'!$C$22)+F$93*'Annexe B  Plan commercial'!$B7*Hypothèses!$B$54</f>
        <v>13.339195571667503</v>
      </c>
      <c r="H67" s="262">
        <f>G67*(1-'Annexe G  Evolution Portefeuill'!$C$22)+G$93*'Annexe B  Plan commercial'!$B7*Hypothèses!$B$54</f>
        <v>13.438238580035058</v>
      </c>
      <c r="I67" s="263">
        <f>H67*(1-'Annexe G  Evolution Portefeuill'!$C$22)+H$93*'Annexe B  Plan commercial'!$B7*Hypothèses!$B$54</f>
        <v>13.533319868067911</v>
      </c>
      <c r="J67" s="262">
        <f>I67*(1-'Annexe G  Evolution Portefeuill'!$D$22)+I$93*'Annexe B  Plan commercial'!$C7*Hypothèses!$C$54</f>
        <v>13.556290378006382</v>
      </c>
      <c r="K67" s="262">
        <f ca="1">J67*(1-'Annexe G  Evolution Portefeuill'!$D$22)+J$93*'Annexe B  Plan commercial'!$C7*Hypothèses!$C$54</f>
        <v>13.618547299713015</v>
      </c>
      <c r="L67" s="262">
        <f ca="1">K67*(1-'Annexe G  Evolution Portefeuill'!$D$22)+K$93*'Annexe B  Plan commercial'!$C7*Hypothèses!$C$54</f>
        <v>13.453562972238206</v>
      </c>
      <c r="M67" s="262">
        <f ca="1">L67*(1-'Annexe G  Evolution Portefeuill'!$D$22)+L$93*'Annexe B  Plan commercial'!$C7*Hypothèses!$C$54</f>
        <v>13.519518080552492</v>
      </c>
      <c r="N67" s="262">
        <f ca="1">M67*(1-'Annexe G  Evolution Portefeuill'!$D$22)+M$93*'Annexe B  Plan commercial'!$C7*Hypothèses!$C$54</f>
        <v>13.583098804967465</v>
      </c>
      <c r="O67" s="262">
        <f ca="1">N67*(1-'Annexe G  Evolution Portefeuill'!$D$22)+N$93*'Annexe B  Plan commercial'!$C7*Hypothèses!$C$54</f>
        <v>13.644390623303497</v>
      </c>
      <c r="P67" s="262">
        <f ca="1">O67*(1-'Annexe G  Evolution Portefeuill'!$D$22)+O$93*'Annexe B  Plan commercial'!$C7*Hypothèses!$C$54</f>
        <v>13.703475936179434</v>
      </c>
      <c r="Q67" s="262">
        <f ca="1">P67*(1-'Annexe G  Evolution Portefeuill'!$D$22)+P$93*'Annexe B  Plan commercial'!$C7*Hypothèses!$C$54</f>
        <v>13.860717553106698</v>
      </c>
      <c r="R67" s="262">
        <f ca="1">Q67*(1-'Annexe G  Evolution Portefeuill'!$D$22)+Q$93*'Annexe B  Plan commercial'!$C7*Hypothèses!$C$54</f>
        <v>14.012298471824579</v>
      </c>
      <c r="S67" s="262">
        <f ca="1">R67*(1-'Annexe G  Evolution Portefeuill'!$D$22)+R$93*'Annexe B  Plan commercial'!$C7*Hypothèses!$C$54</f>
        <v>14.158422477468617</v>
      </c>
      <c r="T67" s="262">
        <f ca="1">S67*(1-'Annexe G  Evolution Portefeuill'!$D$22)+S$93*'Annexe B  Plan commercial'!$C7*Hypothèses!$C$54</f>
        <v>14.29928601890947</v>
      </c>
      <c r="U67" s="262">
        <f ca="1">T67*(1-'Annexe G  Evolution Portefeuill'!$D$22)+T$93*'Annexe B  Plan commercial'!$C7*Hypothèses!$C$54</f>
        <v>14.435078472858452</v>
      </c>
      <c r="V67" s="264">
        <f ca="1">U67*(1-'Annexe G  Evolution Portefeuill'!$E$22)+U$93*'Annexe B  Plan commercial'!$D7*Hypothèses!$D$54</f>
        <v>14.464739205285042</v>
      </c>
      <c r="W67" s="262">
        <f ca="1">V67*(1-'Annexe G  Evolution Portefeuill'!$E$22)+V$93*'Annexe B  Plan commercial'!$D7*Hypothèses!$D$54</f>
        <v>14.493391472809128</v>
      </c>
      <c r="X67" s="262">
        <f ca="1">W67*(1-'Annexe G  Evolution Portefeuill'!$E$22)+W$93*'Annexe B  Plan commercial'!$D7*Hypothèses!$D$54</f>
        <v>14.521069563237395</v>
      </c>
      <c r="Y67" s="262">
        <f ca="1">X67*(1-'Annexe G  Evolution Portefeuill'!$E$22)+X$93*'Annexe B  Plan commercial'!$D7*Hypothèses!$D$54</f>
        <v>14.547806598591102</v>
      </c>
      <c r="Z67" s="262">
        <f ca="1">Y67*(1-'Annexe G  Evolution Portefeuill'!$E$22)+Y$93*'Annexe B  Plan commercial'!$D7*Hypothèses!$D$54</f>
        <v>14.573634574742782</v>
      </c>
      <c r="AA67" s="262">
        <f ca="1">Z67*(1-'Annexe G  Evolution Portefeuill'!$E$22)+Z$93*'Annexe B  Plan commercial'!$D7*Hypothèses!$D$54</f>
        <v>14.598584399705304</v>
      </c>
      <c r="AB67" s="262">
        <f ca="1">AA67*(1-'Annexe G  Evolution Portefeuill'!$E$22)+AA$93*'Annexe B  Plan commercial'!$D7*Hypothèses!$D$54</f>
        <v>14.622685930619101</v>
      </c>
      <c r="AC67" s="262">
        <f ca="1">AB67*(1-'Annexe G  Evolution Portefeuill'!$E$22)+AB$93*'Annexe B  Plan commercial'!$D7*Hypothèses!$D$54</f>
        <v>14.686081359607774</v>
      </c>
      <c r="AD67" s="262">
        <f ca="1">AC67*(1-'Annexe G  Evolution Portefeuill'!$E$22)+AC$93*'Annexe B  Plan commercial'!$D7*Hypothèses!$D$54</f>
        <v>14.747321344010833</v>
      </c>
      <c r="AE67" s="262">
        <f ca="1">AD67*(1-'Annexe G  Evolution Portefeuill'!$E$22)+AD$93*'Annexe B  Plan commercial'!$D7*Hypothèses!$D$54</f>
        <v>14.806479168944188</v>
      </c>
      <c r="AF67" s="262">
        <f ca="1">AE67*(1-'Annexe G  Evolution Portefeuill'!$E$22)+AE$93*'Annexe B  Plan commercial'!$D7*Hypothèses!$D$54</f>
        <v>14.863625627829808</v>
      </c>
      <c r="AG67" s="263">
        <f ca="1">AF67*(1-'Annexe G  Evolution Portefeuill'!$E$22)+AF$93*'Annexe B  Plan commercial'!$D7*Hypothèses!$D$54</f>
        <v>14.918829107113318</v>
      </c>
      <c r="AH67" s="262">
        <f ca="1">AG67*(1-'Annexe G  Evolution Portefeuill'!$F$22)+AG$93*'Annexe B  Plan commercial'!$E7*Hypothèses!$E$54</f>
        <v>14.876770467765096</v>
      </c>
      <c r="AI67" s="262">
        <f ca="1">AH67*(1-'Annexe G  Evolution Portefeuill'!$F$22)+AH$93*'Annexe B  Plan commercial'!$E7*Hypothèses!$E$54</f>
        <v>14.836015646236671</v>
      </c>
      <c r="AJ67" s="262">
        <f ca="1">AI67*(1-'Annexe G  Evolution Portefeuill'!$F$22)+AI$93*'Annexe B  Plan commercial'!$E7*Hypothèses!$E$54</f>
        <v>14.796524224175625</v>
      </c>
      <c r="AK67" s="262">
        <f ca="1">AJ67*(1-'Annexe G  Evolution Portefeuill'!$F$22)+AJ$93*'Annexe B  Plan commercial'!$E7*Hypothèses!$E$54</f>
        <v>14.758257036198472</v>
      </c>
      <c r="AL67" s="262">
        <f ca="1">AK67*(1-'Annexe G  Evolution Portefeuill'!$F$22)+AK$93*'Annexe B  Plan commercial'!$E7*Hypothèses!$E$54</f>
        <v>14.721176131048612</v>
      </c>
      <c r="AM67" s="262">
        <f ca="1">AL67*(1-'Annexe G  Evolution Portefeuill'!$F$22)+AL$93*'Annexe B  Plan commercial'!$E7*Hypothèses!$E$54</f>
        <v>14.685244733958397</v>
      </c>
      <c r="AN67" s="262">
        <f ca="1">AM67*(1-'Annexe G  Evolution Portefeuill'!$F$22)+AM$93*'Annexe B  Plan commercial'!$E7*Hypothèses!$E$54</f>
        <v>14.650427210177979</v>
      </c>
      <c r="AO67" s="262">
        <f ca="1">AN67*(1-'Annexe G  Evolution Portefeuill'!$F$22)+AN$93*'Annexe B  Plan commercial'!$E7*Hypothèses!$E$54</f>
        <v>14.616689029634752</v>
      </c>
      <c r="AP67" s="262">
        <f ca="1">AO67*(1-'Annexe G  Evolution Portefeuill'!$F$22)+AO$93*'Annexe B  Plan commercial'!$E7*Hypothèses!$E$54</f>
        <v>14.583996732688368</v>
      </c>
      <c r="AQ67" s="262">
        <f ca="1">AP67*(1-'Annexe G  Evolution Portefeuill'!$F$22)+AP$93*'Annexe B  Plan commercial'!$E7*Hypothèses!$E$54</f>
        <v>14.55231789694732</v>
      </c>
      <c r="AR67" s="262">
        <f ca="1">AQ67*(1-'Annexe G  Evolution Portefeuill'!$F$22)+AQ$93*'Annexe B  Plan commercial'!$E7*Hypothèses!$E$54</f>
        <v>14.521621105114246</v>
      </c>
      <c r="AS67" s="262">
        <f ca="1">AR67*(1-'Annexe G  Evolution Portefeuill'!$F$22)+AR$93*'Annexe B  Plan commercial'!$E7*Hypothèses!$E$54</f>
        <v>14.491875913827997</v>
      </c>
      <c r="AT67" s="264">
        <f ca="1">AS67*(1-'Annexe G  Evolution Portefeuill'!$G$22)+AS$93*'Annexe B  Plan commercial'!$F7*Hypothèses!$F$54</f>
        <v>14.337403011728018</v>
      </c>
      <c r="AU67" s="262">
        <f ca="1">AT67*(1-'Annexe G  Evolution Portefeuill'!$G$22)+AT$93*'Annexe B  Plan commercial'!$F7*Hypothèses!$F$54</f>
        <v>14.187564296691038</v>
      </c>
      <c r="AV67" s="262">
        <f ca="1">AU67*(1-'Annexe G  Evolution Portefeuill'!$G$22)+AU$93*'Annexe B  Plan commercial'!$F7*Hypothèses!$F$54</f>
        <v>14.042220743105167</v>
      </c>
      <c r="AW67" s="262">
        <f ca="1">AV67*(1-'Annexe G  Evolution Portefeuill'!$G$22)+AV$93*'Annexe B  Plan commercial'!$F7*Hypothèses!$F$54</f>
        <v>13.901237496126873</v>
      </c>
      <c r="AX67" s="262">
        <f ca="1">AW67*(1-'Annexe G  Evolution Portefeuill'!$G$22)+AW$93*'Annexe B  Plan commercial'!$F7*Hypothèses!$F$54</f>
        <v>13.764483746557927</v>
      </c>
      <c r="AY67" s="262">
        <f ca="1">AX67*(1-'Annexe G  Evolution Portefeuill'!$G$22)+AX$93*'Annexe B  Plan commercial'!$F7*Hypothèses!$F$54</f>
        <v>13.631832609476049</v>
      </c>
      <c r="AZ67" s="262">
        <f ca="1">AY67*(1-'Annexe G  Evolution Portefeuill'!$G$22)+AY$93*'Annexe B  Plan commercial'!$F7*Hypothèses!$F$54</f>
        <v>13.503161006506629</v>
      </c>
      <c r="BA67" s="262">
        <f ca="1">AZ67*(1-'Annexe G  Evolution Portefeuill'!$G$22)+AZ$93*'Annexe B  Plan commercial'!$F7*Hypothèses!$F$54</f>
        <v>13.428491239283721</v>
      </c>
      <c r="BB67" s="262">
        <f ca="1">BA67*(1-'Annexe G  Evolution Portefeuill'!$G$22)+BA$93*'Annexe B  Plan commercial'!$F7*Hypothèses!$F$54</f>
        <v>13.356061565077502</v>
      </c>
      <c r="BC67" s="262">
        <f ca="1">BB67*(1-'Annexe G  Evolution Portefeuill'!$G$22)+BB$93*'Annexe B  Plan commercial'!$F7*Hypothèses!$F$54</f>
        <v>13.285804781097468</v>
      </c>
      <c r="BD67" s="262">
        <f ca="1">BC67*(1-'Annexe G  Evolution Portefeuill'!$G$22)+BC$93*'Annexe B  Plan commercial'!$F7*Hypothèses!$F$54</f>
        <v>13.217655700636836</v>
      </c>
      <c r="BE67" s="263">
        <f ca="1">BD67*(1-'Annexe G  Evolution Portefeuill'!$G$22)+BD$93*'Annexe B  Plan commercial'!$F7*Hypothèses!$F$54</f>
        <v>13.151551092590022</v>
      </c>
      <c r="BF67" s="262">
        <f ca="1">BE67*(1-'Annexe G  Evolution Portefeuill'!$H$22)+BE$93*'Annexe B  Plan commercial'!$G7*Hypothèses!$G$54</f>
        <v>13.140035827154973</v>
      </c>
      <c r="BG67" s="262">
        <f ca="1">BF67*(1-'Annexe G  Evolution Portefeuill'!$H$22)+BF$93*'Annexe B  Plan commercial'!$G7*Hypothèses!$G$54</f>
        <v>13.128819958621236</v>
      </c>
      <c r="BH67" s="262">
        <f ca="1">BG67*(1-'Annexe G  Evolution Portefeuill'!$H$22)+BG$93*'Annexe B  Plan commercial'!$G7*Hypothèses!$G$54</f>
        <v>13.207895702669376</v>
      </c>
      <c r="BI67" s="262">
        <f ca="1">BH67*(1-'Annexe G  Evolution Portefeuill'!$H$22)+BH$93*'Annexe B  Plan commercial'!$G7*Hypothèses!$G$54</f>
        <v>13.284915477372264</v>
      </c>
      <c r="BJ67" s="262">
        <f ca="1">BI67*(1-'Annexe G  Evolution Portefeuill'!$H$22)+BI$93*'Annexe B  Plan commercial'!$G7*Hypothèses!$G$54</f>
        <v>13.539932737932876</v>
      </c>
      <c r="BK67" s="262">
        <f ca="1">BJ67*(1-'Annexe G  Evolution Portefeuill'!$H$22)+BJ$93*'Annexe B  Plan commercial'!$G7*Hypothèses!$G$54</f>
        <v>13.968319549718913</v>
      </c>
      <c r="BL67" s="262">
        <f ca="1">BK67*(1-'Annexe G  Evolution Portefeuill'!$H$22)+BK$93*'Annexe B  Plan commercial'!$G7*Hypothèses!$G$54</f>
        <v>14.385568304398513</v>
      </c>
      <c r="BM67" s="262">
        <f ca="1">BL67*(1-'Annexe G  Evolution Portefeuill'!$H$22)+BL$93*'Annexe B  Plan commercial'!$G7*Hypothèses!$G$54</f>
        <v>14.821543528484151</v>
      </c>
      <c r="BN67" s="262">
        <f ca="1">BM67*(1-'Annexe G  Evolution Portefeuill'!$H$22)+BM$93*'Annexe B  Plan commercial'!$G7*Hypothèses!$G$54</f>
        <v>15.246183396743563</v>
      </c>
      <c r="BO67" s="262">
        <f ca="1">BN67*(1-'Annexe G  Evolution Portefeuill'!$H$22)+BN$93*'Annexe B  Plan commercial'!$G7*Hypothèses!$G$54</f>
        <v>15.65978262842823</v>
      </c>
      <c r="BP67" s="262">
        <f ca="1">BO67*(1-'Annexe G  Evolution Portefeuill'!$H$22)+BO$93*'Annexe B  Plan commercial'!$G7*Hypothèses!$G$54</f>
        <v>16.062628280089097</v>
      </c>
      <c r="BQ67" s="262">
        <f ca="1">BP67*(1-'Annexe G  Evolution Portefeuill'!$H$22)+BP$93*'Annexe B  Plan commercial'!$G7*Hypothèses!$G$54</f>
        <v>16.454999944806779</v>
      </c>
      <c r="BR67" s="265">
        <f ca="1">BQ67*(1-'Annexe G  Evolution Portefeuill'!$I$22)+BQ$93*'Annexe B  Plan commercial'!$G7*Hypothèses!$G$54</f>
        <v>16.90298994602103</v>
      </c>
      <c r="BS67" s="262">
        <f ca="1">BR67*(1-'Annexe G  Evolution Portefeuill'!$I$22)+BR$93*'Annexe B  Plan commercial'!$G7*Hypothèses!$G$54</f>
        <v>17.341124167208566</v>
      </c>
      <c r="BT67" s="262">
        <f ca="1">BS67*(1-'Annexe G  Evolution Portefeuill'!$I$22)+BS$93*'Annexe B  Plan commercial'!$G7*Hypothèses!$G$54</f>
        <v>17.769619435529975</v>
      </c>
      <c r="BU67" s="262">
        <f ca="1">BT67*(1-'Annexe G  Evolution Portefeuill'!$I$22)+BT$93*'Annexe B  Plan commercial'!$G7*Hypothèses!$G$54</f>
        <v>18.188687807948313</v>
      </c>
      <c r="BV67" s="262">
        <f ca="1">BU67*(1-'Annexe G  Evolution Portefeuill'!$I$22)+BU$93*'Annexe B  Plan commercial'!$G7*Hypothèses!$G$54</f>
        <v>18.598536676173449</v>
      </c>
      <c r="BW67" s="262">
        <f ca="1">BV67*(1-'Annexe G  Evolution Portefeuill'!$I$22)+BV$93*'Annexe B  Plan commercial'!$G7*Hypothèses!$G$54</f>
        <v>18.99936886929763</v>
      </c>
      <c r="BX67" s="262">
        <f ca="1">BW67*(1-'Annexe G  Evolution Portefeuill'!$I$22)+BW$93*'Annexe B  Plan commercial'!$G7*Hypothèses!$G$54</f>
        <v>19.39138275417308</v>
      </c>
      <c r="BY67" s="262">
        <f ca="1">BX67*(1-'Annexe G  Evolution Portefeuill'!$I$22)+BX$93*'Annexe B  Plan commercial'!$G7*Hypothèses!$G$54</f>
        <v>20.577039336100164</v>
      </c>
      <c r="BZ67" s="262">
        <f ca="1">BY67*(1-'Annexe G  Evolution Portefeuill'!$I$22)+BY$93*'Annexe B  Plan commercial'!$G7*Hypothèses!$G$54</f>
        <v>21.826611473224851</v>
      </c>
      <c r="CA67" s="262">
        <f ca="1">BZ67*(1-'Annexe G  Evolution Portefeuill'!$I$22)+BZ$93*'Annexe B  Plan commercial'!$G7*Hypothèses!$G$54</f>
        <v>23.048693023332795</v>
      </c>
      <c r="CB67" s="262">
        <f ca="1">CA67*(1-'Annexe G  Evolution Portefeuill'!$I$22)+CA$93*'Annexe B  Plan commercial'!$G7*Hypothèses!$G$54</f>
        <v>24.243888779338363</v>
      </c>
      <c r="CC67" s="266">
        <f ca="1">CB67*(1-'Annexe G  Evolution Portefeuill'!$I$22)+CB$93*'Annexe B  Plan commercial'!$G7*Hypothèses!$G$54</f>
        <v>25.41279022871181</v>
      </c>
      <c r="CD67" s="261"/>
    </row>
    <row r="68" spans="1:82" ht="14">
      <c r="A68" s="233" t="s">
        <v>143</v>
      </c>
      <c r="B68" s="61"/>
      <c r="C68" s="234">
        <v>0</v>
      </c>
      <c r="D68" s="262">
        <f>C68*(1-'Annexe G  Evolution Portefeuill'!$C$22)+C98*'Annexe B  Plan commercial'!$B13*Hypothèses!$B$55</f>
        <v>0</v>
      </c>
      <c r="E68" s="262">
        <f>D68*(1-'Annexe G  Evolution Portefeuill'!$C$22)+D98*'Annexe B  Plan commercial'!$B13*Hypothèses!$B$55</f>
        <v>0</v>
      </c>
      <c r="F68" s="262">
        <f>E68*(1-'Annexe G  Evolution Portefeuill'!$C$22)+E98*'Annexe B  Plan commercial'!$B13*Hypothèses!$B$55</f>
        <v>0</v>
      </c>
      <c r="G68" s="262">
        <f>F68*(1-'Annexe G  Evolution Portefeuill'!$C$22)+F98*'Annexe B  Plan commercial'!$B13*Hypothèses!$B$55</f>
        <v>0</v>
      </c>
      <c r="H68" s="262">
        <f>G68*(1-'Annexe G  Evolution Portefeuill'!$C$22)+G98*'Annexe B  Plan commercial'!$B13*Hypothèses!$B$55</f>
        <v>0</v>
      </c>
      <c r="I68" s="263">
        <f>H68*(1-'Annexe G  Evolution Portefeuill'!$C$22)+H98*'Annexe B  Plan commercial'!$B13*Hypothèses!$B$55</f>
        <v>0</v>
      </c>
      <c r="J68" s="262">
        <f>I68*(1-'Annexe G  Evolution Portefeuill'!$D$22)+I98*'Annexe B  Plan commercial'!$C13*Hypothèses!$C$55</f>
        <v>0</v>
      </c>
      <c r="K68" s="262">
        <f>J68*(1-'Annexe G  Evolution Portefeuill'!$D$22)+J98*'Annexe B  Plan commercial'!$C13*Hypothèses!$C$55</f>
        <v>0</v>
      </c>
      <c r="L68" s="262">
        <f>K68*(1-'Annexe G  Evolution Portefeuill'!$D$22)+K98*'Annexe B  Plan commercial'!$C13*Hypothèses!$C$55</f>
        <v>0</v>
      </c>
      <c r="M68" s="262">
        <f>L68*(1-'Annexe G  Evolution Portefeuill'!$D$22)+L98*'Annexe B  Plan commercial'!$C13*Hypothèses!$C$55</f>
        <v>0</v>
      </c>
      <c r="N68" s="262">
        <f>M68*(1-'Annexe G  Evolution Portefeuill'!$D$22)+M98*'Annexe B  Plan commercial'!$C13*Hypothèses!$C$55</f>
        <v>0</v>
      </c>
      <c r="O68" s="262">
        <f>N68*(1-'Annexe G  Evolution Portefeuill'!$D$22)+N98*'Annexe B  Plan commercial'!$C13*Hypothèses!$C$55</f>
        <v>0</v>
      </c>
      <c r="P68" s="262">
        <f>O68*(1-'Annexe G  Evolution Portefeuill'!$D$22)+O98*'Annexe B  Plan commercial'!$C13*Hypothèses!$C$55</f>
        <v>0</v>
      </c>
      <c r="Q68" s="262">
        <f>P68*(1-'Annexe G  Evolution Portefeuill'!$D$22)+P98*'Annexe B  Plan commercial'!$C13*Hypothèses!$C$55</f>
        <v>0</v>
      </c>
      <c r="R68" s="262">
        <f>Q68*(1-'Annexe G  Evolution Portefeuill'!$D$22)+Q98*'Annexe B  Plan commercial'!$C13*Hypothèses!$C$55</f>
        <v>0</v>
      </c>
      <c r="S68" s="262">
        <f>R68*(1-'Annexe G  Evolution Portefeuill'!$D$22)+R98*'Annexe B  Plan commercial'!$C13*Hypothèses!$C$55</f>
        <v>0</v>
      </c>
      <c r="T68" s="262">
        <f>S68*(1-'Annexe G  Evolution Portefeuill'!$D$22)+S98*'Annexe B  Plan commercial'!$C13*Hypothèses!$C$55</f>
        <v>0</v>
      </c>
      <c r="U68" s="262">
        <f>T68*(1-'Annexe G  Evolution Portefeuill'!$D$22)+T98*'Annexe B  Plan commercial'!$C13*Hypothèses!$C$55</f>
        <v>0</v>
      </c>
      <c r="V68" s="264">
        <f>U68*(1-'Annexe G  Evolution Portefeuill'!$E$22)+U98*'Annexe B  Plan commercial'!$D13*Hypothèses!$D$55</f>
        <v>0</v>
      </c>
      <c r="W68" s="262">
        <f>V68*(1-'Annexe G  Evolution Portefeuill'!$E$22)+V98*'Annexe B  Plan commercial'!$D13*Hypothèses!$D$55</f>
        <v>0</v>
      </c>
      <c r="X68" s="262">
        <f>W68*(1-'Annexe G  Evolution Portefeuill'!$E$22)+W98*'Annexe B  Plan commercial'!$D13*Hypothèses!$D$55</f>
        <v>0</v>
      </c>
      <c r="Y68" s="262">
        <f>X68*(1-'Annexe G  Evolution Portefeuill'!$E$22)+X98*'Annexe B  Plan commercial'!$D13*Hypothèses!$D$55</f>
        <v>0</v>
      </c>
      <c r="Z68" s="262">
        <f>Y68*(1-'Annexe G  Evolution Portefeuill'!$E$22)+Y98*'Annexe B  Plan commercial'!$D13*Hypothèses!$D$55</f>
        <v>0</v>
      </c>
      <c r="AA68" s="262">
        <f>Z68*(1-'Annexe G  Evolution Portefeuill'!$E$22)+Z98*'Annexe B  Plan commercial'!$D13*Hypothèses!$D$55</f>
        <v>0</v>
      </c>
      <c r="AB68" s="262">
        <f>AA68*(1-'Annexe G  Evolution Portefeuill'!$E$22)+AA98*'Annexe B  Plan commercial'!$D13*Hypothèses!$D$55</f>
        <v>0</v>
      </c>
      <c r="AC68" s="262">
        <f>AB68*(1-'Annexe G  Evolution Portefeuill'!$E$22)+AB98*'Annexe B  Plan commercial'!$D13*Hypothèses!$D$55</f>
        <v>0</v>
      </c>
      <c r="AD68" s="262">
        <f>AC68*(1-'Annexe G  Evolution Portefeuill'!$E$22)+AC98*'Annexe B  Plan commercial'!$D13*Hypothèses!$D$55</f>
        <v>0</v>
      </c>
      <c r="AE68" s="262">
        <f>AD68*(1-'Annexe G  Evolution Portefeuill'!$E$22)+AD98*'Annexe B  Plan commercial'!$D13*Hypothèses!$D$55</f>
        <v>0</v>
      </c>
      <c r="AF68" s="262">
        <f>AE68*(1-'Annexe G  Evolution Portefeuill'!$E$22)+AE98*'Annexe B  Plan commercial'!$D13*Hypothèses!$D$55</f>
        <v>0</v>
      </c>
      <c r="AG68" s="263">
        <f>AF68*(1-'Annexe G  Evolution Portefeuill'!$E$22)+AF98*'Annexe B  Plan commercial'!$D13*Hypothèses!$D$55</f>
        <v>0</v>
      </c>
      <c r="AH68" s="262">
        <f ca="1">AG68*(1-'Annexe G  Evolution Portefeuill'!$F$22)+AG$94*'Annexe B  Plan commercial'!$E13*Hypothèses!$E$55</f>
        <v>0</v>
      </c>
      <c r="AI68" s="262">
        <f ca="1">AH68*(1-'Annexe G  Evolution Portefeuill'!$F$22)+AH$94*'Annexe B  Plan commercial'!$E13*Hypothèses!$E$55</f>
        <v>0</v>
      </c>
      <c r="AJ68" s="262">
        <f ca="1">AI68*(1-'Annexe G  Evolution Portefeuill'!$F$22)+AI$94*'Annexe B  Plan commercial'!$E13*Hypothèses!$E$55</f>
        <v>0</v>
      </c>
      <c r="AK68" s="262">
        <f ca="1">AJ68*(1-'Annexe G  Evolution Portefeuill'!$F$22)+AJ$94*'Annexe B  Plan commercial'!$E13*Hypothèses!$E$55</f>
        <v>0</v>
      </c>
      <c r="AL68" s="262">
        <f ca="1">AK68*(1-'Annexe G  Evolution Portefeuill'!$F$22)+AK$94*'Annexe B  Plan commercial'!$E13*Hypothèses!$E$55</f>
        <v>0</v>
      </c>
      <c r="AM68" s="262">
        <f ca="1">AL68*(1-'Annexe G  Evolution Portefeuill'!$F$22)+AL$94*'Annexe B  Plan commercial'!$E13*Hypothèses!$E$55</f>
        <v>0</v>
      </c>
      <c r="AN68" s="262">
        <f ca="1">AM68*(1-'Annexe G  Evolution Portefeuill'!$F$22)+AM$94*'Annexe B  Plan commercial'!$E13*Hypothèses!$E$55</f>
        <v>0</v>
      </c>
      <c r="AO68" s="262">
        <f ca="1">AN68*(1-'Annexe G  Evolution Portefeuill'!$F$22)+AN$94*'Annexe B  Plan commercial'!$E13*Hypothèses!$E$55</f>
        <v>0</v>
      </c>
      <c r="AP68" s="262">
        <f ca="1">AO68*(1-'Annexe G  Evolution Portefeuill'!$F$22)+AO$94*'Annexe B  Plan commercial'!$E13*Hypothèses!$E$55</f>
        <v>0</v>
      </c>
      <c r="AQ68" s="262">
        <f ca="1">AP68*(1-'Annexe G  Evolution Portefeuill'!$F$22)+AP$94*'Annexe B  Plan commercial'!$E13*Hypothèses!$E$55</f>
        <v>0</v>
      </c>
      <c r="AR68" s="262">
        <f ca="1">AQ68*(1-'Annexe G  Evolution Portefeuill'!$F$22)+AQ$94*'Annexe B  Plan commercial'!$E13*Hypothèses!$E$55</f>
        <v>0</v>
      </c>
      <c r="AS68" s="262">
        <f ca="1">AR68*(1-'Annexe G  Evolution Portefeuill'!$F$22)+AR$94*'Annexe B  Plan commercial'!$E13*Hypothèses!$E$55</f>
        <v>0</v>
      </c>
      <c r="AT68" s="264">
        <f ca="1">AS68*(1-'Annexe G  Evolution Portefeuill'!$G$22)+AS$94*'Annexe B  Plan commercial'!$F13*Hypothèses!$F$55</f>
        <v>0</v>
      </c>
      <c r="AU68" s="262">
        <f ca="1">AT68*(1-'Annexe G  Evolution Portefeuill'!$G$22)+AT$94*'Annexe B  Plan commercial'!$F13*Hypothèses!$F$55</f>
        <v>0</v>
      </c>
      <c r="AV68" s="262">
        <f ca="1">AU68*(1-'Annexe G  Evolution Portefeuill'!$G$22)+AU$94*'Annexe B  Plan commercial'!$F13*Hypothèses!$F$55</f>
        <v>0</v>
      </c>
      <c r="AW68" s="262">
        <f ca="1">AV68*(1-'Annexe G  Evolution Portefeuill'!$G$22)+AV$94*'Annexe B  Plan commercial'!$F13*Hypothèses!$F$55</f>
        <v>0</v>
      </c>
      <c r="AX68" s="262">
        <f ca="1">AW68*(1-'Annexe G  Evolution Portefeuill'!$G$22)+AW$94*'Annexe B  Plan commercial'!$F13*Hypothèses!$F$55</f>
        <v>0</v>
      </c>
      <c r="AY68" s="262">
        <f ca="1">AX68*(1-'Annexe G  Evolution Portefeuill'!$G$22)+AX$94*'Annexe B  Plan commercial'!$F13*Hypothèses!$F$55</f>
        <v>0</v>
      </c>
      <c r="AZ68" s="262">
        <f ca="1">AY68*(1-'Annexe G  Evolution Portefeuill'!$G$22)+AY$94*'Annexe B  Plan commercial'!$F13*Hypothèses!$F$55</f>
        <v>0</v>
      </c>
      <c r="BA68" s="262">
        <f ca="1">AZ68*(1-'Annexe G  Evolution Portefeuill'!$G$22)+AZ$94*'Annexe B  Plan commercial'!$F13*Hypothèses!$F$55</f>
        <v>0</v>
      </c>
      <c r="BB68" s="262">
        <f ca="1">BA68*(1-'Annexe G  Evolution Portefeuill'!$G$22)+BA$94*'Annexe B  Plan commercial'!$F13*Hypothèses!$F$55</f>
        <v>0</v>
      </c>
      <c r="BC68" s="262">
        <f ca="1">BB68*(1-'Annexe G  Evolution Portefeuill'!$G$22)+BB$94*'Annexe B  Plan commercial'!$F13*Hypothèses!$F$55</f>
        <v>0</v>
      </c>
      <c r="BD68" s="262">
        <f ca="1">BC68*(1-'Annexe G  Evolution Portefeuill'!$G$22)+BC$94*'Annexe B  Plan commercial'!$F13*Hypothèses!$F$55</f>
        <v>0</v>
      </c>
      <c r="BE68" s="263">
        <f ca="1">BD68*(1-'Annexe G  Evolution Portefeuill'!$G$22)+BD$94*'Annexe B  Plan commercial'!$F13*Hypothèses!$F$55</f>
        <v>0</v>
      </c>
      <c r="BF68" s="262">
        <f ca="1">BE68*(1-'Annexe G  Evolution Portefeuill'!$H$22)+BE$94*'Annexe B  Plan commercial'!$G13*Hypothèses!$G$55</f>
        <v>0</v>
      </c>
      <c r="BG68" s="262">
        <f ca="1">BF68*(1-'Annexe G  Evolution Portefeuill'!$H$22)+BF$94*'Annexe B  Plan commercial'!$G13*Hypothèses!$G$55</f>
        <v>0</v>
      </c>
      <c r="BH68" s="262">
        <f ca="1">BG68*(1-'Annexe G  Evolution Portefeuill'!$H$22)+BG$94*'Annexe B  Plan commercial'!$G13*Hypothèses!$G$55</f>
        <v>8.9999999999999969E-2</v>
      </c>
      <c r="BI68" s="262">
        <f ca="1">BH68*(1-'Annexe G  Evolution Portefeuill'!$H$22)+BH$94*'Annexe B  Plan commercial'!$G13*Hypothèses!$G$55</f>
        <v>0.17765999999999993</v>
      </c>
      <c r="BJ68" s="262">
        <f ca="1">BI68*(1-'Annexe G  Evolution Portefeuill'!$H$22)+BI$94*'Annexe B  Plan commercial'!$G13*Hypothèses!$G$55</f>
        <v>0.26304083999999989</v>
      </c>
      <c r="BK68" s="262">
        <f ca="1">BJ68*(1-'Annexe G  Evolution Portefeuill'!$H$22)+BJ$94*'Annexe B  Plan commercial'!$G13*Hypothèses!$G$55</f>
        <v>0.34620177815999986</v>
      </c>
      <c r="BL68" s="262">
        <f ca="1">BK68*(1-'Annexe G  Evolution Portefeuill'!$H$22)+BK$94*'Annexe B  Plan commercial'!$G13*Hypothèses!$G$55</f>
        <v>0.4272005319278398</v>
      </c>
      <c r="BM68" s="262">
        <f ca="1">BL68*(1-'Annexe G  Evolution Portefeuill'!$H$22)+BL$94*'Annexe B  Plan commercial'!$G13*Hypothèses!$G$55</f>
        <v>2.3613357614226524</v>
      </c>
      <c r="BN68" s="262">
        <f ca="1">BM68*(1-'Annexe G  Evolution Portefeuill'!$H$22)+BM$94*'Annexe B  Plan commercial'!$G13*Hypothèses!$G$55</f>
        <v>4.2451834749505997</v>
      </c>
      <c r="BO68" s="262">
        <f ca="1">BN68*(1-'Annexe G  Evolution Portefeuill'!$H$22)+BN$94*'Annexe B  Plan commercial'!$G13*Hypothèses!$G$55</f>
        <v>6.0800511479268202</v>
      </c>
      <c r="BP68" s="262">
        <f ca="1">BO68*(1-'Annexe G  Evolution Portefeuill'!$H$22)+BO$94*'Annexe B  Plan commercial'!$G13*Hypothèses!$G$55</f>
        <v>7.8672122614056592</v>
      </c>
      <c r="BQ68" s="262">
        <f ca="1">BP68*(1-'Annexe G  Evolution Portefeuill'!$H$22)+BP$94*'Annexe B  Plan commercial'!$G13*Hypothèses!$G$55</f>
        <v>9.6079071859340477</v>
      </c>
      <c r="BR68" s="265">
        <f ca="1">BQ68*(1-'Annexe G  Evolution Portefeuill'!$I$22)+BQ$94*'Annexe B  Plan commercial'!$G13*Hypothèses!$G$55</f>
        <v>11.341775671168435</v>
      </c>
      <c r="BS68" s="262">
        <f ca="1">BR68*(1-'Annexe G  Evolution Portefeuill'!$I$22)+BR$94*'Annexe B  Plan commercial'!$G13*Hypothèses!$G$55</f>
        <v>13.127499049727666</v>
      </c>
      <c r="BT68" s="262">
        <f ca="1">BS68*(1-'Annexe G  Evolution Portefeuill'!$I$22)+BS$94*'Annexe B  Plan commercial'!$G13*Hypothèses!$G$55</f>
        <v>14.873936513958594</v>
      </c>
      <c r="BU68" s="262">
        <f ca="1">BT68*(1-'Annexe G  Evolution Portefeuill'!$I$22)+BT$94*'Annexe B  Plan commercial'!$G13*Hypothèses!$G$55</f>
        <v>16.58195235397644</v>
      </c>
      <c r="BV68" s="262">
        <f ca="1">BU68*(1-'Annexe G  Evolution Portefeuill'!$I$22)+BU$94*'Annexe B  Plan commercial'!$G13*Hypothèses!$G$55</f>
        <v>18.252391845513895</v>
      </c>
      <c r="BW68" s="262">
        <f ca="1">BV68*(1-'Annexe G  Evolution Portefeuill'!$I$22)+BV$94*'Annexe B  Plan commercial'!$G13*Hypothèses!$G$55</f>
        <v>19.886081668237523</v>
      </c>
      <c r="BX68" s="262">
        <f ca="1">BW68*(1-'Annexe G  Evolution Portefeuill'!$I$22)+BW$94*'Annexe B  Plan commercial'!$G13*Hypothèses!$G$55</f>
        <v>21.663830314861233</v>
      </c>
      <c r="BY68" s="262">
        <f ca="1">BX68*(1-'Annexe G  Evolution Portefeuill'!$I$22)+BX$94*'Annexe B  Plan commercial'!$G13*Hypothèses!$G$55</f>
        <v>24.221449389663924</v>
      </c>
      <c r="BZ68" s="262">
        <f ca="1">BY68*(1-'Annexe G  Evolution Portefeuill'!$I$22)+BY$94*'Annexe B  Plan commercial'!$G13*Hypothèses!$G$55</f>
        <v>26.722800844820956</v>
      </c>
      <c r="CA68" s="262">
        <f ca="1">BZ68*(1-'Annexe G  Evolution Portefeuill'!$I$22)+BZ$94*'Annexe B  Plan commercial'!$G13*Hypothèses!$G$55</f>
        <v>29.169122567964532</v>
      </c>
      <c r="CB68" s="262">
        <f ca="1">CA68*(1-'Annexe G  Evolution Portefeuill'!$I$22)+CA$94*'Annexe B  Plan commercial'!$G13*Hypothèses!$G$55</f>
        <v>31.741625213198951</v>
      </c>
      <c r="CC68" s="266">
        <f ca="1">CB68*(1-'Annexe G  Evolution Portefeuill'!$I$22)+CB$94*'Annexe B  Plan commercial'!$G13*Hypothèses!$G$55</f>
        <v>34.257532800238209</v>
      </c>
      <c r="CD68" s="261"/>
    </row>
    <row r="69" spans="1:82" ht="14">
      <c r="A69" s="233" t="s">
        <v>144</v>
      </c>
      <c r="B69" s="61"/>
      <c r="C69" s="234">
        <v>0</v>
      </c>
      <c r="D69" s="262">
        <f>C69*(1-'Annexe G  Evolution Portefeuill'!$C$22)+C99*'Annexe B  Plan commercial'!$B19*Hypothèses!$B$56</f>
        <v>0</v>
      </c>
      <c r="E69" s="262">
        <f>D69*(1-'Annexe G  Evolution Portefeuill'!$C$22)+D99*'Annexe B  Plan commercial'!$B19*Hypothèses!$B$56</f>
        <v>0</v>
      </c>
      <c r="F69" s="262">
        <f>E69*(1-'Annexe G  Evolution Portefeuill'!$C$22)+E99*'Annexe B  Plan commercial'!$B19*Hypothèses!$B$56</f>
        <v>0</v>
      </c>
      <c r="G69" s="262">
        <f>F69*(1-'Annexe G  Evolution Portefeuill'!$C$22)+F99*'Annexe B  Plan commercial'!$B19*Hypothèses!$B$56</f>
        <v>0</v>
      </c>
      <c r="H69" s="262">
        <f>G69*(1-'Annexe G  Evolution Portefeuill'!$C$22)+G99*'Annexe B  Plan commercial'!$B19*Hypothèses!$B$56</f>
        <v>0</v>
      </c>
      <c r="I69" s="263">
        <f>H69*(1-'Annexe G  Evolution Portefeuill'!$C$22)+H99*'Annexe B  Plan commercial'!$B19*Hypothèses!$B$56</f>
        <v>0</v>
      </c>
      <c r="J69" s="235">
        <f>I69*(1-'Annexe G  Evolution Portefeuill'!$D$22)+I99*'Annexe B  Plan commercial'!$C19*Hypothèses!$C$56</f>
        <v>0</v>
      </c>
      <c r="K69" s="235">
        <f>J69*(1-'Annexe G  Evolution Portefeuill'!$D$22)+J99*'Annexe B  Plan commercial'!$C19*Hypothèses!$C$56</f>
        <v>0</v>
      </c>
      <c r="L69" s="235">
        <f>K69*(1-'Annexe G  Evolution Portefeuill'!$D$22)+K99*'Annexe B  Plan commercial'!$C19*Hypothèses!$C$56</f>
        <v>0</v>
      </c>
      <c r="M69" s="235">
        <f>L69*(1-'Annexe G  Evolution Portefeuill'!$D$22)+L99*'Annexe B  Plan commercial'!$C19*Hypothèses!$C$56</f>
        <v>0</v>
      </c>
      <c r="N69" s="235">
        <f>M69*(1-'Annexe G  Evolution Portefeuill'!$D$22)+M99*'Annexe B  Plan commercial'!$C19*Hypothèses!$C$56</f>
        <v>0</v>
      </c>
      <c r="O69" s="235">
        <f>N69*(1-'Annexe G  Evolution Portefeuill'!$D$22)+N99*'Annexe B  Plan commercial'!$C19*Hypothèses!$C$56</f>
        <v>0</v>
      </c>
      <c r="P69" s="235">
        <f>O69*(1-'Annexe G  Evolution Portefeuill'!$D$22)+O99*'Annexe B  Plan commercial'!$C19*Hypothèses!$C$56</f>
        <v>0</v>
      </c>
      <c r="Q69" s="235">
        <f>P69*(1-'Annexe G  Evolution Portefeuill'!$D$22)+P99*'Annexe B  Plan commercial'!$C19*Hypothèses!$C$56</f>
        <v>0</v>
      </c>
      <c r="R69" s="235">
        <f>Q69*(1-'Annexe G  Evolution Portefeuill'!$D$22)+Q99*'Annexe B  Plan commercial'!$C19*Hypothèses!$C$56</f>
        <v>0</v>
      </c>
      <c r="S69" s="235">
        <f>R69*(1-'Annexe G  Evolution Portefeuill'!$D$22)+R99*'Annexe B  Plan commercial'!$C19*Hypothèses!$C$56</f>
        <v>0</v>
      </c>
      <c r="T69" s="235">
        <f>S69*(1-'Annexe G  Evolution Portefeuill'!$D$22)+S99*'Annexe B  Plan commercial'!$C19*Hypothèses!$C$56</f>
        <v>0</v>
      </c>
      <c r="U69" s="235">
        <f>T69*(1-'Annexe G  Evolution Portefeuill'!$D$22)+T99*'Annexe B  Plan commercial'!$C19*Hypothèses!$C$56</f>
        <v>0</v>
      </c>
      <c r="V69" s="264">
        <f>U69*(1-'Annexe G  Evolution Portefeuill'!$E$22)+U99*'Annexe B  Plan commercial'!$D19*Hypothèses!$D$56</f>
        <v>0</v>
      </c>
      <c r="W69" s="262">
        <f>V69*(1-'Annexe G  Evolution Portefeuill'!$E$22)+V99*'Annexe B  Plan commercial'!$D19*Hypothèses!$D$56</f>
        <v>0</v>
      </c>
      <c r="X69" s="262">
        <f>W69*(1-'Annexe G  Evolution Portefeuill'!$E$22)+W99*'Annexe B  Plan commercial'!$D19*Hypothèses!$D$56</f>
        <v>0</v>
      </c>
      <c r="Y69" s="262">
        <f>X69*(1-'Annexe G  Evolution Portefeuill'!$E$22)+X99*'Annexe B  Plan commercial'!$D19*Hypothèses!$D$56</f>
        <v>0</v>
      </c>
      <c r="Z69" s="262">
        <f>Y69*(1-'Annexe G  Evolution Portefeuill'!$E$22)+Y99*'Annexe B  Plan commercial'!$D19*Hypothèses!$D$56</f>
        <v>0</v>
      </c>
      <c r="AA69" s="262">
        <f>Z69*(1-'Annexe G  Evolution Portefeuill'!$E$22)+Z99*'Annexe B  Plan commercial'!$D19*Hypothèses!$D$56</f>
        <v>0</v>
      </c>
      <c r="AB69" s="262">
        <f>AA69*(1-'Annexe G  Evolution Portefeuill'!$E$22)+AA99*'Annexe B  Plan commercial'!$D19*Hypothèses!$D$56</f>
        <v>0</v>
      </c>
      <c r="AC69" s="262">
        <f>AB69*(1-'Annexe G  Evolution Portefeuill'!$E$22)+AB99*'Annexe B  Plan commercial'!$D19*Hypothèses!$D$56</f>
        <v>0</v>
      </c>
      <c r="AD69" s="262">
        <f>AC69*(1-'Annexe G  Evolution Portefeuill'!$E$22)+AC99*'Annexe B  Plan commercial'!$D19*Hypothèses!$D$56</f>
        <v>0</v>
      </c>
      <c r="AE69" s="262">
        <f>AD69*(1-'Annexe G  Evolution Portefeuill'!$E$22)+AD99*'Annexe B  Plan commercial'!$D19*Hypothèses!$D$56</f>
        <v>0</v>
      </c>
      <c r="AF69" s="262">
        <f>AE69*(1-'Annexe G  Evolution Portefeuill'!$E$22)+AE99*'Annexe B  Plan commercial'!$D19*Hypothèses!$D$56</f>
        <v>0</v>
      </c>
      <c r="AG69" s="263">
        <f>AF69*(1-'Annexe G  Evolution Portefeuill'!$E$22)+AF99*'Annexe B  Plan commercial'!$D19*Hypothèses!$D$56</f>
        <v>0</v>
      </c>
      <c r="AH69" s="262">
        <f>AG69*(1-'Annexe G  Evolution Portefeuill'!$F$22)+AG99*'Annexe B  Plan commercial'!$E19*Hypothèses!$E$56</f>
        <v>0</v>
      </c>
      <c r="AI69" s="262">
        <f>AH69*(1-'Annexe G  Evolution Portefeuill'!$F$22)+AH99*'Annexe B  Plan commercial'!$E19*Hypothèses!$E$56</f>
        <v>0</v>
      </c>
      <c r="AJ69" s="262">
        <f>AI69*(1-'Annexe G  Evolution Portefeuill'!$F$22)+AI99*'Annexe B  Plan commercial'!$E19*Hypothèses!$E$56</f>
        <v>0</v>
      </c>
      <c r="AK69" s="262">
        <f>AJ69*(1-'Annexe G  Evolution Portefeuill'!$F$22)+AJ99*'Annexe B  Plan commercial'!$E19*Hypothèses!$E$56</f>
        <v>0</v>
      </c>
      <c r="AL69" s="262">
        <f>AK69*(1-'Annexe G  Evolution Portefeuill'!$F$22)+AK99*'Annexe B  Plan commercial'!$E19*Hypothèses!$E$56</f>
        <v>0</v>
      </c>
      <c r="AM69" s="262">
        <f>AL69*(1-'Annexe G  Evolution Portefeuill'!$F$22)+AL99*'Annexe B  Plan commercial'!$E19*Hypothèses!$E$56</f>
        <v>0</v>
      </c>
      <c r="AN69" s="262">
        <f>AM69*(1-'Annexe G  Evolution Portefeuill'!$F$22)+AM99*'Annexe B  Plan commercial'!$E19*Hypothèses!$E$56</f>
        <v>0</v>
      </c>
      <c r="AO69" s="262">
        <f>AN69*(1-'Annexe G  Evolution Portefeuill'!$F$22)+AN99*'Annexe B  Plan commercial'!$E19*Hypothèses!$E$56</f>
        <v>0</v>
      </c>
      <c r="AP69" s="262">
        <f>AO69*(1-'Annexe G  Evolution Portefeuill'!$F$22)+AO99*'Annexe B  Plan commercial'!$E19*Hypothèses!$E$56</f>
        <v>0</v>
      </c>
      <c r="AQ69" s="262">
        <f>AP69*(1-'Annexe G  Evolution Portefeuill'!$F$22)+AP99*'Annexe B  Plan commercial'!$E19*Hypothèses!$E$56</f>
        <v>0</v>
      </c>
      <c r="AR69" s="262">
        <f>AQ69*(1-'Annexe G  Evolution Portefeuill'!$F$22)+AQ99*'Annexe B  Plan commercial'!$E19*Hypothèses!$E$56</f>
        <v>0</v>
      </c>
      <c r="AS69" s="262">
        <f>AR69*(1-'Annexe G  Evolution Portefeuill'!$F$22)+AR99*'Annexe B  Plan commercial'!$E19*Hypothèses!$E$56</f>
        <v>0</v>
      </c>
      <c r="AT69" s="264">
        <f>AS69*(1-'Annexe G  Evolution Portefeuill'!$G$22)+AS99*'Annexe B  Plan commercial'!$F19*Hypothèses!$F$56</f>
        <v>0</v>
      </c>
      <c r="AU69" s="262">
        <f>AT69*(1-'Annexe G  Evolution Portefeuill'!$G$22)+AT99*'Annexe B  Plan commercial'!$F19*Hypothèses!$F$56</f>
        <v>0</v>
      </c>
      <c r="AV69" s="262">
        <f>AU69*(1-'Annexe G  Evolution Portefeuill'!$G$22)+AU99*'Annexe B  Plan commercial'!$F19*Hypothèses!$F$56</f>
        <v>0</v>
      </c>
      <c r="AW69" s="262">
        <f>AV69*(1-'Annexe G  Evolution Portefeuill'!$G$22)+AV99*'Annexe B  Plan commercial'!$F19*Hypothèses!$F$56</f>
        <v>0</v>
      </c>
      <c r="AX69" s="262">
        <f>AW69*(1-'Annexe G  Evolution Portefeuill'!$G$22)+AW99*'Annexe B  Plan commercial'!$F19*Hypothèses!$F$56</f>
        <v>0</v>
      </c>
      <c r="AY69" s="262">
        <f>AX69*(1-'Annexe G  Evolution Portefeuill'!$G$22)+AX99*'Annexe B  Plan commercial'!$F19*Hypothèses!$F$56</f>
        <v>0</v>
      </c>
      <c r="AZ69" s="262">
        <f>AY69*(1-'Annexe G  Evolution Portefeuill'!$G$22)+AY99*'Annexe B  Plan commercial'!$F19*Hypothèses!$F$56</f>
        <v>0</v>
      </c>
      <c r="BA69" s="262">
        <f>AZ69*(1-'Annexe G  Evolution Portefeuill'!$G$22)+AZ99*'Annexe B  Plan commercial'!$F19*Hypothèses!$F$56</f>
        <v>0</v>
      </c>
      <c r="BB69" s="262">
        <f>BA69*(1-'Annexe G  Evolution Portefeuill'!$G$22)+BA99*'Annexe B  Plan commercial'!$F19*Hypothèses!$F$56</f>
        <v>0</v>
      </c>
      <c r="BC69" s="262">
        <f>BB69*(1-'Annexe G  Evolution Portefeuill'!$G$22)+BB99*'Annexe B  Plan commercial'!$F19*Hypothèses!$F$56</f>
        <v>0</v>
      </c>
      <c r="BD69" s="262">
        <f>BC69*(1-'Annexe G  Evolution Portefeuill'!$G$22)+BC99*'Annexe B  Plan commercial'!$F19*Hypothèses!$F$56</f>
        <v>0</v>
      </c>
      <c r="BE69" s="263">
        <f>BD69*(1-'Annexe G  Evolution Portefeuill'!$G$22)+BD99*'Annexe B  Plan commercial'!$F19*Hypothèses!$F$56</f>
        <v>0</v>
      </c>
      <c r="BF69" s="262">
        <f>BE69*(1-'Annexe G  Evolution Portefeuill'!$H$22)+BE99*'Annexe B  Plan commercial'!$G19*Hypothèses!$G$56</f>
        <v>0</v>
      </c>
      <c r="BG69" s="262">
        <f>BF69*(1-'Annexe G  Evolution Portefeuill'!$H$22)+BF99*'Annexe B  Plan commercial'!$G19*Hypothèses!$G$56</f>
        <v>0</v>
      </c>
      <c r="BH69" s="262">
        <f>BG69*(1-'Annexe G  Evolution Portefeuill'!$H$22)+BG99*'Annexe B  Plan commercial'!$G19*Hypothèses!$G$56</f>
        <v>0</v>
      </c>
      <c r="BI69" s="262">
        <f>BH69*(1-'Annexe G  Evolution Portefeuill'!$H$22)+BH99*'Annexe B  Plan commercial'!$G19*Hypothèses!$G$56</f>
        <v>0</v>
      </c>
      <c r="BJ69" s="262">
        <f>BI69*(1-'Annexe G  Evolution Portefeuill'!$H$22)+BI99*'Annexe B  Plan commercial'!$G19*Hypothèses!$G$56</f>
        <v>0</v>
      </c>
      <c r="BK69" s="262">
        <f>BJ69*(1-'Annexe G  Evolution Portefeuill'!$H$22)+BJ99*'Annexe B  Plan commercial'!$G19*Hypothèses!$G$56</f>
        <v>0</v>
      </c>
      <c r="BL69" s="262">
        <f>BK69*(1-'Annexe G  Evolution Portefeuill'!$H$22)+BK99*'Annexe B  Plan commercial'!$G19*Hypothèses!$G$56</f>
        <v>0</v>
      </c>
      <c r="BM69" s="262">
        <f>BL69*(1-'Annexe G  Evolution Portefeuill'!$H$22)+BL99*'Annexe B  Plan commercial'!$G19*Hypothèses!$G$56</f>
        <v>0</v>
      </c>
      <c r="BN69" s="262">
        <f>BM69*(1-'Annexe G  Evolution Portefeuill'!$H$22)+BM99*'Annexe B  Plan commercial'!$G19*Hypothèses!$G$56</f>
        <v>0</v>
      </c>
      <c r="BO69" s="262">
        <f>BN69*(1-'Annexe G  Evolution Portefeuill'!$H$22)+BN99*'Annexe B  Plan commercial'!$G19*Hypothèses!$G$56</f>
        <v>0</v>
      </c>
      <c r="BP69" s="262">
        <f>BO69*(1-'Annexe G  Evolution Portefeuill'!$H$22)+BO99*'Annexe B  Plan commercial'!$G19*Hypothèses!$G$56</f>
        <v>0</v>
      </c>
      <c r="BQ69" s="262">
        <f>BP69*(1-'Annexe G  Evolution Portefeuill'!$H$22)+BP99*'Annexe B  Plan commercial'!$G19*Hypothèses!$G$56</f>
        <v>0</v>
      </c>
      <c r="BR69" s="265">
        <f>BQ69*(1-'Annexe G  Evolution Portefeuill'!$I$22)+BQ99*'Annexe B  Plan commercial'!$H19*Hypothèses!$H$56</f>
        <v>0</v>
      </c>
      <c r="BS69" s="262">
        <f>BR69*(1-'Annexe G  Evolution Portefeuill'!$I$22)+BR99*'Annexe B  Plan commercial'!$H19*Hypothèses!$H$56</f>
        <v>0</v>
      </c>
      <c r="BT69" s="262">
        <f>BS69*(1-'Annexe G  Evolution Portefeuill'!$I$22)+BS99*'Annexe B  Plan commercial'!$H19*Hypothèses!$H$56</f>
        <v>0</v>
      </c>
      <c r="BU69" s="262">
        <f>BT69*(1-'Annexe G  Evolution Portefeuill'!$I$22)+BT99*'Annexe B  Plan commercial'!$H19*Hypothèses!$H$56</f>
        <v>0</v>
      </c>
      <c r="BV69" s="262">
        <f>BU69*(1-'Annexe G  Evolution Portefeuill'!$I$22)+BU99*'Annexe B  Plan commercial'!$H19*Hypothèses!$H$56</f>
        <v>0</v>
      </c>
      <c r="BW69" s="262">
        <f>BV69*(1-'Annexe G  Evolution Portefeuill'!$I$22)+BV99*'Annexe B  Plan commercial'!$H19*Hypothèses!$H$56</f>
        <v>0</v>
      </c>
      <c r="BX69" s="262">
        <f>BW69*(1-'Annexe G  Evolution Portefeuill'!$I$22)+BW99*'Annexe B  Plan commercial'!$H19*Hypothèses!$H$56</f>
        <v>0</v>
      </c>
      <c r="BY69" s="262">
        <f>BX69*(1-'Annexe G  Evolution Portefeuill'!$I$22)+BX99*'Annexe B  Plan commercial'!$H19*Hypothèses!$H$56</f>
        <v>0</v>
      </c>
      <c r="BZ69" s="262">
        <f>BY69*(1-'Annexe G  Evolution Portefeuill'!$I$22)+BY99*'Annexe B  Plan commercial'!$H19*Hypothèses!$H$56</f>
        <v>0</v>
      </c>
      <c r="CA69" s="262">
        <f>BZ69*(1-'Annexe G  Evolution Portefeuill'!$I$22)+BZ99*'Annexe B  Plan commercial'!$H19*Hypothèses!$H$56</f>
        <v>0</v>
      </c>
      <c r="CB69" s="262">
        <f>CA69*(1-'Annexe G  Evolution Portefeuill'!$I$22)+CA99*'Annexe B  Plan commercial'!$H19*Hypothèses!$H$56</f>
        <v>0</v>
      </c>
      <c r="CC69" s="266">
        <f>CB69*(1-'Annexe G  Evolution Portefeuill'!$I$22)+CB99*'Annexe B  Plan commercial'!$H19*Hypothèses!$H$56</f>
        <v>0</v>
      </c>
      <c r="CD69" s="261"/>
    </row>
    <row r="70" spans="1:82" ht="14">
      <c r="A70" s="243" t="s">
        <v>145</v>
      </c>
      <c r="B70" s="61"/>
      <c r="C70" s="234">
        <v>0</v>
      </c>
      <c r="D70" s="262">
        <f>C70*(1-'Annexe G  Evolution Portefeuill'!$C$22)+C100*'Annexe B  Plan commercial'!$B25*Hypothèses!$B$57</f>
        <v>0</v>
      </c>
      <c r="E70" s="262">
        <f>D70*(1-'Annexe G  Evolution Portefeuill'!$C$22)+D100*'Annexe B  Plan commercial'!$B25*Hypothèses!$B$57</f>
        <v>0</v>
      </c>
      <c r="F70" s="262">
        <f>E70*(1-'Annexe G  Evolution Portefeuill'!$C$22)+E100*'Annexe B  Plan commercial'!$B25*Hypothèses!$B$57</f>
        <v>0</v>
      </c>
      <c r="G70" s="262">
        <f>F70*(1-'Annexe G  Evolution Portefeuill'!$C$22)+F100*'Annexe B  Plan commercial'!$B25*Hypothèses!$B$57</f>
        <v>0</v>
      </c>
      <c r="H70" s="262">
        <f>G70*(1-'Annexe G  Evolution Portefeuill'!$C$22)+G100*'Annexe B  Plan commercial'!$B25*Hypothèses!$B$57</f>
        <v>0</v>
      </c>
      <c r="I70" s="263">
        <f>H70*(1-'Annexe G  Evolution Portefeuill'!$C$22)+H100*'Annexe B  Plan commercial'!$B25*Hypothèses!$B$57</f>
        <v>0</v>
      </c>
      <c r="J70" s="235">
        <f>I70*(1-'Annexe G  Evolution Portefeuill'!$D$22)+I100*'Annexe B  Plan commercial'!$C25*Hypothèses!$C$57</f>
        <v>0</v>
      </c>
      <c r="K70" s="235">
        <f>J70*(1-'Annexe G  Evolution Portefeuill'!$D$22)+J100*'Annexe B  Plan commercial'!$C25*Hypothèses!$C$57</f>
        <v>0</v>
      </c>
      <c r="L70" s="235">
        <f>K70*(1-'Annexe G  Evolution Portefeuill'!$D$22)+K100*'Annexe B  Plan commercial'!$C25*Hypothèses!$C$57</f>
        <v>0</v>
      </c>
      <c r="M70" s="235">
        <f>L70*(1-'Annexe G  Evolution Portefeuill'!$D$22)+L100*'Annexe B  Plan commercial'!$C25*Hypothèses!$C$57</f>
        <v>0</v>
      </c>
      <c r="N70" s="235">
        <f>M70*(1-'Annexe G  Evolution Portefeuill'!$D$22)+M100*'Annexe B  Plan commercial'!$C25*Hypothèses!$C$57</f>
        <v>0</v>
      </c>
      <c r="O70" s="235">
        <f>N70*(1-'Annexe G  Evolution Portefeuill'!$D$22)+N100*'Annexe B  Plan commercial'!$C25*Hypothèses!$C$57</f>
        <v>0</v>
      </c>
      <c r="P70" s="235">
        <f>O70*(1-'Annexe G  Evolution Portefeuill'!$D$22)+O100*'Annexe B  Plan commercial'!$C25*Hypothèses!$C$57</f>
        <v>0</v>
      </c>
      <c r="Q70" s="235">
        <f>P70*(1-'Annexe G  Evolution Portefeuill'!$D$22)+P100*'Annexe B  Plan commercial'!$C25*Hypothèses!$C$57</f>
        <v>0</v>
      </c>
      <c r="R70" s="235">
        <f>Q70*(1-'Annexe G  Evolution Portefeuill'!$D$22)+Q100*'Annexe B  Plan commercial'!$C25*Hypothèses!$C$57</f>
        <v>0</v>
      </c>
      <c r="S70" s="235">
        <f>R70*(1-'Annexe G  Evolution Portefeuill'!$D$22)+R100*'Annexe B  Plan commercial'!$C25*Hypothèses!$C$57</f>
        <v>0</v>
      </c>
      <c r="T70" s="235">
        <f>S70*(1-'Annexe G  Evolution Portefeuill'!$D$22)+S100*'Annexe B  Plan commercial'!$C25*Hypothèses!$C$57</f>
        <v>0</v>
      </c>
      <c r="U70" s="235">
        <f>T70*(1-'Annexe G  Evolution Portefeuill'!$D$22)+T100*'Annexe B  Plan commercial'!$C25*Hypothèses!$C$57</f>
        <v>0</v>
      </c>
      <c r="V70" s="264">
        <f>U70*(1-'Annexe G  Evolution Portefeuill'!$E$22)+U100*'Annexe B  Plan commercial'!$D25*Hypothèses!$D$57</f>
        <v>0</v>
      </c>
      <c r="W70" s="262">
        <f>V70*(1-'Annexe G  Evolution Portefeuill'!$E$22)+V100*'Annexe B  Plan commercial'!$D25*Hypothèses!$D$57</f>
        <v>0</v>
      </c>
      <c r="X70" s="262">
        <f>W70*(1-'Annexe G  Evolution Portefeuill'!$E$22)+W100*'Annexe B  Plan commercial'!$D25*Hypothèses!$D$57</f>
        <v>0</v>
      </c>
      <c r="Y70" s="262">
        <f>X70*(1-'Annexe G  Evolution Portefeuill'!$E$22)+X100*'Annexe B  Plan commercial'!$D25*Hypothèses!$D$57</f>
        <v>0</v>
      </c>
      <c r="Z70" s="262">
        <f>Y70*(1-'Annexe G  Evolution Portefeuill'!$E$22)+Y100*'Annexe B  Plan commercial'!$D25*Hypothèses!$D$57</f>
        <v>0</v>
      </c>
      <c r="AA70" s="262">
        <f>Z70*(1-'Annexe G  Evolution Portefeuill'!$E$22)+Z100*'Annexe B  Plan commercial'!$D25*Hypothèses!$D$57</f>
        <v>0</v>
      </c>
      <c r="AB70" s="262">
        <f>AA70*(1-'Annexe G  Evolution Portefeuill'!$E$22)+AA100*'Annexe B  Plan commercial'!$D25*Hypothèses!$D$57</f>
        <v>0</v>
      </c>
      <c r="AC70" s="262">
        <f>AB70*(1-'Annexe G  Evolution Portefeuill'!$E$22)+AB100*'Annexe B  Plan commercial'!$D25*Hypothèses!$D$57</f>
        <v>0</v>
      </c>
      <c r="AD70" s="262">
        <f>AC70*(1-'Annexe G  Evolution Portefeuill'!$E$22)+AC100*'Annexe B  Plan commercial'!$D25*Hypothèses!$D$57</f>
        <v>0</v>
      </c>
      <c r="AE70" s="262">
        <f>AD70*(1-'Annexe G  Evolution Portefeuill'!$E$22)+AD100*'Annexe B  Plan commercial'!$D25*Hypothèses!$D$57</f>
        <v>0</v>
      </c>
      <c r="AF70" s="262">
        <f>AE70*(1-'Annexe G  Evolution Portefeuill'!$E$22)+AE100*'Annexe B  Plan commercial'!$D25*Hypothèses!$D$57</f>
        <v>0</v>
      </c>
      <c r="AG70" s="263">
        <f>AF70*(1-'Annexe G  Evolution Portefeuill'!$E$22)+AF100*'Annexe B  Plan commercial'!$D25*Hypothèses!$D$57</f>
        <v>0</v>
      </c>
      <c r="AH70" s="262">
        <f>AG70*(1-'Annexe G  Evolution Portefeuill'!$F$22)+AG100*'Annexe B  Plan commercial'!$E25*Hypothèses!$E$57</f>
        <v>0</v>
      </c>
      <c r="AI70" s="262">
        <f>AH70*(1-'Annexe G  Evolution Portefeuill'!$F$22)+AH100*'Annexe B  Plan commercial'!$E25*Hypothèses!$E$57</f>
        <v>0</v>
      </c>
      <c r="AJ70" s="262">
        <f>AI70*(1-'Annexe G  Evolution Portefeuill'!$F$22)+AI100*'Annexe B  Plan commercial'!$E25*Hypothèses!$E$57</f>
        <v>0</v>
      </c>
      <c r="AK70" s="262">
        <f>AJ70*(1-'Annexe G  Evolution Portefeuill'!$F$22)+AJ100*'Annexe B  Plan commercial'!$E25*Hypothèses!$E$57</f>
        <v>0</v>
      </c>
      <c r="AL70" s="262">
        <f>AK70*(1-'Annexe G  Evolution Portefeuill'!$F$22)+AK100*'Annexe B  Plan commercial'!$E25*Hypothèses!$E$57</f>
        <v>0</v>
      </c>
      <c r="AM70" s="262">
        <f>AL70*(1-'Annexe G  Evolution Portefeuill'!$F$22)+AL100*'Annexe B  Plan commercial'!$E25*Hypothèses!$E$57</f>
        <v>0</v>
      </c>
      <c r="AN70" s="262">
        <f>AM70*(1-'Annexe G  Evolution Portefeuill'!$F$22)+AM100*'Annexe B  Plan commercial'!$E25*Hypothèses!$E$57</f>
        <v>0</v>
      </c>
      <c r="AO70" s="262">
        <f>AN70*(1-'Annexe G  Evolution Portefeuill'!$F$22)+AN100*'Annexe B  Plan commercial'!$E25*Hypothèses!$E$57</f>
        <v>0</v>
      </c>
      <c r="AP70" s="262">
        <f>AO70*(1-'Annexe G  Evolution Portefeuill'!$F$22)+AO100*'Annexe B  Plan commercial'!$E25*Hypothèses!$E$57</f>
        <v>0</v>
      </c>
      <c r="AQ70" s="262">
        <f>AP70*(1-'Annexe G  Evolution Portefeuill'!$F$22)+AP100*'Annexe B  Plan commercial'!$E25*Hypothèses!$E$57</f>
        <v>0</v>
      </c>
      <c r="AR70" s="262">
        <f>AQ70*(1-'Annexe G  Evolution Portefeuill'!$F$22)+AQ100*'Annexe B  Plan commercial'!$E25*Hypothèses!$E$57</f>
        <v>0</v>
      </c>
      <c r="AS70" s="262">
        <f>AR70*(1-'Annexe G  Evolution Portefeuill'!$F$22)+AR100*'Annexe B  Plan commercial'!$E25*Hypothèses!$E$57</f>
        <v>0</v>
      </c>
      <c r="AT70" s="264">
        <f>AS70*(1-'Annexe G  Evolution Portefeuill'!$G$22)+AS100*'Annexe B  Plan commercial'!$F25*Hypothèses!$F$57</f>
        <v>0</v>
      </c>
      <c r="AU70" s="262">
        <f>AT70*(1-'Annexe G  Evolution Portefeuill'!$G$22)+AT100*'Annexe B  Plan commercial'!$F25*Hypothèses!$F$57</f>
        <v>0</v>
      </c>
      <c r="AV70" s="262">
        <f>AU70*(1-'Annexe G  Evolution Portefeuill'!$G$22)+AU100*'Annexe B  Plan commercial'!$F25*Hypothèses!$F$57</f>
        <v>0</v>
      </c>
      <c r="AW70" s="262">
        <f>AV70*(1-'Annexe G  Evolution Portefeuill'!$G$22)+AV100*'Annexe B  Plan commercial'!$F25*Hypothèses!$F$57</f>
        <v>0</v>
      </c>
      <c r="AX70" s="262">
        <f>AW70*(1-'Annexe G  Evolution Portefeuill'!$G$22)+AW100*'Annexe B  Plan commercial'!$F25*Hypothèses!$F$57</f>
        <v>0</v>
      </c>
      <c r="AY70" s="262">
        <f>AX70*(1-'Annexe G  Evolution Portefeuill'!$G$22)+AX100*'Annexe B  Plan commercial'!$F25*Hypothèses!$F$57</f>
        <v>0</v>
      </c>
      <c r="AZ70" s="262">
        <f>AY70*(1-'Annexe G  Evolution Portefeuill'!$G$22)+AY100*'Annexe B  Plan commercial'!$F25*Hypothèses!$F$57</f>
        <v>0</v>
      </c>
      <c r="BA70" s="262">
        <f>AZ70*(1-'Annexe G  Evolution Portefeuill'!$G$22)+AZ100*'Annexe B  Plan commercial'!$F25*Hypothèses!$F$57</f>
        <v>0</v>
      </c>
      <c r="BB70" s="262">
        <f>BA70*(1-'Annexe G  Evolution Portefeuill'!$G$22)+BA100*'Annexe B  Plan commercial'!$F25*Hypothèses!$F$57</f>
        <v>0</v>
      </c>
      <c r="BC70" s="262">
        <f>BB70*(1-'Annexe G  Evolution Portefeuill'!$G$22)+BB100*'Annexe B  Plan commercial'!$F25*Hypothèses!$F$57</f>
        <v>0</v>
      </c>
      <c r="BD70" s="262">
        <f>BC70*(1-'Annexe G  Evolution Portefeuill'!$G$22)+BC100*'Annexe B  Plan commercial'!$F25*Hypothèses!$F$57</f>
        <v>0</v>
      </c>
      <c r="BE70" s="263">
        <f>BD70*(1-'Annexe G  Evolution Portefeuill'!$G$22)+BD100*'Annexe B  Plan commercial'!$F25*Hypothèses!$F$57</f>
        <v>0</v>
      </c>
      <c r="BF70" s="262">
        <f>BE70*(1-'Annexe G  Evolution Portefeuill'!$H$22)+BE100*'Annexe B  Plan commercial'!$G25*Hypothèses!$G$57</f>
        <v>0</v>
      </c>
      <c r="BG70" s="262">
        <f>BF70*(1-'Annexe G  Evolution Portefeuill'!$H$22)+BF100*'Annexe B  Plan commercial'!$G25*Hypothèses!$G$57</f>
        <v>0</v>
      </c>
      <c r="BH70" s="262">
        <f>BG70*(1-'Annexe G  Evolution Portefeuill'!$H$22)+BG100*'Annexe B  Plan commercial'!$G25*Hypothèses!$G$57</f>
        <v>0</v>
      </c>
      <c r="BI70" s="262">
        <f>BH70*(1-'Annexe G  Evolution Portefeuill'!$H$22)+BH100*'Annexe B  Plan commercial'!$G25*Hypothèses!$G$57</f>
        <v>0</v>
      </c>
      <c r="BJ70" s="262">
        <f>BI70*(1-'Annexe G  Evolution Portefeuill'!$H$22)+BI100*'Annexe B  Plan commercial'!$G25*Hypothèses!$G$57</f>
        <v>0</v>
      </c>
      <c r="BK70" s="262">
        <f>BJ70*(1-'Annexe G  Evolution Portefeuill'!$H$22)+BJ100*'Annexe B  Plan commercial'!$G25*Hypothèses!$G$57</f>
        <v>0</v>
      </c>
      <c r="BL70" s="262">
        <f>BK70*(1-'Annexe G  Evolution Portefeuill'!$H$22)+BK100*'Annexe B  Plan commercial'!$G25*Hypothèses!$G$57</f>
        <v>0</v>
      </c>
      <c r="BM70" s="262">
        <f>BL70*(1-'Annexe G  Evolution Portefeuill'!$H$22)+BL100*'Annexe B  Plan commercial'!$G25*Hypothèses!$G$57</f>
        <v>0</v>
      </c>
      <c r="BN70" s="262">
        <f>BM70*(1-'Annexe G  Evolution Portefeuill'!$H$22)+BM100*'Annexe B  Plan commercial'!$G25*Hypothèses!$G$57</f>
        <v>0</v>
      </c>
      <c r="BO70" s="262">
        <f>BN70*(1-'Annexe G  Evolution Portefeuill'!$H$22)+BN100*'Annexe B  Plan commercial'!$G25*Hypothèses!$G$57</f>
        <v>0</v>
      </c>
      <c r="BP70" s="262">
        <f>BO70*(1-'Annexe G  Evolution Portefeuill'!$H$22)+BO100*'Annexe B  Plan commercial'!$G25*Hypothèses!$G$57</f>
        <v>0</v>
      </c>
      <c r="BQ70" s="262">
        <f>BP70*(1-'Annexe G  Evolution Portefeuill'!$H$22)+BP100*'Annexe B  Plan commercial'!$G25*Hypothèses!$G$57</f>
        <v>0</v>
      </c>
      <c r="BR70" s="265">
        <f>BQ70*(1-'Annexe G  Evolution Portefeuill'!$I$22)+BQ100*'Annexe B  Plan commercial'!$H25*Hypothèses!$H$57</f>
        <v>0</v>
      </c>
      <c r="BS70" s="262">
        <f>BR70*(1-'Annexe G  Evolution Portefeuill'!$I$22)+BR100*'Annexe B  Plan commercial'!$H25*Hypothèses!$H$57</f>
        <v>0</v>
      </c>
      <c r="BT70" s="262">
        <f>BS70*(1-'Annexe G  Evolution Portefeuill'!$I$22)+BS100*'Annexe B  Plan commercial'!$H25*Hypothèses!$H$57</f>
        <v>0</v>
      </c>
      <c r="BU70" s="262">
        <f>BT70*(1-'Annexe G  Evolution Portefeuill'!$I$22)+BT100*'Annexe B  Plan commercial'!$H25*Hypothèses!$H$57</f>
        <v>0</v>
      </c>
      <c r="BV70" s="262">
        <f>BU70*(1-'Annexe G  Evolution Portefeuill'!$I$22)+BU100*'Annexe B  Plan commercial'!$H25*Hypothèses!$H$57</f>
        <v>0</v>
      </c>
      <c r="BW70" s="262">
        <f>BV70*(1-'Annexe G  Evolution Portefeuill'!$I$22)+BV100*'Annexe B  Plan commercial'!$H25*Hypothèses!$H$57</f>
        <v>0</v>
      </c>
      <c r="BX70" s="262">
        <f>BW70*(1-'Annexe G  Evolution Portefeuill'!$I$22)+BW100*'Annexe B  Plan commercial'!$H25*Hypothèses!$H$57</f>
        <v>0</v>
      </c>
      <c r="BY70" s="262">
        <f>BX70*(1-'Annexe G  Evolution Portefeuill'!$I$22)+BX100*'Annexe B  Plan commercial'!$H25*Hypothèses!$H$57</f>
        <v>0</v>
      </c>
      <c r="BZ70" s="262">
        <f>BY70*(1-'Annexe G  Evolution Portefeuill'!$I$22)+BY100*'Annexe B  Plan commercial'!$H25*Hypothèses!$H$57</f>
        <v>0</v>
      </c>
      <c r="CA70" s="262">
        <f>BZ70*(1-'Annexe G  Evolution Portefeuill'!$I$22)+BZ100*'Annexe B  Plan commercial'!$H25*Hypothèses!$H$57</f>
        <v>0</v>
      </c>
      <c r="CB70" s="262">
        <f>CA70*(1-'Annexe G  Evolution Portefeuill'!$I$22)+CA100*'Annexe B  Plan commercial'!$H25*Hypothèses!$H$57</f>
        <v>0</v>
      </c>
      <c r="CC70" s="266">
        <f>CB70*(1-'Annexe G  Evolution Portefeuill'!$I$22)+CB100*'Annexe B  Plan commercial'!$H25*Hypothèses!$H$57</f>
        <v>0</v>
      </c>
    </row>
    <row r="71" spans="1:82" ht="14">
      <c r="A71" s="243" t="s">
        <v>146</v>
      </c>
      <c r="B71" s="61"/>
      <c r="C71" s="234">
        <v>0</v>
      </c>
      <c r="D71" s="262">
        <f>C71*(1-'Annexe G  Evolution Portefeuill'!$C$22)+C101*'Annexe B  Plan commercial'!$B31*Hypothèses!$B$58</f>
        <v>0</v>
      </c>
      <c r="E71" s="262">
        <f>D71*(1-'Annexe G  Evolution Portefeuill'!$C$22)+D101*'Annexe B  Plan commercial'!$B31*Hypothèses!$B$58</f>
        <v>0</v>
      </c>
      <c r="F71" s="262">
        <f>E71*(1-'Annexe G  Evolution Portefeuill'!$C$22)+E101*'Annexe B  Plan commercial'!$B31*Hypothèses!$B$58</f>
        <v>0</v>
      </c>
      <c r="G71" s="262">
        <f>F71*(1-'Annexe G  Evolution Portefeuill'!$C$22)+F101*'Annexe B  Plan commercial'!$B31*Hypothèses!$B$58</f>
        <v>0</v>
      </c>
      <c r="H71" s="262">
        <f>G71*(1-'Annexe G  Evolution Portefeuill'!$C$22)+G101*'Annexe B  Plan commercial'!$B31*Hypothèses!$B$58</f>
        <v>0</v>
      </c>
      <c r="I71" s="263">
        <f>H71*(1-'Annexe G  Evolution Portefeuill'!$C$22)+H101*'Annexe B  Plan commercial'!$B31*Hypothèses!$B$58</f>
        <v>0</v>
      </c>
      <c r="J71" s="235">
        <f>I71*(1-'Annexe G  Evolution Portefeuill'!$D$22)+I101*'Annexe B  Plan commercial'!$C31*Hypothèses!$C$58</f>
        <v>0</v>
      </c>
      <c r="K71" s="235">
        <f>J71*(1-'Annexe G  Evolution Portefeuill'!$D$22)+J101*'Annexe B  Plan commercial'!$C31*Hypothèses!$C$58</f>
        <v>0</v>
      </c>
      <c r="L71" s="235">
        <f>K71*(1-'Annexe G  Evolution Portefeuill'!$D$22)+K101*'Annexe B  Plan commercial'!$C31*Hypothèses!$C$58</f>
        <v>0</v>
      </c>
      <c r="M71" s="235">
        <f>L71*(1-'Annexe G  Evolution Portefeuill'!$D$22)+L101*'Annexe B  Plan commercial'!$C31*Hypothèses!$C$58</f>
        <v>0</v>
      </c>
      <c r="N71" s="235">
        <f>M71*(1-'Annexe G  Evolution Portefeuill'!$D$22)+M101*'Annexe B  Plan commercial'!$C31*Hypothèses!$C$58</f>
        <v>0</v>
      </c>
      <c r="O71" s="235">
        <f>N71*(1-'Annexe G  Evolution Portefeuill'!$D$22)+N101*'Annexe B  Plan commercial'!$C31*Hypothèses!$C$58</f>
        <v>0</v>
      </c>
      <c r="P71" s="235">
        <f>O71*(1-'Annexe G  Evolution Portefeuill'!$D$22)+O101*'Annexe B  Plan commercial'!$C31*Hypothèses!$C$58</f>
        <v>0</v>
      </c>
      <c r="Q71" s="235">
        <f>P71*(1-'Annexe G  Evolution Portefeuill'!$D$22)+P101*'Annexe B  Plan commercial'!$C31*Hypothèses!$C$58</f>
        <v>0</v>
      </c>
      <c r="R71" s="235">
        <f>Q71*(1-'Annexe G  Evolution Portefeuill'!$D$22)+Q101*'Annexe B  Plan commercial'!$C31*Hypothèses!$C$58</f>
        <v>0</v>
      </c>
      <c r="S71" s="235">
        <f>R71*(1-'Annexe G  Evolution Portefeuill'!$D$22)+R101*'Annexe B  Plan commercial'!$C31*Hypothèses!$C$58</f>
        <v>0</v>
      </c>
      <c r="T71" s="235">
        <f>S71*(1-'Annexe G  Evolution Portefeuill'!$D$22)+S101*'Annexe B  Plan commercial'!$C31*Hypothèses!$C$58</f>
        <v>0</v>
      </c>
      <c r="U71" s="235">
        <f>T71*(1-'Annexe G  Evolution Portefeuill'!$D$22)+T101*'Annexe B  Plan commercial'!$C31*Hypothèses!$C$58</f>
        <v>0</v>
      </c>
      <c r="V71" s="264">
        <f>U71*(1-'Annexe G  Evolution Portefeuill'!$E$22)+U101*'Annexe B  Plan commercial'!$D31*Hypothèses!$D$58</f>
        <v>0</v>
      </c>
      <c r="W71" s="262">
        <f>V71*(1-'Annexe G  Evolution Portefeuill'!$E$22)+V101*'Annexe B  Plan commercial'!$D31*Hypothèses!$D$58</f>
        <v>0</v>
      </c>
      <c r="X71" s="262">
        <f>W71*(1-'Annexe G  Evolution Portefeuill'!$E$22)+W101*'Annexe B  Plan commercial'!$D31*Hypothèses!$D$58</f>
        <v>0</v>
      </c>
      <c r="Y71" s="262">
        <f>X71*(1-'Annexe G  Evolution Portefeuill'!$E$22)+X101*'Annexe B  Plan commercial'!$D31*Hypothèses!$D$58</f>
        <v>0</v>
      </c>
      <c r="Z71" s="262">
        <f>Y71*(1-'Annexe G  Evolution Portefeuill'!$E$22)+Y101*'Annexe B  Plan commercial'!$D31*Hypothèses!$D$58</f>
        <v>0</v>
      </c>
      <c r="AA71" s="262">
        <f>Z71*(1-'Annexe G  Evolution Portefeuill'!$E$22)+Z101*'Annexe B  Plan commercial'!$D31*Hypothèses!$D$58</f>
        <v>0</v>
      </c>
      <c r="AB71" s="262">
        <f>AA71*(1-'Annexe G  Evolution Portefeuill'!$E$22)+AA101*'Annexe B  Plan commercial'!$D31*Hypothèses!$D$58</f>
        <v>0</v>
      </c>
      <c r="AC71" s="262">
        <f>AB71*(1-'Annexe G  Evolution Portefeuill'!$E$22)+AB101*'Annexe B  Plan commercial'!$D31*Hypothèses!$D$58</f>
        <v>0</v>
      </c>
      <c r="AD71" s="262">
        <f>AC71*(1-'Annexe G  Evolution Portefeuill'!$E$22)+AC101*'Annexe B  Plan commercial'!$D31*Hypothèses!$D$58</f>
        <v>0</v>
      </c>
      <c r="AE71" s="262">
        <f>AD71*(1-'Annexe G  Evolution Portefeuill'!$E$22)+AD101*'Annexe B  Plan commercial'!$D31*Hypothèses!$D$58</f>
        <v>0</v>
      </c>
      <c r="AF71" s="262">
        <f>AE71*(1-'Annexe G  Evolution Portefeuill'!$E$22)+AE101*'Annexe B  Plan commercial'!$D31*Hypothèses!$D$58</f>
        <v>0</v>
      </c>
      <c r="AG71" s="263">
        <f>AF71*(1-'Annexe G  Evolution Portefeuill'!$E$22)+AF101*'Annexe B  Plan commercial'!$D31*Hypothèses!$D$58</f>
        <v>0</v>
      </c>
      <c r="AH71" s="262">
        <f>AG71*(1-'Annexe G  Evolution Portefeuill'!$F$22)+AG101*'Annexe B  Plan commercial'!$E31*Hypothèses!$E$58</f>
        <v>0</v>
      </c>
      <c r="AI71" s="262">
        <f>AH71*(1-'Annexe G  Evolution Portefeuill'!$F$22)+AH101*'Annexe B  Plan commercial'!$E31*Hypothèses!$E$58</f>
        <v>0</v>
      </c>
      <c r="AJ71" s="262">
        <f>AI71*(1-'Annexe G  Evolution Portefeuill'!$F$22)+AI101*'Annexe B  Plan commercial'!$E31*Hypothèses!$E$58</f>
        <v>0</v>
      </c>
      <c r="AK71" s="262">
        <f>AJ71*(1-'Annexe G  Evolution Portefeuill'!$F$22)+AJ101*'Annexe B  Plan commercial'!$E31*Hypothèses!$E$58</f>
        <v>0</v>
      </c>
      <c r="AL71" s="262">
        <f>AK71*(1-'Annexe G  Evolution Portefeuill'!$F$22)+AK101*'Annexe B  Plan commercial'!$E31*Hypothèses!$E$58</f>
        <v>0</v>
      </c>
      <c r="AM71" s="262">
        <f>AL71*(1-'Annexe G  Evolution Portefeuill'!$F$22)+AL101*'Annexe B  Plan commercial'!$E31*Hypothèses!$E$58</f>
        <v>0</v>
      </c>
      <c r="AN71" s="262">
        <f>AM71*(1-'Annexe G  Evolution Portefeuill'!$F$22)+AM101*'Annexe B  Plan commercial'!$E31*Hypothèses!$E$58</f>
        <v>0</v>
      </c>
      <c r="AO71" s="262">
        <f>AN71*(1-'Annexe G  Evolution Portefeuill'!$F$22)+AN101*'Annexe B  Plan commercial'!$E31*Hypothèses!$E$58</f>
        <v>0</v>
      </c>
      <c r="AP71" s="262">
        <f>AO71*(1-'Annexe G  Evolution Portefeuill'!$F$22)+AO101*'Annexe B  Plan commercial'!$E31*Hypothèses!$E$58</f>
        <v>0</v>
      </c>
      <c r="AQ71" s="262">
        <f>AP71*(1-'Annexe G  Evolution Portefeuill'!$F$22)+AP101*'Annexe B  Plan commercial'!$E31*Hypothèses!$E$58</f>
        <v>0</v>
      </c>
      <c r="AR71" s="262">
        <f>AQ71*(1-'Annexe G  Evolution Portefeuill'!$F$22)+AQ101*'Annexe B  Plan commercial'!$E31*Hypothèses!$E$58</f>
        <v>0</v>
      </c>
      <c r="AS71" s="262">
        <f>AR71*(1-'Annexe G  Evolution Portefeuill'!$F$22)+AR101*'Annexe B  Plan commercial'!$E31*Hypothèses!$E$58</f>
        <v>0</v>
      </c>
      <c r="AT71" s="264">
        <f>AS71*(1-'Annexe G  Evolution Portefeuill'!$G$22)+AS101*'Annexe B  Plan commercial'!$F31*Hypothèses!$F$58</f>
        <v>0</v>
      </c>
      <c r="AU71" s="262">
        <f>AT71*(1-'Annexe G  Evolution Portefeuill'!$G$22)+AT101*'Annexe B  Plan commercial'!$F31*Hypothèses!$F$58</f>
        <v>0</v>
      </c>
      <c r="AV71" s="262">
        <f>AU71*(1-'Annexe G  Evolution Portefeuill'!$G$22)+AU101*'Annexe B  Plan commercial'!$F31*Hypothèses!$F$58</f>
        <v>0</v>
      </c>
      <c r="AW71" s="262">
        <f>AV71*(1-'Annexe G  Evolution Portefeuill'!$G$22)+AV101*'Annexe B  Plan commercial'!$F31*Hypothèses!$F$58</f>
        <v>0</v>
      </c>
      <c r="AX71" s="262">
        <f>AW71*(1-'Annexe G  Evolution Portefeuill'!$G$22)+AW101*'Annexe B  Plan commercial'!$F31*Hypothèses!$F$58</f>
        <v>0</v>
      </c>
      <c r="AY71" s="262">
        <f>AX71*(1-'Annexe G  Evolution Portefeuill'!$G$22)+AX101*'Annexe B  Plan commercial'!$F31*Hypothèses!$F$58</f>
        <v>0</v>
      </c>
      <c r="AZ71" s="262">
        <f>AY71*(1-'Annexe G  Evolution Portefeuill'!$G$22)+AY101*'Annexe B  Plan commercial'!$F31*Hypothèses!$F$58</f>
        <v>0</v>
      </c>
      <c r="BA71" s="262">
        <f>AZ71*(1-'Annexe G  Evolution Portefeuill'!$G$22)+AZ101*'Annexe B  Plan commercial'!$F31*Hypothèses!$F$58</f>
        <v>0</v>
      </c>
      <c r="BB71" s="262">
        <f>BA71*(1-'Annexe G  Evolution Portefeuill'!$G$22)+BA101*'Annexe B  Plan commercial'!$F31*Hypothèses!$F$58</f>
        <v>0</v>
      </c>
      <c r="BC71" s="262">
        <f>BB71*(1-'Annexe G  Evolution Portefeuill'!$G$22)+BB101*'Annexe B  Plan commercial'!$F31*Hypothèses!$F$58</f>
        <v>0</v>
      </c>
      <c r="BD71" s="262">
        <f>BC71*(1-'Annexe G  Evolution Portefeuill'!$G$22)+BC101*'Annexe B  Plan commercial'!$F31*Hypothèses!$F$58</f>
        <v>0</v>
      </c>
      <c r="BE71" s="263">
        <f>BD71*(1-'Annexe G  Evolution Portefeuill'!$G$22)+BD101*'Annexe B  Plan commercial'!$F31*Hypothèses!$F$58</f>
        <v>0</v>
      </c>
      <c r="BF71" s="262">
        <f>BE71*(1-'Annexe G  Evolution Portefeuill'!$H$22)+BE101*'Annexe B  Plan commercial'!$G31*Hypothèses!$G$58</f>
        <v>0</v>
      </c>
      <c r="BG71" s="262">
        <f>BF71*(1-'Annexe G  Evolution Portefeuill'!$H$22)+BF101*'Annexe B  Plan commercial'!$G31*Hypothèses!$G$58</f>
        <v>0</v>
      </c>
      <c r="BH71" s="262">
        <f>BG71*(1-'Annexe G  Evolution Portefeuill'!$H$22)+BG101*'Annexe B  Plan commercial'!$G31*Hypothèses!$G$58</f>
        <v>0</v>
      </c>
      <c r="BI71" s="262">
        <f>BH71*(1-'Annexe G  Evolution Portefeuill'!$H$22)+BH101*'Annexe B  Plan commercial'!$G31*Hypothèses!$G$58</f>
        <v>0</v>
      </c>
      <c r="BJ71" s="262">
        <f>BI71*(1-'Annexe G  Evolution Portefeuill'!$H$22)+BI101*'Annexe B  Plan commercial'!$G31*Hypothèses!$G$58</f>
        <v>0</v>
      </c>
      <c r="BK71" s="262">
        <f>BJ71*(1-'Annexe G  Evolution Portefeuill'!$H$22)+BJ101*'Annexe B  Plan commercial'!$G31*Hypothèses!$G$58</f>
        <v>0</v>
      </c>
      <c r="BL71" s="262">
        <f>BK71*(1-'Annexe G  Evolution Portefeuill'!$H$22)+BK101*'Annexe B  Plan commercial'!$G31*Hypothèses!$G$58</f>
        <v>0</v>
      </c>
      <c r="BM71" s="262">
        <f>BL71*(1-'Annexe G  Evolution Portefeuill'!$H$22)+BL101*'Annexe B  Plan commercial'!$G31*Hypothèses!$G$58</f>
        <v>0</v>
      </c>
      <c r="BN71" s="262">
        <f>BM71*(1-'Annexe G  Evolution Portefeuill'!$H$22)+BM101*'Annexe B  Plan commercial'!$G31*Hypothèses!$G$58</f>
        <v>0</v>
      </c>
      <c r="BO71" s="262">
        <f>BN71*(1-'Annexe G  Evolution Portefeuill'!$H$22)+BN101*'Annexe B  Plan commercial'!$G31*Hypothèses!$G$58</f>
        <v>0</v>
      </c>
      <c r="BP71" s="262">
        <f>BO71*(1-'Annexe G  Evolution Portefeuill'!$H$22)+BO101*'Annexe B  Plan commercial'!$G31*Hypothèses!$G$58</f>
        <v>0</v>
      </c>
      <c r="BQ71" s="262">
        <f>BP71*(1-'Annexe G  Evolution Portefeuill'!$H$22)+BP101*'Annexe B  Plan commercial'!$G31*Hypothèses!$G$58</f>
        <v>0</v>
      </c>
      <c r="BR71" s="265">
        <f>BQ71*(1-'Annexe G  Evolution Portefeuill'!$I$22)+BQ101*'Annexe B  Plan commercial'!$H31*Hypothèses!$H$58</f>
        <v>0</v>
      </c>
      <c r="BS71" s="262">
        <f>BR71*(1-'Annexe G  Evolution Portefeuill'!$I$22)+BR101*'Annexe B  Plan commercial'!$H31*Hypothèses!$H$58</f>
        <v>0</v>
      </c>
      <c r="BT71" s="262">
        <f>BS71*(1-'Annexe G  Evolution Portefeuill'!$I$22)+BS101*'Annexe B  Plan commercial'!$H31*Hypothèses!$H$58</f>
        <v>0</v>
      </c>
      <c r="BU71" s="262">
        <f>BT71*(1-'Annexe G  Evolution Portefeuill'!$I$22)+BT101*'Annexe B  Plan commercial'!$H31*Hypothèses!$H$58</f>
        <v>0</v>
      </c>
      <c r="BV71" s="262">
        <f>BU71*(1-'Annexe G  Evolution Portefeuill'!$I$22)+BU101*'Annexe B  Plan commercial'!$H31*Hypothèses!$H$58</f>
        <v>0</v>
      </c>
      <c r="BW71" s="262">
        <f>BV71*(1-'Annexe G  Evolution Portefeuill'!$I$22)+BV101*'Annexe B  Plan commercial'!$H31*Hypothèses!$H$58</f>
        <v>0</v>
      </c>
      <c r="BX71" s="262">
        <f>BW71*(1-'Annexe G  Evolution Portefeuill'!$I$22)+BW101*'Annexe B  Plan commercial'!$H31*Hypothèses!$H$58</f>
        <v>0</v>
      </c>
      <c r="BY71" s="262">
        <f>BX71*(1-'Annexe G  Evolution Portefeuill'!$I$22)+BX101*'Annexe B  Plan commercial'!$H31*Hypothèses!$H$58</f>
        <v>0</v>
      </c>
      <c r="BZ71" s="262">
        <f>BY71*(1-'Annexe G  Evolution Portefeuill'!$I$22)+BY101*'Annexe B  Plan commercial'!$H31*Hypothèses!$H$58</f>
        <v>0</v>
      </c>
      <c r="CA71" s="262">
        <f>BZ71*(1-'Annexe G  Evolution Portefeuill'!$I$22)+BZ101*'Annexe B  Plan commercial'!$H31*Hypothèses!$H$58</f>
        <v>0</v>
      </c>
      <c r="CB71" s="262">
        <f>CA71*(1-'Annexe G  Evolution Portefeuill'!$I$22)+CA101*'Annexe B  Plan commercial'!$H31*Hypothèses!$H$58</f>
        <v>0</v>
      </c>
      <c r="CC71" s="266">
        <f>CB71*(1-'Annexe G  Evolution Portefeuill'!$I$22)+CB101*'Annexe B  Plan commercial'!$H31*Hypothèses!$H$58</f>
        <v>0</v>
      </c>
    </row>
    <row r="72" spans="1:82" ht="14">
      <c r="A72" s="194" t="s">
        <v>152</v>
      </c>
      <c r="B72" s="61"/>
      <c r="C72" s="252"/>
      <c r="I72" s="253"/>
      <c r="V72" s="252"/>
      <c r="AG72" s="253"/>
      <c r="AT72" s="252"/>
      <c r="BE72" s="253"/>
      <c r="BR72" s="40"/>
      <c r="CC72" s="10"/>
    </row>
    <row r="73" spans="1:82" ht="14">
      <c r="A73" s="181"/>
      <c r="B73" s="61"/>
      <c r="C73" s="252"/>
      <c r="I73" s="253"/>
      <c r="V73" s="252"/>
      <c r="AG73" s="253"/>
      <c r="AT73" s="252"/>
      <c r="BE73" s="253"/>
      <c r="BR73" s="40"/>
      <c r="CC73" s="10"/>
    </row>
    <row r="74" spans="1:82" ht="14" hidden="1">
      <c r="A74" s="269" t="s">
        <v>153</v>
      </c>
      <c r="B74" s="61"/>
      <c r="C74" s="252"/>
      <c r="I74" s="253"/>
      <c r="V74" s="252"/>
      <c r="AG74" s="253"/>
      <c r="AT74" s="252"/>
      <c r="BE74" s="253"/>
      <c r="BR74" s="40"/>
      <c r="CC74" s="10"/>
    </row>
    <row r="75" spans="1:82" ht="14" hidden="1">
      <c r="A75" s="194" t="s">
        <v>154</v>
      </c>
      <c r="B75" s="61"/>
      <c r="C75" s="252"/>
      <c r="I75" s="253"/>
      <c r="V75" s="252"/>
      <c r="AG75" s="253"/>
      <c r="AT75" s="252"/>
      <c r="BE75" s="253"/>
      <c r="BR75" s="40"/>
      <c r="CC75" s="10"/>
    </row>
    <row r="76" spans="1:82" ht="14">
      <c r="A76" s="194"/>
      <c r="B76" s="61"/>
      <c r="C76" s="252"/>
      <c r="I76" s="253"/>
      <c r="V76" s="252"/>
      <c r="AG76" s="253"/>
      <c r="AT76" s="252"/>
      <c r="BE76" s="253"/>
      <c r="BR76" s="40"/>
      <c r="BW76" s="60"/>
      <c r="CC76" s="10"/>
    </row>
    <row r="77" spans="1:82" ht="14">
      <c r="A77" s="270"/>
      <c r="B77" s="61"/>
      <c r="C77" s="252"/>
      <c r="I77" s="253"/>
      <c r="V77" s="252"/>
      <c r="AG77" s="253"/>
      <c r="AT77" s="252"/>
      <c r="BE77" s="253"/>
      <c r="BR77" s="40"/>
      <c r="CC77" s="10"/>
    </row>
    <row r="78" spans="1:82" ht="14">
      <c r="A78" s="270"/>
      <c r="B78" s="61"/>
      <c r="C78" s="252"/>
      <c r="I78" s="253"/>
      <c r="V78" s="252"/>
      <c r="AG78" s="253"/>
      <c r="AT78" s="252"/>
      <c r="BE78" s="253"/>
      <c r="BR78" s="40"/>
      <c r="CC78" s="10"/>
    </row>
    <row r="79" spans="1:82" ht="14">
      <c r="A79" s="270"/>
      <c r="B79" s="61"/>
      <c r="C79" s="252"/>
      <c r="I79" s="253"/>
      <c r="V79" s="252"/>
      <c r="AG79" s="253"/>
      <c r="AT79" s="252"/>
      <c r="BE79" s="253"/>
      <c r="BR79" s="40"/>
      <c r="CC79" s="10"/>
    </row>
    <row r="80" spans="1:82" ht="14">
      <c r="A80" s="271"/>
      <c r="B80" s="167"/>
      <c r="C80" s="272"/>
      <c r="D80" s="273"/>
      <c r="E80" s="273"/>
      <c r="F80" s="273"/>
      <c r="G80" s="273"/>
      <c r="H80" s="273"/>
      <c r="I80" s="274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275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  <c r="AG80" s="277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0"/>
      <c r="AT80" s="275"/>
      <c r="AU80" s="276"/>
      <c r="AV80" s="276"/>
      <c r="AW80" s="276"/>
      <c r="AX80" s="276"/>
      <c r="AY80" s="276"/>
      <c r="AZ80" s="276"/>
      <c r="BA80" s="276"/>
      <c r="BB80" s="276"/>
      <c r="BC80" s="276"/>
      <c r="BD80" s="276"/>
      <c r="BE80" s="277"/>
      <c r="BR80" s="43"/>
      <c r="BS80" s="120"/>
      <c r="BT80" s="120"/>
      <c r="BU80" s="120"/>
      <c r="BV80" s="120"/>
      <c r="BW80" s="120"/>
      <c r="BX80" s="120"/>
      <c r="BY80" s="120"/>
      <c r="BZ80" s="120"/>
      <c r="CA80" s="120"/>
      <c r="CB80" s="120"/>
      <c r="CC80" s="121"/>
    </row>
    <row r="81" spans="1:82" ht="14">
      <c r="A81" s="91" t="s">
        <v>155</v>
      </c>
      <c r="B81" s="67"/>
      <c r="C81" s="43"/>
      <c r="D81" s="120"/>
      <c r="E81" s="120"/>
      <c r="F81" s="120"/>
      <c r="G81" s="120"/>
      <c r="H81" s="120"/>
      <c r="I81" s="121"/>
      <c r="J81" s="197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43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1"/>
      <c r="AH81" s="197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  <c r="AS81" s="199"/>
      <c r="AT81" s="43"/>
      <c r="AU81" s="120"/>
      <c r="AV81" s="120"/>
      <c r="AW81" s="120"/>
      <c r="AX81" s="120"/>
      <c r="AY81" s="120"/>
      <c r="AZ81" s="120"/>
      <c r="BA81" s="120"/>
      <c r="BB81" s="120"/>
      <c r="BC81" s="120"/>
      <c r="BD81" s="120"/>
      <c r="BE81" s="121"/>
      <c r="BF81" s="197"/>
      <c r="BG81" s="198"/>
      <c r="BH81" s="198"/>
      <c r="BI81" s="198"/>
      <c r="BJ81" s="198"/>
      <c r="BK81" s="198"/>
      <c r="BL81" s="198"/>
      <c r="BM81" s="198"/>
      <c r="BN81" s="198"/>
      <c r="BO81" s="198"/>
      <c r="BP81" s="198"/>
      <c r="BQ81" s="199"/>
      <c r="BR81" s="43"/>
      <c r="BS81" s="120"/>
      <c r="BT81" s="120"/>
      <c r="BU81" s="120"/>
      <c r="BV81" s="120"/>
      <c r="BW81" s="120"/>
      <c r="BX81" s="120"/>
      <c r="BY81" s="120"/>
      <c r="BZ81" s="120"/>
      <c r="CA81" s="120"/>
      <c r="CB81" s="120"/>
      <c r="CC81" s="121"/>
    </row>
    <row r="82" spans="1:82" ht="14">
      <c r="A82" s="2"/>
      <c r="B82" s="62"/>
      <c r="C82" s="40"/>
      <c r="I82" s="10"/>
      <c r="J82" s="40"/>
      <c r="U82" s="10"/>
      <c r="V82" s="40"/>
      <c r="AG82" s="10"/>
      <c r="AH82" s="40"/>
      <c r="AS82" s="10"/>
      <c r="AT82" s="40"/>
      <c r="BE82" s="10"/>
      <c r="BF82" s="40"/>
      <c r="BQ82" s="10"/>
      <c r="BR82" s="40"/>
      <c r="CC82" s="10"/>
    </row>
    <row r="83" spans="1:82" ht="14">
      <c r="A83" s="278"/>
      <c r="B83" s="279"/>
      <c r="C83" s="280"/>
      <c r="D83" s="281"/>
      <c r="E83" s="281"/>
      <c r="F83" s="281"/>
      <c r="G83" s="281"/>
      <c r="H83" s="281"/>
      <c r="I83" s="282"/>
      <c r="J83" s="40"/>
      <c r="U83" s="10"/>
      <c r="V83" s="40"/>
      <c r="AG83" s="10"/>
      <c r="AH83" s="40"/>
      <c r="AS83" s="10"/>
      <c r="AT83" s="40"/>
      <c r="BE83" s="10"/>
      <c r="BF83" s="40"/>
      <c r="BQ83" s="10"/>
      <c r="BR83" s="40"/>
      <c r="CC83" s="10"/>
    </row>
    <row r="84" spans="1:82" ht="14">
      <c r="A84" s="195" t="s">
        <v>156</v>
      </c>
      <c r="B84" s="196"/>
      <c r="C84" s="283">
        <f t="shared" ref="C84:CC84" si="14">C85+C92+C99</f>
        <v>27.209068010075562</v>
      </c>
      <c r="D84" s="284">
        <f t="shared" si="14"/>
        <v>27.209068010075562</v>
      </c>
      <c r="E84" s="284">
        <f t="shared" si="14"/>
        <v>27.209068010075562</v>
      </c>
      <c r="F84" s="284">
        <f t="shared" si="14"/>
        <v>27.209068010075562</v>
      </c>
      <c r="G84" s="284">
        <f t="shared" si="14"/>
        <v>27.209068010075562</v>
      </c>
      <c r="H84" s="284">
        <f t="shared" si="14"/>
        <v>27.209068010075562</v>
      </c>
      <c r="I84" s="285">
        <f t="shared" si="14"/>
        <v>27.209068010075562</v>
      </c>
      <c r="J84" s="283">
        <f t="shared" ca="1" si="14"/>
        <v>29.348446683459279</v>
      </c>
      <c r="K84" s="284">
        <f t="shared" ca="1" si="14"/>
        <v>17.348446683459279</v>
      </c>
      <c r="L84" s="284">
        <f t="shared" ca="1" si="14"/>
        <v>29.348446683459279</v>
      </c>
      <c r="M84" s="284">
        <f t="shared" ca="1" si="14"/>
        <v>29.348446683459279</v>
      </c>
      <c r="N84" s="284">
        <f t="shared" ca="1" si="14"/>
        <v>29.348446683459279</v>
      </c>
      <c r="O84" s="284">
        <f t="shared" ca="1" si="14"/>
        <v>29.348446683459279</v>
      </c>
      <c r="P84" s="284">
        <f t="shared" ca="1" si="14"/>
        <v>34.696893366918559</v>
      </c>
      <c r="Q84" s="284">
        <f t="shared" ca="1" si="14"/>
        <v>34.696893366918559</v>
      </c>
      <c r="R84" s="284">
        <f t="shared" ca="1" si="14"/>
        <v>34.696893366918559</v>
      </c>
      <c r="S84" s="284">
        <f t="shared" ca="1" si="14"/>
        <v>34.696893366918559</v>
      </c>
      <c r="T84" s="284">
        <f t="shared" ca="1" si="14"/>
        <v>34.696893366918559</v>
      </c>
      <c r="U84" s="285">
        <f t="shared" ca="1" si="14"/>
        <v>34.696893366918559</v>
      </c>
      <c r="V84" s="283">
        <f t="shared" ca="1" si="14"/>
        <v>34.696893366918559</v>
      </c>
      <c r="W84" s="284">
        <f t="shared" ca="1" si="14"/>
        <v>34.696893366918559</v>
      </c>
      <c r="X84" s="284">
        <f t="shared" ca="1" si="14"/>
        <v>34.696893366918559</v>
      </c>
      <c r="Y84" s="284">
        <f t="shared" ca="1" si="14"/>
        <v>34.696893366918559</v>
      </c>
      <c r="Z84" s="284">
        <f t="shared" ca="1" si="14"/>
        <v>34.696893366918559</v>
      </c>
      <c r="AA84" s="284">
        <f t="shared" ca="1" si="14"/>
        <v>34.696893366918559</v>
      </c>
      <c r="AB84" s="284">
        <f t="shared" ca="1" si="14"/>
        <v>37.371116708648195</v>
      </c>
      <c r="AC84" s="284">
        <f t="shared" ca="1" si="14"/>
        <v>37.371116708648195</v>
      </c>
      <c r="AD84" s="284">
        <f t="shared" ca="1" si="14"/>
        <v>37.371116708648195</v>
      </c>
      <c r="AE84" s="284">
        <f t="shared" ca="1" si="14"/>
        <v>37.371116708648195</v>
      </c>
      <c r="AF84" s="284">
        <f t="shared" ca="1" si="14"/>
        <v>37.371116708648195</v>
      </c>
      <c r="AG84" s="285">
        <f t="shared" ca="1" si="14"/>
        <v>37.371116708648195</v>
      </c>
      <c r="AH84" s="283">
        <f t="shared" ca="1" si="14"/>
        <v>37.371116708648195</v>
      </c>
      <c r="AI84" s="284">
        <f t="shared" ca="1" si="14"/>
        <v>37.371116708648195</v>
      </c>
      <c r="AJ84" s="284">
        <f t="shared" ca="1" si="14"/>
        <v>37.371116708648195</v>
      </c>
      <c r="AK84" s="284">
        <f t="shared" ca="1" si="14"/>
        <v>37.371116708648195</v>
      </c>
      <c r="AL84" s="284">
        <f t="shared" ca="1" si="14"/>
        <v>37.371116708648195</v>
      </c>
      <c r="AM84" s="284">
        <f t="shared" ca="1" si="14"/>
        <v>37.371116708648195</v>
      </c>
      <c r="AN84" s="284">
        <f t="shared" ca="1" si="14"/>
        <v>37.371116708648195</v>
      </c>
      <c r="AO84" s="284">
        <f t="shared" ca="1" si="14"/>
        <v>37.371116708648195</v>
      </c>
      <c r="AP84" s="284">
        <f t="shared" ca="1" si="14"/>
        <v>37.371116708648195</v>
      </c>
      <c r="AQ84" s="284">
        <f t="shared" ca="1" si="14"/>
        <v>37.371116708648195</v>
      </c>
      <c r="AR84" s="284">
        <f t="shared" ca="1" si="14"/>
        <v>37.371116708648195</v>
      </c>
      <c r="AS84" s="285">
        <f t="shared" ca="1" si="14"/>
        <v>37.371116708648195</v>
      </c>
      <c r="AT84" s="283">
        <f t="shared" ca="1" si="14"/>
        <v>37.371116708648195</v>
      </c>
      <c r="AU84" s="284">
        <f t="shared" ca="1" si="14"/>
        <v>37.371116708648195</v>
      </c>
      <c r="AV84" s="284">
        <f t="shared" ca="1" si="14"/>
        <v>37.371116708648195</v>
      </c>
      <c r="AW84" s="284">
        <f t="shared" ca="1" si="14"/>
        <v>37.371116708648195</v>
      </c>
      <c r="AX84" s="284">
        <f t="shared" ca="1" si="14"/>
        <v>37.371116708648195</v>
      </c>
      <c r="AY84" s="284">
        <f t="shared" ca="1" si="14"/>
        <v>37.371116708648195</v>
      </c>
      <c r="AZ84" s="284">
        <f t="shared" ca="1" si="14"/>
        <v>44.056675062972289</v>
      </c>
      <c r="BA84" s="284">
        <f t="shared" ca="1" si="14"/>
        <v>44.056675062972289</v>
      </c>
      <c r="BB84" s="284">
        <f t="shared" ca="1" si="14"/>
        <v>44.056675062972289</v>
      </c>
      <c r="BC84" s="284">
        <f t="shared" ca="1" si="14"/>
        <v>44.056675062972289</v>
      </c>
      <c r="BD84" s="284">
        <f t="shared" ca="1" si="14"/>
        <v>44.056675062972289</v>
      </c>
      <c r="BE84" s="285">
        <f t="shared" ca="1" si="14"/>
        <v>44.056675062972289</v>
      </c>
      <c r="BF84" s="283">
        <f t="shared" ca="1" si="14"/>
        <v>44.056675062972289</v>
      </c>
      <c r="BG84" s="284">
        <f t="shared" ca="1" si="14"/>
        <v>68.056675062972289</v>
      </c>
      <c r="BH84" s="284">
        <f t="shared" ca="1" si="14"/>
        <v>68.056675062972289</v>
      </c>
      <c r="BI84" s="284">
        <f t="shared" ca="1" si="14"/>
        <v>92.056675062972289</v>
      </c>
      <c r="BJ84" s="284">
        <f t="shared" ca="1" si="14"/>
        <v>116.05667506297229</v>
      </c>
      <c r="BK84" s="284">
        <f t="shared" ca="1" si="14"/>
        <v>116.05667506297229</v>
      </c>
      <c r="BL84" s="284">
        <f t="shared" ca="1" si="14"/>
        <v>268.41939546599497</v>
      </c>
      <c r="BM84" s="284">
        <f t="shared" ca="1" si="14"/>
        <v>268.41939546599497</v>
      </c>
      <c r="BN84" s="284">
        <f t="shared" ca="1" si="14"/>
        <v>268.41939546599497</v>
      </c>
      <c r="BO84" s="284">
        <f t="shared" ca="1" si="14"/>
        <v>268.41939546599497</v>
      </c>
      <c r="BP84" s="284">
        <f t="shared" ca="1" si="14"/>
        <v>268.41939546599497</v>
      </c>
      <c r="BQ84" s="285">
        <f t="shared" ca="1" si="14"/>
        <v>268.41939546599497</v>
      </c>
      <c r="BR84" s="283">
        <f t="shared" ca="1" si="14"/>
        <v>280.41939546599497</v>
      </c>
      <c r="BS84" s="284">
        <f t="shared" ca="1" si="14"/>
        <v>280.41939546599497</v>
      </c>
      <c r="BT84" s="284">
        <f t="shared" ca="1" si="14"/>
        <v>292.41939546599497</v>
      </c>
      <c r="BU84" s="284">
        <f t="shared" ca="1" si="14"/>
        <v>292.41939546599497</v>
      </c>
      <c r="BV84" s="284">
        <f t="shared" ca="1" si="14"/>
        <v>292.41939546599497</v>
      </c>
      <c r="BW84" s="284">
        <f t="shared" ca="1" si="14"/>
        <v>328.41939546599497</v>
      </c>
      <c r="BX84" s="284">
        <f t="shared" ca="1" si="14"/>
        <v>747.52962030040123</v>
      </c>
      <c r="BY84" s="284">
        <f t="shared" ca="1" si="14"/>
        <v>759.52962030040112</v>
      </c>
      <c r="BZ84" s="284">
        <f t="shared" ca="1" si="14"/>
        <v>759.52962030040112</v>
      </c>
      <c r="CA84" s="284">
        <f t="shared" ca="1" si="14"/>
        <v>783.52962030040112</v>
      </c>
      <c r="CB84" s="284">
        <f t="shared" ca="1" si="14"/>
        <v>783.52962030040112</v>
      </c>
      <c r="CC84" s="285">
        <f t="shared" ca="1" si="14"/>
        <v>783.52962030040112</v>
      </c>
    </row>
    <row r="85" spans="1:82" ht="14">
      <c r="A85" s="286" t="s">
        <v>129</v>
      </c>
      <c r="B85" s="287"/>
      <c r="C85" s="288">
        <f t="shared" ref="C85:CC85" si="15">SUM(C86:C90)</f>
        <v>19.046347607052894</v>
      </c>
      <c r="D85" s="289">
        <f t="shared" si="15"/>
        <v>19.046347607052894</v>
      </c>
      <c r="E85" s="289">
        <f t="shared" si="15"/>
        <v>19.046347607052894</v>
      </c>
      <c r="F85" s="289">
        <f t="shared" si="15"/>
        <v>19.046347607052894</v>
      </c>
      <c r="G85" s="289">
        <f t="shared" si="15"/>
        <v>19.046347607052894</v>
      </c>
      <c r="H85" s="289">
        <f t="shared" si="15"/>
        <v>19.046347607052894</v>
      </c>
      <c r="I85" s="290">
        <f t="shared" si="15"/>
        <v>19.046347607052894</v>
      </c>
      <c r="J85" s="288">
        <f t="shared" ca="1" si="15"/>
        <v>20.543912678421496</v>
      </c>
      <c r="K85" s="289">
        <f t="shared" ca="1" si="15"/>
        <v>12.143912678421495</v>
      </c>
      <c r="L85" s="289">
        <f t="shared" ca="1" si="15"/>
        <v>20.543912678421496</v>
      </c>
      <c r="M85" s="289">
        <f t="shared" ca="1" si="15"/>
        <v>20.543912678421496</v>
      </c>
      <c r="N85" s="289">
        <f t="shared" ca="1" si="15"/>
        <v>20.543912678421496</v>
      </c>
      <c r="O85" s="289">
        <f t="shared" ca="1" si="15"/>
        <v>20.543912678421496</v>
      </c>
      <c r="P85" s="289">
        <f t="shared" ca="1" si="15"/>
        <v>24.28782535684299</v>
      </c>
      <c r="Q85" s="289">
        <f t="shared" ca="1" si="15"/>
        <v>24.28782535684299</v>
      </c>
      <c r="R85" s="289">
        <f t="shared" ca="1" si="15"/>
        <v>24.28782535684299</v>
      </c>
      <c r="S85" s="289">
        <f t="shared" ca="1" si="15"/>
        <v>24.28782535684299</v>
      </c>
      <c r="T85" s="289">
        <f t="shared" ca="1" si="15"/>
        <v>24.28782535684299</v>
      </c>
      <c r="U85" s="290">
        <f t="shared" ca="1" si="15"/>
        <v>24.28782535684299</v>
      </c>
      <c r="V85" s="288">
        <f t="shared" ca="1" si="15"/>
        <v>24.28782535684299</v>
      </c>
      <c r="W85" s="289">
        <f t="shared" ca="1" si="15"/>
        <v>24.28782535684299</v>
      </c>
      <c r="X85" s="289">
        <f t="shared" ca="1" si="15"/>
        <v>24.28782535684299</v>
      </c>
      <c r="Y85" s="289">
        <f t="shared" ca="1" si="15"/>
        <v>24.28782535684299</v>
      </c>
      <c r="Z85" s="289">
        <f t="shared" ca="1" si="15"/>
        <v>24.28782535684299</v>
      </c>
      <c r="AA85" s="289">
        <f t="shared" ca="1" si="15"/>
        <v>24.28782535684299</v>
      </c>
      <c r="AB85" s="289">
        <f t="shared" ca="1" si="15"/>
        <v>26.159781696053734</v>
      </c>
      <c r="AC85" s="289">
        <f t="shared" ca="1" si="15"/>
        <v>26.159781696053734</v>
      </c>
      <c r="AD85" s="289">
        <f t="shared" ca="1" si="15"/>
        <v>26.159781696053734</v>
      </c>
      <c r="AE85" s="289">
        <f t="shared" ca="1" si="15"/>
        <v>26.159781696053734</v>
      </c>
      <c r="AF85" s="289">
        <f t="shared" ca="1" si="15"/>
        <v>26.159781696053734</v>
      </c>
      <c r="AG85" s="290">
        <f t="shared" ca="1" si="15"/>
        <v>26.159781696053734</v>
      </c>
      <c r="AH85" s="288">
        <f t="shared" ca="1" si="15"/>
        <v>26.159781696053734</v>
      </c>
      <c r="AI85" s="289">
        <f t="shared" ca="1" si="15"/>
        <v>26.159781696053734</v>
      </c>
      <c r="AJ85" s="289">
        <f t="shared" ca="1" si="15"/>
        <v>26.159781696053734</v>
      </c>
      <c r="AK85" s="289">
        <f t="shared" ca="1" si="15"/>
        <v>26.159781696053734</v>
      </c>
      <c r="AL85" s="289">
        <f t="shared" ca="1" si="15"/>
        <v>26.159781696053734</v>
      </c>
      <c r="AM85" s="289">
        <f t="shared" ca="1" si="15"/>
        <v>26.159781696053734</v>
      </c>
      <c r="AN85" s="289">
        <f t="shared" ca="1" si="15"/>
        <v>26.159781696053734</v>
      </c>
      <c r="AO85" s="289">
        <f t="shared" ca="1" si="15"/>
        <v>26.159781696053734</v>
      </c>
      <c r="AP85" s="289">
        <f t="shared" ca="1" si="15"/>
        <v>26.159781696053734</v>
      </c>
      <c r="AQ85" s="289">
        <f t="shared" ca="1" si="15"/>
        <v>26.159781696053734</v>
      </c>
      <c r="AR85" s="289">
        <f t="shared" ca="1" si="15"/>
        <v>26.159781696053734</v>
      </c>
      <c r="AS85" s="290">
        <f t="shared" ca="1" si="15"/>
        <v>26.159781696053734</v>
      </c>
      <c r="AT85" s="288">
        <f t="shared" ca="1" si="15"/>
        <v>26.159781696053734</v>
      </c>
      <c r="AU85" s="289">
        <f t="shared" ca="1" si="15"/>
        <v>26.159781696053734</v>
      </c>
      <c r="AV85" s="289">
        <f t="shared" ca="1" si="15"/>
        <v>26.159781696053734</v>
      </c>
      <c r="AW85" s="289">
        <f t="shared" ca="1" si="15"/>
        <v>26.159781696053734</v>
      </c>
      <c r="AX85" s="289">
        <f t="shared" ca="1" si="15"/>
        <v>26.159781696053734</v>
      </c>
      <c r="AY85" s="289">
        <f t="shared" ca="1" si="15"/>
        <v>26.159781696053734</v>
      </c>
      <c r="AZ85" s="289">
        <f t="shared" ca="1" si="15"/>
        <v>30.839672544080599</v>
      </c>
      <c r="BA85" s="289">
        <f t="shared" ca="1" si="15"/>
        <v>30.839672544080599</v>
      </c>
      <c r="BB85" s="289">
        <f t="shared" ca="1" si="15"/>
        <v>30.839672544080599</v>
      </c>
      <c r="BC85" s="289">
        <f t="shared" ca="1" si="15"/>
        <v>30.839672544080599</v>
      </c>
      <c r="BD85" s="289">
        <f t="shared" ca="1" si="15"/>
        <v>30.839672544080599</v>
      </c>
      <c r="BE85" s="290">
        <f t="shared" ca="1" si="15"/>
        <v>30.839672544080599</v>
      </c>
      <c r="BF85" s="288">
        <f t="shared" ca="1" si="15"/>
        <v>30.839672544080599</v>
      </c>
      <c r="BG85" s="289">
        <f t="shared" ca="1" si="15"/>
        <v>47.639672544080597</v>
      </c>
      <c r="BH85" s="289">
        <f t="shared" ca="1" si="15"/>
        <v>47.639672544080597</v>
      </c>
      <c r="BI85" s="289">
        <f t="shared" ca="1" si="15"/>
        <v>64.439672544080594</v>
      </c>
      <c r="BJ85" s="289">
        <f t="shared" ca="1" si="15"/>
        <v>81.239672544080605</v>
      </c>
      <c r="BK85" s="289">
        <f t="shared" ca="1" si="15"/>
        <v>81.239672544080605</v>
      </c>
      <c r="BL85" s="289">
        <f t="shared" ca="1" si="15"/>
        <v>158.20969773299748</v>
      </c>
      <c r="BM85" s="289">
        <f t="shared" ca="1" si="15"/>
        <v>158.20969773299748</v>
      </c>
      <c r="BN85" s="289">
        <f t="shared" ca="1" si="15"/>
        <v>158.20969773299748</v>
      </c>
      <c r="BO85" s="289">
        <f t="shared" ca="1" si="15"/>
        <v>158.20969773299748</v>
      </c>
      <c r="BP85" s="289">
        <f t="shared" ca="1" si="15"/>
        <v>158.20969773299748</v>
      </c>
      <c r="BQ85" s="290">
        <f t="shared" ca="1" si="15"/>
        <v>158.20969773299748</v>
      </c>
      <c r="BR85" s="288">
        <f t="shared" ca="1" si="15"/>
        <v>166.60969773299746</v>
      </c>
      <c r="BS85" s="289">
        <f t="shared" ca="1" si="15"/>
        <v>166.60969773299746</v>
      </c>
      <c r="BT85" s="289">
        <f t="shared" ca="1" si="15"/>
        <v>175.00969773299747</v>
      </c>
      <c r="BU85" s="289">
        <f t="shared" ca="1" si="15"/>
        <v>175.00969773299747</v>
      </c>
      <c r="BV85" s="289">
        <f t="shared" ca="1" si="15"/>
        <v>175.00969773299747</v>
      </c>
      <c r="BW85" s="289">
        <f t="shared" ca="1" si="15"/>
        <v>200.20969773299748</v>
      </c>
      <c r="BX85" s="289">
        <f t="shared" ca="1" si="15"/>
        <v>431.15859688403776</v>
      </c>
      <c r="BY85" s="289">
        <f t="shared" ca="1" si="15"/>
        <v>439.55859688403774</v>
      </c>
      <c r="BZ85" s="289">
        <f t="shared" ca="1" si="15"/>
        <v>439.55859688403774</v>
      </c>
      <c r="CA85" s="289">
        <f t="shared" ca="1" si="15"/>
        <v>456.35859688403769</v>
      </c>
      <c r="CB85" s="289">
        <f t="shared" ca="1" si="15"/>
        <v>456.35859688403769</v>
      </c>
      <c r="CC85" s="290">
        <f t="shared" ca="1" si="15"/>
        <v>456.35859688403769</v>
      </c>
    </row>
    <row r="86" spans="1:82" ht="14">
      <c r="A86" s="291" t="s">
        <v>83</v>
      </c>
      <c r="B86" s="292"/>
      <c r="C86" s="293">
        <f>(Hypothèses!$B50*C109+1000/(Hypothèses!$B$67))*0.7</f>
        <v>19.046347607052894</v>
      </c>
      <c r="D86" s="294">
        <f>(Hypothèses!$B50*D109+1000/(Hypothèses!$B$67))*0.7</f>
        <v>19.046347607052894</v>
      </c>
      <c r="E86" s="294">
        <f>(Hypothèses!$B50*E109+1000/(Hypothèses!$B$67))*0.7</f>
        <v>19.046347607052894</v>
      </c>
      <c r="F86" s="294">
        <f>(Hypothèses!$B50*F109+1000/(Hypothèses!$B$67))*0.7</f>
        <v>19.046347607052894</v>
      </c>
      <c r="G86" s="294">
        <f>(Hypothèses!$B50*G109+1000/(Hypothèses!$B$67))*0.7</f>
        <v>19.046347607052894</v>
      </c>
      <c r="H86" s="294">
        <f>(Hypothèses!$B50*H109+1000/(Hypothèses!$B$67))*0.7</f>
        <v>19.046347607052894</v>
      </c>
      <c r="I86" s="295">
        <f>(Hypothèses!$B50*I109+1000/(Hypothèses!$B$67))*0.7</f>
        <v>19.046347607052894</v>
      </c>
      <c r="J86" s="293">
        <f ca="1">0.7*(Hypothèses!$B50*J109+OFFSET('Couts fixes'!J$10,0,-'Couts fixes'!$C$81)/(-Hypothèses!$B$67))</f>
        <v>20.543912678421496</v>
      </c>
      <c r="K86" s="294">
        <f ca="1">0.7*(Hypothèses!$B50*K109+OFFSET('Couts fixes'!K$10,0,-'Couts fixes'!$C$81)/(-Hypothèses!$B$67))</f>
        <v>12.143912678421495</v>
      </c>
      <c r="L86" s="294">
        <f ca="1">0.7*(Hypothèses!$B50*L109+OFFSET('Couts fixes'!L$10,0,-'Couts fixes'!$C$81)/(-Hypothèses!$B$67))</f>
        <v>20.543912678421496</v>
      </c>
      <c r="M86" s="294">
        <f ca="1">0.7*(Hypothèses!$B50*M109+OFFSET('Couts fixes'!M$10,0,-'Couts fixes'!$C$81)/(-Hypothèses!$B$67))</f>
        <v>20.543912678421496</v>
      </c>
      <c r="N86" s="294">
        <f ca="1">0.7*(Hypothèses!$B50*N109+OFFSET('Couts fixes'!N$10,0,-'Couts fixes'!$C$81)/(-Hypothèses!$B$67))</f>
        <v>20.543912678421496</v>
      </c>
      <c r="O86" s="294">
        <f ca="1">0.7*(Hypothèses!$B50*O109+OFFSET('Couts fixes'!O$10,0,-'Couts fixes'!$C$81)/(-Hypothèses!$B$67))</f>
        <v>20.543912678421496</v>
      </c>
      <c r="P86" s="294">
        <f ca="1">0.7*(Hypothèses!$B50*P109+OFFSET('Couts fixes'!P$10,0,-'Couts fixes'!$C$81)/(-Hypothèses!$B$67))</f>
        <v>24.28782535684299</v>
      </c>
      <c r="Q86" s="294">
        <f ca="1">0.7*(Hypothèses!$B50*Q109+OFFSET('Couts fixes'!Q$10,0,-'Couts fixes'!$C$81)/(-Hypothèses!$B$67))</f>
        <v>24.28782535684299</v>
      </c>
      <c r="R86" s="294">
        <f ca="1">0.7*(Hypothèses!$B50*R109+OFFSET('Couts fixes'!R$10,0,-'Couts fixes'!$C$81)/(-Hypothèses!$B$67))</f>
        <v>24.28782535684299</v>
      </c>
      <c r="S86" s="294">
        <f ca="1">0.7*(Hypothèses!$B50*S109+OFFSET('Couts fixes'!S$10,0,-'Couts fixes'!$C$81)/(-Hypothèses!$B$67))</f>
        <v>24.28782535684299</v>
      </c>
      <c r="T86" s="294">
        <f ca="1">0.7*(Hypothèses!$B50*T109+OFFSET('Couts fixes'!T$10,0,-'Couts fixes'!$C$81)/(-Hypothèses!$B$67))</f>
        <v>24.28782535684299</v>
      </c>
      <c r="U86" s="295">
        <f ca="1">0.7*(Hypothèses!$B50*U109+OFFSET('Couts fixes'!U$10,0,-'Couts fixes'!$C$81)/(-Hypothèses!$B$67))</f>
        <v>24.28782535684299</v>
      </c>
      <c r="V86" s="293">
        <f ca="1">0.7*(Hypothèses!$B50*V109+OFFSET('Couts fixes'!V$10,0,-'Couts fixes'!$C$81)/(-Hypothèses!$B$67))</f>
        <v>24.28782535684299</v>
      </c>
      <c r="W86" s="294">
        <f ca="1">0.7*(Hypothèses!$B50*W109+OFFSET('Couts fixes'!W$10,0,-'Couts fixes'!$C$81)/(-Hypothèses!$B$67))</f>
        <v>24.28782535684299</v>
      </c>
      <c r="X86" s="294">
        <f ca="1">0.7*(Hypothèses!$B50*X109+OFFSET('Couts fixes'!X$10,0,-'Couts fixes'!$C$81)/(-Hypothèses!$B$67))</f>
        <v>24.28782535684299</v>
      </c>
      <c r="Y86" s="294">
        <f ca="1">0.7*(Hypothèses!$B50*Y109+OFFSET('Couts fixes'!Y$10,0,-'Couts fixes'!$C$81)/(-Hypothèses!$B$67))</f>
        <v>24.28782535684299</v>
      </c>
      <c r="Z86" s="294">
        <f ca="1">0.7*(Hypothèses!$B50*Z109+OFFSET('Couts fixes'!Z$10,0,-'Couts fixes'!$C$81)/(-Hypothèses!$B$67))</f>
        <v>24.28782535684299</v>
      </c>
      <c r="AA86" s="294">
        <f ca="1">0.7*(Hypothèses!$B50*AA109+OFFSET('Couts fixes'!AA$10,0,-'Couts fixes'!$C$81)/(-Hypothèses!$B$67))</f>
        <v>24.28782535684299</v>
      </c>
      <c r="AB86" s="294">
        <f ca="1">0.7*(Hypothèses!$B50*AB109+OFFSET('Couts fixes'!AB$10,0,-'Couts fixes'!$C$81)/(-Hypothèses!$B$67))</f>
        <v>26.159781696053734</v>
      </c>
      <c r="AC86" s="294">
        <f ca="1">0.7*(Hypothèses!$B50*AC109+OFFSET('Couts fixes'!AC$10,0,-'Couts fixes'!$C$81)/(-Hypothèses!$B$67))</f>
        <v>26.159781696053734</v>
      </c>
      <c r="AD86" s="294">
        <f ca="1">0.7*(Hypothèses!$B50*AD109+OFFSET('Couts fixes'!AD$10,0,-'Couts fixes'!$C$81)/(-Hypothèses!$B$67))</f>
        <v>26.159781696053734</v>
      </c>
      <c r="AE86" s="294">
        <f ca="1">0.7*(Hypothèses!$B50*AE109+OFFSET('Couts fixes'!AE$10,0,-'Couts fixes'!$C$81)/(-Hypothèses!$B$67))</f>
        <v>26.159781696053734</v>
      </c>
      <c r="AF86" s="294">
        <f ca="1">0.7*(Hypothèses!$B50*AF109+OFFSET('Couts fixes'!AF$10,0,-'Couts fixes'!$C$81)/(-Hypothèses!$B$67))</f>
        <v>26.159781696053734</v>
      </c>
      <c r="AG86" s="295">
        <f ca="1">0.7*(Hypothèses!$B50*AG109+OFFSET('Couts fixes'!AG$10,0,-'Couts fixes'!$C$81)/(-Hypothèses!$B$67))</f>
        <v>26.159781696053734</v>
      </c>
      <c r="AH86" s="293">
        <f ca="1">0.7*(Hypothèses!$B50*AH109+OFFSET('Couts fixes'!AH$10,0,-'Couts fixes'!$C$81)/(-Hypothèses!$B$67))</f>
        <v>26.159781696053734</v>
      </c>
      <c r="AI86" s="294">
        <f ca="1">0.7*(Hypothèses!$B50*AI109+OFFSET('Couts fixes'!AI$10,0,-'Couts fixes'!$C$81)/(-Hypothèses!$B$67))</f>
        <v>26.159781696053734</v>
      </c>
      <c r="AJ86" s="294">
        <f ca="1">0.7*(Hypothèses!$B50*AJ109+OFFSET('Couts fixes'!AJ$10,0,-'Couts fixes'!$C$81)/(-Hypothèses!$B$67))</f>
        <v>26.159781696053734</v>
      </c>
      <c r="AK86" s="294">
        <f ca="1">0.7*(Hypothèses!$B50*AK109+OFFSET('Couts fixes'!AK$10,0,-'Couts fixes'!$C$81)/(-Hypothèses!$B$67))</f>
        <v>26.159781696053734</v>
      </c>
      <c r="AL86" s="294">
        <f ca="1">0.7*(Hypothèses!$B50*AL109+OFFSET('Couts fixes'!AL$10,0,-'Couts fixes'!$C$81)/(-Hypothèses!$B$67))</f>
        <v>26.159781696053734</v>
      </c>
      <c r="AM86" s="294">
        <f ca="1">0.7*(Hypothèses!$B50*AM109+OFFSET('Couts fixes'!AM$10,0,-'Couts fixes'!$C$81)/(-Hypothèses!$B$67))</f>
        <v>26.159781696053734</v>
      </c>
      <c r="AN86" s="294">
        <f ca="1">0.7*(Hypothèses!$B50*AN109+OFFSET('Couts fixes'!AN$10,0,-'Couts fixes'!$C$81)/(-Hypothèses!$B$67))</f>
        <v>26.159781696053734</v>
      </c>
      <c r="AO86" s="294">
        <f ca="1">0.7*(Hypothèses!$B50*AO109+OFFSET('Couts fixes'!AO$10,0,-'Couts fixes'!$C$81)/(-Hypothèses!$B$67))</f>
        <v>26.159781696053734</v>
      </c>
      <c r="AP86" s="294">
        <f ca="1">0.7*(Hypothèses!$B50*AP109+OFFSET('Couts fixes'!AP$10,0,-'Couts fixes'!$C$81)/(-Hypothèses!$B$67))</f>
        <v>26.159781696053734</v>
      </c>
      <c r="AQ86" s="294">
        <f ca="1">0.7*(Hypothèses!$B50*AQ109+OFFSET('Couts fixes'!AQ$10,0,-'Couts fixes'!$C$81)/(-Hypothèses!$B$67))</f>
        <v>26.159781696053734</v>
      </c>
      <c r="AR86" s="294">
        <f ca="1">0.7*(Hypothèses!$B50*AR109+OFFSET('Couts fixes'!AR$10,0,-'Couts fixes'!$C$81)/(-Hypothèses!$B$67))</f>
        <v>26.159781696053734</v>
      </c>
      <c r="AS86" s="295">
        <f ca="1">0.7*(Hypothèses!$B50*AS109+OFFSET('Couts fixes'!AS$10,0,-'Couts fixes'!$C$81)/(-Hypothèses!$B$67))</f>
        <v>26.159781696053734</v>
      </c>
      <c r="AT86" s="293">
        <f ca="1">0.7*(Hypothèses!$B50*AT109+OFFSET('Couts fixes'!AT$10,0,-'Couts fixes'!$C$81)/(-Hypothèses!$B$67))</f>
        <v>26.159781696053734</v>
      </c>
      <c r="AU86" s="294">
        <f ca="1">0.7*(Hypothèses!$B50*AU109+OFFSET('Couts fixes'!AU$10,0,-'Couts fixes'!$C$81)/(-Hypothèses!$B$67))</f>
        <v>26.159781696053734</v>
      </c>
      <c r="AV86" s="294">
        <f ca="1">0.7*(Hypothèses!$B50*AV109+OFFSET('Couts fixes'!AV$10,0,-'Couts fixes'!$C$81)/(-Hypothèses!$B$67))</f>
        <v>26.159781696053734</v>
      </c>
      <c r="AW86" s="294">
        <f ca="1">0.7*(Hypothèses!$B50*AW109+OFFSET('Couts fixes'!AW$10,0,-'Couts fixes'!$C$81)/(-Hypothèses!$B$67))</f>
        <v>26.159781696053734</v>
      </c>
      <c r="AX86" s="294">
        <f ca="1">0.7*(Hypothèses!$B50*AX109+OFFSET('Couts fixes'!AX$10,0,-'Couts fixes'!$C$81)/(-Hypothèses!$B$67))</f>
        <v>26.159781696053734</v>
      </c>
      <c r="AY86" s="294">
        <f ca="1">0.7*(Hypothèses!$B50*AY109+OFFSET('Couts fixes'!AY$10,0,-'Couts fixes'!$C$81)/(-Hypothèses!$B$67))</f>
        <v>26.159781696053734</v>
      </c>
      <c r="AZ86" s="294">
        <f ca="1">0.7*(Hypothèses!$B50*AZ109+OFFSET('Couts fixes'!AZ$10,0,-'Couts fixes'!$C$81)/(-Hypothèses!$B$67))</f>
        <v>30.839672544080599</v>
      </c>
      <c r="BA86" s="294">
        <f ca="1">0.7*(Hypothèses!$B50*BA109+OFFSET('Couts fixes'!BA$10,0,-'Couts fixes'!$C$81)/(-Hypothèses!$B$67))</f>
        <v>30.839672544080599</v>
      </c>
      <c r="BB86" s="294">
        <f ca="1">0.7*(Hypothèses!$B50*BB109+OFFSET('Couts fixes'!BB$10,0,-'Couts fixes'!$C$81)/(-Hypothèses!$B$67))</f>
        <v>30.839672544080599</v>
      </c>
      <c r="BC86" s="294">
        <f ca="1">0.7*(Hypothèses!$B50*BC109+OFFSET('Couts fixes'!BC$10,0,-'Couts fixes'!$C$81)/(-Hypothèses!$B$67))</f>
        <v>30.839672544080599</v>
      </c>
      <c r="BD86" s="294">
        <f ca="1">0.7*(Hypothèses!$B50*BD109+OFFSET('Couts fixes'!BD$10,0,-'Couts fixes'!$C$81)/(-Hypothèses!$B$67))</f>
        <v>30.839672544080599</v>
      </c>
      <c r="BE86" s="295">
        <f ca="1">0.7*(Hypothèses!$B50*BE109+OFFSET('Couts fixes'!BE$10,0,-'Couts fixes'!$C$81)/(-Hypothèses!$B$67))</f>
        <v>30.839672544080599</v>
      </c>
      <c r="BF86" s="293">
        <f ca="1">0.7*(Hypothèses!$B50*BF109+OFFSET('Couts fixes'!BF$10,0,-'Couts fixes'!$C$81)/(-Hypothèses!$B$67))</f>
        <v>30.839672544080599</v>
      </c>
      <c r="BG86" s="294">
        <f ca="1">0.7*(Hypothèses!$B50*BG109+OFFSET('Couts fixes'!BG$10,0,-'Couts fixes'!$C$81)/(-Hypothèses!$B$67))</f>
        <v>39.239672544080598</v>
      </c>
      <c r="BH86" s="294">
        <f ca="1">0.7*(Hypothèses!$B50*BH109+OFFSET('Couts fixes'!BH$10,0,-'Couts fixes'!$C$81)/(-Hypothèses!$B$67))</f>
        <v>39.239672544080598</v>
      </c>
      <c r="BI86" s="294">
        <f ca="1">0.7*(Hypothèses!$B50*BI109+OFFSET('Couts fixes'!BI$10,0,-'Couts fixes'!$C$81)/(-Hypothèses!$B$67))</f>
        <v>56.039672544080595</v>
      </c>
      <c r="BJ86" s="294">
        <f ca="1">0.7*(Hypothèses!$B50*BJ109+OFFSET('Couts fixes'!BJ$10,0,-'Couts fixes'!$C$81)/(-Hypothèses!$B$67))</f>
        <v>72.839672544080599</v>
      </c>
      <c r="BK86" s="294">
        <f ca="1">0.7*(Hypothèses!$B50*BK109+OFFSET('Couts fixes'!BK$10,0,-'Couts fixes'!$C$81)/(-Hypothèses!$B$67))</f>
        <v>72.839672544080599</v>
      </c>
      <c r="BL86" s="294">
        <f ca="1">0.7*(Hypothèses!$B50*BL109+OFFSET('Couts fixes'!BL$10,0,-'Couts fixes'!$C$81)/(-Hypothèses!$B$67))</f>
        <v>75.599999999999994</v>
      </c>
      <c r="BM86" s="294">
        <f ca="1">0.7*(Hypothèses!$B50*BM109+OFFSET('Couts fixes'!BM$10,0,-'Couts fixes'!$C$81)/(-Hypothèses!$B$67))</f>
        <v>75.599999999999994</v>
      </c>
      <c r="BN86" s="294">
        <f ca="1">0.7*(Hypothèses!$B50*BN109+OFFSET('Couts fixes'!BN$10,0,-'Couts fixes'!$C$81)/(-Hypothèses!$B$67))</f>
        <v>75.599999999999994</v>
      </c>
      <c r="BO86" s="294">
        <f ca="1">0.7*(Hypothèses!$B50*BO109+OFFSET('Couts fixes'!BO$10,0,-'Couts fixes'!$C$81)/(-Hypothèses!$B$67))</f>
        <v>75.599999999999994</v>
      </c>
      <c r="BP86" s="294">
        <f ca="1">0.7*(Hypothèses!$B50*BP109+OFFSET('Couts fixes'!BP$10,0,-'Couts fixes'!$C$81)/(-Hypothèses!$B$67))</f>
        <v>75.599999999999994</v>
      </c>
      <c r="BQ86" s="295">
        <f ca="1">0.7*(Hypothèses!$B50*BQ109+OFFSET('Couts fixes'!BQ$10,0,-'Couts fixes'!$C$81)/(-Hypothèses!$B$67))</f>
        <v>75.599999999999994</v>
      </c>
      <c r="BR86" s="293">
        <f ca="1">0.7*(Hypothèses!$B50*BR109+OFFSET('Couts fixes'!BR$10,0,-'Couts fixes'!$C$81)/(-Hypothèses!$B$67))</f>
        <v>75.599999999999994</v>
      </c>
      <c r="BS86" s="294">
        <f ca="1">0.7*(Hypothèses!$B50*BS109+OFFSET('Couts fixes'!BS$10,0,-'Couts fixes'!$C$81)/(-Hypothèses!$B$67))</f>
        <v>75.599999999999994</v>
      </c>
      <c r="BT86" s="294">
        <f ca="1">0.7*(Hypothèses!$B50*BT109+OFFSET('Couts fixes'!BT$10,0,-'Couts fixes'!$C$81)/(-Hypothèses!$B$67))</f>
        <v>75.599999999999994</v>
      </c>
      <c r="BU86" s="294">
        <f ca="1">0.7*(Hypothèses!$B50*BU109+OFFSET('Couts fixes'!BU$10,0,-'Couts fixes'!$C$81)/(-Hypothèses!$B$67))</f>
        <v>75.599999999999994</v>
      </c>
      <c r="BV86" s="294">
        <f ca="1">0.7*(Hypothèses!$B50*BV109+OFFSET('Couts fixes'!BV$10,0,-'Couts fixes'!$C$81)/(-Hypothèses!$B$67))</f>
        <v>75.599999999999994</v>
      </c>
      <c r="BW86" s="294">
        <f ca="1">0.7*(Hypothèses!$B50*BW109+OFFSET('Couts fixes'!BW$10,0,-'Couts fixes'!$C$81)/(-Hypothèses!$B$67))</f>
        <v>75.599999999999994</v>
      </c>
      <c r="BX86" s="294">
        <f ca="1">0.7*(Hypothèses!$B50*BX109+OFFSET('Couts fixes'!BX$10,0,-'Couts fixes'!$C$81)/(-Hypothèses!$B$67))</f>
        <v>150.47825356842989</v>
      </c>
      <c r="BY86" s="294">
        <f ca="1">0.7*(Hypothèses!$B50*BY109+OFFSET('Couts fixes'!BY$10,0,-'Couts fixes'!$C$81)/(-Hypothèses!$B$67))</f>
        <v>158.87825356842987</v>
      </c>
      <c r="BZ86" s="294">
        <f ca="1">0.7*(Hypothèses!$B50*BZ109+OFFSET('Couts fixes'!BZ$10,0,-'Couts fixes'!$C$81)/(-Hypothèses!$B$67))</f>
        <v>158.87825356842987</v>
      </c>
      <c r="CA86" s="294">
        <f ca="1">0.7*(Hypothèses!$B50*CA109+OFFSET('Couts fixes'!CA$10,0,-'Couts fixes'!$C$81)/(-Hypothèses!$B$67))</f>
        <v>158.87825356842987</v>
      </c>
      <c r="CB86" s="294">
        <f ca="1">0.7*(Hypothèses!$B50*CB109+OFFSET('Couts fixes'!CB$10,0,-'Couts fixes'!$C$81)/(-Hypothèses!$B$67))</f>
        <v>158.87825356842987</v>
      </c>
      <c r="CC86" s="295">
        <f ca="1">0.7*(Hypothèses!$B50*CC109+OFFSET('Couts fixes'!CC$10,0,-'Couts fixes'!$C$81)/(-Hypothèses!$B$67))</f>
        <v>158.87825356842987</v>
      </c>
      <c r="CD86" s="294"/>
    </row>
    <row r="87" spans="1:82" ht="14">
      <c r="A87" s="233" t="s">
        <v>84</v>
      </c>
      <c r="B87" s="62"/>
      <c r="C87" s="293">
        <f>Hypothèses!$B$50*C110*0.7</f>
        <v>0</v>
      </c>
      <c r="D87" s="294">
        <f>Hypothèses!$B$50*D110*0.7</f>
        <v>0</v>
      </c>
      <c r="E87" s="294">
        <f>Hypothèses!$B$50*E110*0.7</f>
        <v>0</v>
      </c>
      <c r="F87" s="294">
        <f>Hypothèses!$B$50*F110*0.7</f>
        <v>0</v>
      </c>
      <c r="G87" s="294">
        <f>Hypothèses!$B$50*G110*0.7</f>
        <v>0</v>
      </c>
      <c r="H87" s="294">
        <f>Hypothèses!$B$50*H110*0.7</f>
        <v>0</v>
      </c>
      <c r="I87" s="295">
        <f>Hypothèses!$B$50*I110*0.7</f>
        <v>0</v>
      </c>
      <c r="J87" s="293">
        <f ca="1">0.7*Hypothèses!$B$50*J110+OFFSET('Couts fixes'!J$26,0,-'Couts fixes'!$C$81)/(-Hypothèses!$B$67)</f>
        <v>0</v>
      </c>
      <c r="K87" s="294">
        <f ca="1">0.7*Hypothèses!$B$50*K110+OFFSET('Couts fixes'!K$26,0,-'Couts fixes'!$C$81)/(-Hypothèses!$B$67)</f>
        <v>0</v>
      </c>
      <c r="L87" s="294">
        <f ca="1">0.7*Hypothèses!$B$50*L110+OFFSET('Couts fixes'!L$26,0,-'Couts fixes'!$C$81)/(-Hypothèses!$B$67)</f>
        <v>0</v>
      </c>
      <c r="M87" s="294">
        <f ca="1">0.7*Hypothèses!$B$50*M110+OFFSET('Couts fixes'!M$26,0,-'Couts fixes'!$C$81)/(-Hypothèses!$B$67)</f>
        <v>0</v>
      </c>
      <c r="N87" s="294">
        <f ca="1">0.7*Hypothèses!$B$50*N110+OFFSET('Couts fixes'!N$26,0,-'Couts fixes'!$C$81)/(-Hypothèses!$B$67)</f>
        <v>0</v>
      </c>
      <c r="O87" s="294">
        <f ca="1">0.7*Hypothèses!$B$50*O110+OFFSET('Couts fixes'!O$26,0,-'Couts fixes'!$C$81)/(-Hypothèses!$B$67)</f>
        <v>0</v>
      </c>
      <c r="P87" s="294">
        <f ca="1">0.7*Hypothèses!$B$50*P110+OFFSET('Couts fixes'!P$26,0,-'Couts fixes'!$C$81)/(-Hypothèses!$B$67)</f>
        <v>0</v>
      </c>
      <c r="Q87" s="294">
        <f ca="1">0.7*Hypothèses!$B$50*Q110+OFFSET('Couts fixes'!Q$26,0,-'Couts fixes'!$C$81)/(-Hypothèses!$B$67)</f>
        <v>0</v>
      </c>
      <c r="R87" s="294">
        <f ca="1">0.7*Hypothèses!$B$50*R110+OFFSET('Couts fixes'!R$26,0,-'Couts fixes'!$C$81)/(-Hypothèses!$B$67)</f>
        <v>0</v>
      </c>
      <c r="S87" s="294">
        <f ca="1">0.7*Hypothèses!$B$50*S110+OFFSET('Couts fixes'!S$26,0,-'Couts fixes'!$C$81)/(-Hypothèses!$B$67)</f>
        <v>0</v>
      </c>
      <c r="T87" s="294">
        <f ca="1">0.7*Hypothèses!$B$50*T110+OFFSET('Couts fixes'!T$26,0,-'Couts fixes'!$C$81)/(-Hypothèses!$B$67)</f>
        <v>0</v>
      </c>
      <c r="U87" s="295">
        <f ca="1">0.7*Hypothèses!$B$50*U110+OFFSET('Couts fixes'!U$26,0,-'Couts fixes'!$C$81)/(-Hypothèses!$B$67)</f>
        <v>0</v>
      </c>
      <c r="V87" s="293">
        <f ca="1">0.7*Hypothèses!$B$50*V110+OFFSET('Couts fixes'!V$26,0,-'Couts fixes'!$C$81)/(-Hypothèses!$B$67)</f>
        <v>0</v>
      </c>
      <c r="W87" s="294">
        <f ca="1">0.7*Hypothèses!$B$50*W110+OFFSET('Couts fixes'!W$26,0,-'Couts fixes'!$C$81)/(-Hypothèses!$B$67)</f>
        <v>0</v>
      </c>
      <c r="X87" s="294">
        <f ca="1">0.7*Hypothèses!$B$50*X110+OFFSET('Couts fixes'!X$26,0,-'Couts fixes'!$C$81)/(-Hypothèses!$B$67)</f>
        <v>0</v>
      </c>
      <c r="Y87" s="294">
        <f ca="1">0.7*Hypothèses!$B$50*Y110+OFFSET('Couts fixes'!Y$26,0,-'Couts fixes'!$C$81)/(-Hypothèses!$B$67)</f>
        <v>0</v>
      </c>
      <c r="Z87" s="294">
        <f ca="1">0.7*Hypothèses!$B$50*Z110+OFFSET('Couts fixes'!Z$26,0,-'Couts fixes'!$C$81)/(-Hypothèses!$B$67)</f>
        <v>0</v>
      </c>
      <c r="AA87" s="294">
        <f ca="1">0.7*Hypothèses!$B$50*AA110+OFFSET('Couts fixes'!AA$26,0,-'Couts fixes'!$C$81)/(-Hypothèses!$B$67)</f>
        <v>0</v>
      </c>
      <c r="AB87" s="294">
        <f ca="1">0.7*Hypothèses!$B$50*AB110+OFFSET('Couts fixes'!AB$26,0,-'Couts fixes'!$C$81)/(-Hypothèses!$B$67)</f>
        <v>0</v>
      </c>
      <c r="AC87" s="294">
        <f ca="1">0.7*Hypothèses!$B$50*AC110+OFFSET('Couts fixes'!AC$26,0,-'Couts fixes'!$C$81)/(-Hypothèses!$B$67)</f>
        <v>0</v>
      </c>
      <c r="AD87" s="294">
        <f ca="1">0.7*Hypothèses!$B$50*AD110+OFFSET('Couts fixes'!AD$26,0,-'Couts fixes'!$C$81)/(-Hypothèses!$B$67)</f>
        <v>0</v>
      </c>
      <c r="AE87" s="294">
        <f ca="1">0.7*Hypothèses!$B$50*AE110+OFFSET('Couts fixes'!AE$26,0,-'Couts fixes'!$C$81)/(-Hypothèses!$B$67)</f>
        <v>0</v>
      </c>
      <c r="AF87" s="294">
        <f ca="1">0.7*Hypothèses!$B$50*AF110+OFFSET('Couts fixes'!AF$26,0,-'Couts fixes'!$C$81)/(-Hypothèses!$B$67)</f>
        <v>0</v>
      </c>
      <c r="AG87" s="295">
        <f ca="1">0.7*Hypothèses!$B$50*AG110+OFFSET('Couts fixes'!AG$26,0,-'Couts fixes'!$C$81)/(-Hypothèses!$B$67)</f>
        <v>0</v>
      </c>
      <c r="AH87" s="293">
        <f ca="1">0.7*Hypothèses!$B$50*AH110+OFFSET('Couts fixes'!AH$26,0,-'Couts fixes'!$C$81)/(-Hypothèses!$B$67)</f>
        <v>0</v>
      </c>
      <c r="AI87" s="294">
        <f ca="1">0.7*Hypothèses!$B$50*AI110+OFFSET('Couts fixes'!AI$26,0,-'Couts fixes'!$C$81)/(-Hypothèses!$B$67)</f>
        <v>0</v>
      </c>
      <c r="AJ87" s="294">
        <f ca="1">0.7*Hypothèses!$B$50*AJ110+OFFSET('Couts fixes'!AJ$26,0,-'Couts fixes'!$C$81)/(-Hypothèses!$B$67)</f>
        <v>0</v>
      </c>
      <c r="AK87" s="294">
        <f ca="1">0.7*Hypothèses!$B$50*AK110+OFFSET('Couts fixes'!AK$26,0,-'Couts fixes'!$C$81)/(-Hypothèses!$B$67)</f>
        <v>0</v>
      </c>
      <c r="AL87" s="294">
        <f ca="1">0.7*Hypothèses!$B$50*AL110+OFFSET('Couts fixes'!AL$26,0,-'Couts fixes'!$C$81)/(-Hypothèses!$B$67)</f>
        <v>0</v>
      </c>
      <c r="AM87" s="294">
        <f ca="1">0.7*Hypothèses!$B$50*AM110+OFFSET('Couts fixes'!AM$26,0,-'Couts fixes'!$C$81)/(-Hypothèses!$B$67)</f>
        <v>0</v>
      </c>
      <c r="AN87" s="294">
        <f ca="1">0.7*Hypothèses!$B$50*AN110+OFFSET('Couts fixes'!AN$26,0,-'Couts fixes'!$C$81)/(-Hypothèses!$B$67)</f>
        <v>0</v>
      </c>
      <c r="AO87" s="294">
        <f ca="1">0.7*Hypothèses!$B$50*AO110+OFFSET('Couts fixes'!AO$26,0,-'Couts fixes'!$C$81)/(-Hypothèses!$B$67)</f>
        <v>0</v>
      </c>
      <c r="AP87" s="294">
        <f ca="1">0.7*Hypothèses!$B$50*AP110+OFFSET('Couts fixes'!AP$26,0,-'Couts fixes'!$C$81)/(-Hypothèses!$B$67)</f>
        <v>0</v>
      </c>
      <c r="AQ87" s="294">
        <f ca="1">0.7*Hypothèses!$B$50*AQ110+OFFSET('Couts fixes'!AQ$26,0,-'Couts fixes'!$C$81)/(-Hypothèses!$B$67)</f>
        <v>0</v>
      </c>
      <c r="AR87" s="294">
        <f ca="1">0.7*Hypothèses!$B$50*AR110+OFFSET('Couts fixes'!AR$26,0,-'Couts fixes'!$C$81)/(-Hypothèses!$B$67)</f>
        <v>0</v>
      </c>
      <c r="AS87" s="295">
        <f ca="1">0.7*Hypothèses!$B$50*AS110+OFFSET('Couts fixes'!AS$26,0,-'Couts fixes'!$C$81)/(-Hypothèses!$B$67)</f>
        <v>0</v>
      </c>
      <c r="AT87" s="293">
        <f ca="1">0.7*Hypothèses!$B$50*AT110+OFFSET('Couts fixes'!AT$26,0,-'Couts fixes'!$C$81)/(-Hypothèses!$B$67)</f>
        <v>0</v>
      </c>
      <c r="AU87" s="294">
        <f ca="1">0.7*Hypothèses!$B$50*AU110+OFFSET('Couts fixes'!AU$26,0,-'Couts fixes'!$C$81)/(-Hypothèses!$B$67)</f>
        <v>0</v>
      </c>
      <c r="AV87" s="294">
        <f ca="1">0.7*Hypothèses!$B$50*AV110+OFFSET('Couts fixes'!AV$26,0,-'Couts fixes'!$C$81)/(-Hypothèses!$B$67)</f>
        <v>0</v>
      </c>
      <c r="AW87" s="294">
        <f ca="1">0.7*Hypothèses!$B$50*AW110+OFFSET('Couts fixes'!AW$26,0,-'Couts fixes'!$C$81)/(-Hypothèses!$B$67)</f>
        <v>0</v>
      </c>
      <c r="AX87" s="294">
        <f ca="1">0.7*Hypothèses!$B$50*AX110+OFFSET('Couts fixes'!AX$26,0,-'Couts fixes'!$C$81)/(-Hypothèses!$B$67)</f>
        <v>0</v>
      </c>
      <c r="AY87" s="294">
        <f ca="1">0.7*Hypothèses!$B$50*AY110+OFFSET('Couts fixes'!AY$26,0,-'Couts fixes'!$C$81)/(-Hypothèses!$B$67)</f>
        <v>0</v>
      </c>
      <c r="AZ87" s="294">
        <f ca="1">0.7*Hypothèses!$B$50*AZ110+OFFSET('Couts fixes'!AZ$26,0,-'Couts fixes'!$C$81)/(-Hypothèses!$B$67)</f>
        <v>0</v>
      </c>
      <c r="BA87" s="294">
        <f ca="1">0.7*Hypothèses!$B$50*BA110+OFFSET('Couts fixes'!BA$26,0,-'Couts fixes'!$C$81)/(-Hypothèses!$B$67)</f>
        <v>0</v>
      </c>
      <c r="BB87" s="294">
        <f ca="1">0.7*Hypothèses!$B$50*BB110+OFFSET('Couts fixes'!BB$26,0,-'Couts fixes'!$C$81)/(-Hypothèses!$B$67)</f>
        <v>0</v>
      </c>
      <c r="BC87" s="294">
        <f ca="1">0.7*Hypothèses!$B$50*BC110+OFFSET('Couts fixes'!BC$26,0,-'Couts fixes'!$C$81)/(-Hypothèses!$B$67)</f>
        <v>0</v>
      </c>
      <c r="BD87" s="294">
        <f ca="1">0.7*Hypothèses!$B$50*BD110+OFFSET('Couts fixes'!BD$26,0,-'Couts fixes'!$C$81)/(-Hypothèses!$B$67)</f>
        <v>0</v>
      </c>
      <c r="BE87" s="295">
        <f ca="1">0.7*Hypothèses!$B$50*BE110+OFFSET('Couts fixes'!BE$26,0,-'Couts fixes'!$C$81)/(-Hypothèses!$B$67)</f>
        <v>0</v>
      </c>
      <c r="BF87" s="293">
        <f ca="1">0.7*Hypothèses!$B$50*BF110+OFFSET('Couts fixes'!BF$26,0,-'Couts fixes'!$C$81)/(-Hypothèses!$B$67)</f>
        <v>0</v>
      </c>
      <c r="BG87" s="294">
        <f ca="1">0.7*Hypothèses!$B$50*BG110+OFFSET('Couts fixes'!BG$26,0,-'Couts fixes'!$C$81)/(-Hypothèses!$B$67)</f>
        <v>8.3999999999999986</v>
      </c>
      <c r="BH87" s="294">
        <f ca="1">0.7*Hypothèses!$B$50*BH110+OFFSET('Couts fixes'!BH$26,0,-'Couts fixes'!$C$81)/(-Hypothèses!$B$67)</f>
        <v>8.3999999999999986</v>
      </c>
      <c r="BI87" s="294">
        <f ca="1">0.7*Hypothèses!$B$50*BI110+OFFSET('Couts fixes'!BI$26,0,-'Couts fixes'!$C$81)/(-Hypothèses!$B$67)</f>
        <v>8.3999999999999986</v>
      </c>
      <c r="BJ87" s="294">
        <f ca="1">0.7*Hypothèses!$B$50*BJ110+OFFSET('Couts fixes'!BJ$26,0,-'Couts fixes'!$C$81)/(-Hypothèses!$B$67)</f>
        <v>8.3999999999999986</v>
      </c>
      <c r="BK87" s="294">
        <f ca="1">0.7*Hypothèses!$B$50*BK110+OFFSET('Couts fixes'!BK$26,0,-'Couts fixes'!$C$81)/(-Hypothèses!$B$67)</f>
        <v>8.3999999999999986</v>
      </c>
      <c r="BL87" s="294">
        <f ca="1">0.7*Hypothèses!$B$50*BL110+OFFSET('Couts fixes'!BL$26,0,-'Couts fixes'!$C$81)/(-Hypothèses!$B$67)</f>
        <v>82.609697732997489</v>
      </c>
      <c r="BM87" s="294">
        <f ca="1">0.7*Hypothèses!$B$50*BM110+OFFSET('Couts fixes'!BM$26,0,-'Couts fixes'!$C$81)/(-Hypothèses!$B$67)</f>
        <v>82.609697732997489</v>
      </c>
      <c r="BN87" s="294">
        <f ca="1">0.7*Hypothèses!$B$50*BN110+OFFSET('Couts fixes'!BN$26,0,-'Couts fixes'!$C$81)/(-Hypothèses!$B$67)</f>
        <v>82.609697732997489</v>
      </c>
      <c r="BO87" s="294">
        <f ca="1">0.7*Hypothèses!$B$50*BO110+OFFSET('Couts fixes'!BO$26,0,-'Couts fixes'!$C$81)/(-Hypothèses!$B$67)</f>
        <v>82.609697732997489</v>
      </c>
      <c r="BP87" s="294">
        <f ca="1">0.7*Hypothèses!$B$50*BP110+OFFSET('Couts fixes'!BP$26,0,-'Couts fixes'!$C$81)/(-Hypothèses!$B$67)</f>
        <v>82.609697732997489</v>
      </c>
      <c r="BQ87" s="295">
        <f ca="1">0.7*Hypothèses!$B$50*BQ110+OFFSET('Couts fixes'!BQ$26,0,-'Couts fixes'!$C$81)/(-Hypothèses!$B$67)</f>
        <v>82.609697732997489</v>
      </c>
      <c r="BR87" s="293">
        <f ca="1">0.7*Hypothèses!$B$50*BR110+OFFSET('Couts fixes'!BR$26,0,-'Couts fixes'!$C$81)/(-Hypothèses!$B$67)</f>
        <v>91.009697732997481</v>
      </c>
      <c r="BS87" s="294">
        <f ca="1">0.7*Hypothèses!$B$50*BS110+OFFSET('Couts fixes'!BS$26,0,-'Couts fixes'!$C$81)/(-Hypothèses!$B$67)</f>
        <v>91.009697732997481</v>
      </c>
      <c r="BT87" s="294">
        <f ca="1">0.7*Hypothèses!$B$50*BT110+OFFSET('Couts fixes'!BT$26,0,-'Couts fixes'!$C$81)/(-Hypothèses!$B$67)</f>
        <v>91.009697732997481</v>
      </c>
      <c r="BU87" s="294">
        <f ca="1">0.7*Hypothèses!$B$50*BU110+OFFSET('Couts fixes'!BU$26,0,-'Couts fixes'!$C$81)/(-Hypothèses!$B$67)</f>
        <v>91.009697732997481</v>
      </c>
      <c r="BV87" s="294">
        <f ca="1">0.7*Hypothèses!$B$50*BV110+OFFSET('Couts fixes'!BV$26,0,-'Couts fixes'!$C$81)/(-Hypothèses!$B$67)</f>
        <v>91.009697732997481</v>
      </c>
      <c r="BW87" s="294">
        <f ca="1">0.7*Hypothèses!$B$50*BW110+OFFSET('Couts fixes'!BW$26,0,-'Couts fixes'!$C$81)/(-Hypothèses!$B$67)</f>
        <v>107.80969773299748</v>
      </c>
      <c r="BX87" s="294">
        <f ca="1">0.7*Hypothèses!$B$50*BX110+OFFSET('Couts fixes'!BX$26,0,-'Couts fixes'!$C$81)/(-Hypothèses!$B$67)</f>
        <v>140.56893366918558</v>
      </c>
      <c r="BY87" s="294">
        <f ca="1">0.7*Hypothèses!$B$50*BY110+OFFSET('Couts fixes'!BY$26,0,-'Couts fixes'!$C$81)/(-Hypothèses!$B$67)</f>
        <v>140.56893366918558</v>
      </c>
      <c r="BZ87" s="294">
        <f ca="1">0.7*Hypothèses!$B$50*BZ110+OFFSET('Couts fixes'!BZ$26,0,-'Couts fixes'!$C$81)/(-Hypothèses!$B$67)</f>
        <v>140.56893366918558</v>
      </c>
      <c r="CA87" s="294">
        <f ca="1">0.7*Hypothèses!$B$50*CA110+OFFSET('Couts fixes'!CA$26,0,-'Couts fixes'!$C$81)/(-Hypothèses!$B$67)</f>
        <v>157.36893366918557</v>
      </c>
      <c r="CB87" s="294">
        <f ca="1">0.7*Hypothèses!$B$50*CB110+OFFSET('Couts fixes'!CB$26,0,-'Couts fixes'!$C$81)/(-Hypothèses!$B$67)</f>
        <v>157.36893366918557</v>
      </c>
      <c r="CC87" s="295">
        <f ca="1">0.7*Hypothèses!$B$50*CC110+OFFSET('Couts fixes'!CC$26,0,-'Couts fixes'!$C$81)/(-Hypothèses!$B$67)</f>
        <v>157.36893366918557</v>
      </c>
    </row>
    <row r="88" spans="1:82" ht="14">
      <c r="A88" s="233" t="s">
        <v>85</v>
      </c>
      <c r="B88" s="62"/>
      <c r="C88" s="40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293">
        <f ca="1">0.7*Hypothèses!$B$50*J111+OFFSET('Couts fixes'!J$41,0,-'Couts fixes'!$C$81)/(-Hypothèses!$B$67)</f>
        <v>0</v>
      </c>
      <c r="K88" s="294">
        <f ca="1">0.7*Hypothèses!$B$50*K111+OFFSET('Couts fixes'!K$41,0,-'Couts fixes'!$C$81)/(-Hypothèses!$B$67)</f>
        <v>0</v>
      </c>
      <c r="L88" s="294">
        <f ca="1">0.7*Hypothèses!$B$50*L111+OFFSET('Couts fixes'!L$41,0,-'Couts fixes'!$C$81)/(-Hypothèses!$B$67)</f>
        <v>0</v>
      </c>
      <c r="M88" s="294">
        <f ca="1">0.7*Hypothèses!$B$50*M111+OFFSET('Couts fixes'!M$41,0,-'Couts fixes'!$C$81)/(-Hypothèses!$B$67)</f>
        <v>0</v>
      </c>
      <c r="N88" s="294">
        <f ca="1">0.7*Hypothèses!$B$50*N111+OFFSET('Couts fixes'!N$41,0,-'Couts fixes'!$C$81)/(-Hypothèses!$B$67)</f>
        <v>0</v>
      </c>
      <c r="O88" s="294">
        <f ca="1">0.7*Hypothèses!$B$50*O111+OFFSET('Couts fixes'!O$41,0,-'Couts fixes'!$C$81)/(-Hypothèses!$B$67)</f>
        <v>0</v>
      </c>
      <c r="P88" s="294">
        <f ca="1">0.7*Hypothèses!$B$50*P111+OFFSET('Couts fixes'!P$41,0,-'Couts fixes'!$C$81)/(-Hypothèses!$B$67)</f>
        <v>0</v>
      </c>
      <c r="Q88" s="294">
        <f ca="1">0.7*Hypothèses!$B$50*Q111+OFFSET('Couts fixes'!Q$41,0,-'Couts fixes'!$C$81)/(-Hypothèses!$B$67)</f>
        <v>0</v>
      </c>
      <c r="R88" s="294">
        <f ca="1">0.7*Hypothèses!$B$50*R111+OFFSET('Couts fixes'!R$41,0,-'Couts fixes'!$C$81)/(-Hypothèses!$B$67)</f>
        <v>0</v>
      </c>
      <c r="S88" s="294">
        <f ca="1">0.7*Hypothèses!$B$50*S111+OFFSET('Couts fixes'!S$41,0,-'Couts fixes'!$C$81)/(-Hypothèses!$B$67)</f>
        <v>0</v>
      </c>
      <c r="T88" s="294">
        <f ca="1">0.7*Hypothèses!$B$50*T111+OFFSET('Couts fixes'!T$41,0,-'Couts fixes'!$C$81)/(-Hypothèses!$B$67)</f>
        <v>0</v>
      </c>
      <c r="U88" s="295">
        <f ca="1">0.7*Hypothèses!$B$50*U111+OFFSET('Couts fixes'!U$41,0,-'Couts fixes'!$C$81)/(-Hypothèses!$B$67)</f>
        <v>0</v>
      </c>
      <c r="V88" s="293">
        <f ca="1">0.7*Hypothèses!$B$50*V111+OFFSET('Couts fixes'!V$41,0,-'Couts fixes'!$C$81)/(-Hypothèses!$B$67)</f>
        <v>0</v>
      </c>
      <c r="W88" s="294">
        <f ca="1">0.7*Hypothèses!$B$50*W111+OFFSET('Couts fixes'!W$41,0,-'Couts fixes'!$C$81)/(-Hypothèses!$B$67)</f>
        <v>0</v>
      </c>
      <c r="X88" s="294">
        <f ca="1">0.7*Hypothèses!$B$50*X111+OFFSET('Couts fixes'!X$41,0,-'Couts fixes'!$C$81)/(-Hypothèses!$B$67)</f>
        <v>0</v>
      </c>
      <c r="Y88" s="294">
        <f ca="1">0.7*Hypothèses!$B$50*Y111+OFFSET('Couts fixes'!Y$41,0,-'Couts fixes'!$C$81)/(-Hypothèses!$B$67)</f>
        <v>0</v>
      </c>
      <c r="Z88" s="294">
        <f ca="1">0.7*Hypothèses!$B$50*Z111+OFFSET('Couts fixes'!Z$41,0,-'Couts fixes'!$C$81)/(-Hypothèses!$B$67)</f>
        <v>0</v>
      </c>
      <c r="AA88" s="294">
        <f ca="1">0.7*Hypothèses!$B$50*AA111+OFFSET('Couts fixes'!AA$41,0,-'Couts fixes'!$C$81)/(-Hypothèses!$B$67)</f>
        <v>0</v>
      </c>
      <c r="AB88" s="294">
        <f ca="1">0.7*Hypothèses!$B$50*AB111+OFFSET('Couts fixes'!AB$41,0,-'Couts fixes'!$C$81)/(-Hypothèses!$B$67)</f>
        <v>0</v>
      </c>
      <c r="AC88" s="294">
        <f ca="1">0.7*Hypothèses!$B$50*AC111+OFFSET('Couts fixes'!AC$41,0,-'Couts fixes'!$C$81)/(-Hypothèses!$B$67)</f>
        <v>0</v>
      </c>
      <c r="AD88" s="294">
        <f ca="1">0.7*Hypothèses!$B$50*AD111+OFFSET('Couts fixes'!AD$41,0,-'Couts fixes'!$C$81)/(-Hypothèses!$B$67)</f>
        <v>0</v>
      </c>
      <c r="AE88" s="294">
        <f ca="1">0.7*Hypothèses!$B$50*AE111+OFFSET('Couts fixes'!AE$41,0,-'Couts fixes'!$C$81)/(-Hypothèses!$B$67)</f>
        <v>0</v>
      </c>
      <c r="AF88" s="294">
        <f ca="1">0.7*Hypothèses!$B$50*AF111+OFFSET('Couts fixes'!AF$41,0,-'Couts fixes'!$C$81)/(-Hypothèses!$B$67)</f>
        <v>0</v>
      </c>
      <c r="AG88" s="295">
        <f ca="1">0.7*Hypothèses!$B$50*AG111+OFFSET('Couts fixes'!AG$41,0,-'Couts fixes'!$C$81)/(-Hypothèses!$B$67)</f>
        <v>0</v>
      </c>
      <c r="AH88" s="293">
        <f ca="1">0.7*Hypothèses!$B$50*AH111+OFFSET('Couts fixes'!AH$41,0,-'Couts fixes'!$C$81)/(-Hypothèses!$B$67)</f>
        <v>0</v>
      </c>
      <c r="AI88" s="294">
        <f ca="1">0.7*Hypothèses!$B$50*AI111+OFFSET('Couts fixes'!AI$41,0,-'Couts fixes'!$C$81)/(-Hypothèses!$B$67)</f>
        <v>0</v>
      </c>
      <c r="AJ88" s="294">
        <f ca="1">0.7*Hypothèses!$B$50*AJ111+OFFSET('Couts fixes'!AJ$41,0,-'Couts fixes'!$C$81)/(-Hypothèses!$B$67)</f>
        <v>0</v>
      </c>
      <c r="AK88" s="294">
        <f ca="1">0.7*Hypothèses!$B$50*AK111+OFFSET('Couts fixes'!AK$41,0,-'Couts fixes'!$C$81)/(-Hypothèses!$B$67)</f>
        <v>0</v>
      </c>
      <c r="AL88" s="294">
        <f ca="1">0.7*Hypothèses!$B$50*AL111+OFFSET('Couts fixes'!AL$41,0,-'Couts fixes'!$C$81)/(-Hypothèses!$B$67)</f>
        <v>0</v>
      </c>
      <c r="AM88" s="294">
        <f ca="1">0.7*Hypothèses!$B$50*AM111+OFFSET('Couts fixes'!AM$41,0,-'Couts fixes'!$C$81)/(-Hypothèses!$B$67)</f>
        <v>0</v>
      </c>
      <c r="AN88" s="294">
        <f ca="1">0.7*Hypothèses!$B$50*AN111+OFFSET('Couts fixes'!AN$41,0,-'Couts fixes'!$C$81)/(-Hypothèses!$B$67)</f>
        <v>0</v>
      </c>
      <c r="AO88" s="294">
        <f ca="1">0.7*Hypothèses!$B$50*AO111+OFFSET('Couts fixes'!AO$41,0,-'Couts fixes'!$C$81)/(-Hypothèses!$B$67)</f>
        <v>0</v>
      </c>
      <c r="AP88" s="294">
        <f ca="1">0.7*Hypothèses!$B$50*AP111+OFFSET('Couts fixes'!AP$41,0,-'Couts fixes'!$C$81)/(-Hypothèses!$B$67)</f>
        <v>0</v>
      </c>
      <c r="AQ88" s="294">
        <f ca="1">0.7*Hypothèses!$B$50*AQ111+OFFSET('Couts fixes'!AQ$41,0,-'Couts fixes'!$C$81)/(-Hypothèses!$B$67)</f>
        <v>0</v>
      </c>
      <c r="AR88" s="294">
        <f ca="1">0.7*Hypothèses!$B$50*AR111+OFFSET('Couts fixes'!AR$41,0,-'Couts fixes'!$C$81)/(-Hypothèses!$B$67)</f>
        <v>0</v>
      </c>
      <c r="AS88" s="295">
        <f ca="1">0.7*Hypothèses!$B$50*AS111+OFFSET('Couts fixes'!AS$41,0,-'Couts fixes'!$C$81)/(-Hypothèses!$B$67)</f>
        <v>0</v>
      </c>
      <c r="AT88" s="293">
        <f ca="1">0.7*Hypothèses!$B$50*AT111+OFFSET('Couts fixes'!AT$41,0,-'Couts fixes'!$C$81)/(-Hypothèses!$B$67)</f>
        <v>0</v>
      </c>
      <c r="AU88" s="294">
        <f ca="1">0.7*Hypothèses!$B$50*AU111+OFFSET('Couts fixes'!AU$41,0,-'Couts fixes'!$C$81)/(-Hypothèses!$B$67)</f>
        <v>0</v>
      </c>
      <c r="AV88" s="294">
        <f ca="1">0.7*Hypothèses!$B$50*AV111+OFFSET('Couts fixes'!AV$41,0,-'Couts fixes'!$C$81)/(-Hypothèses!$B$67)</f>
        <v>0</v>
      </c>
      <c r="AW88" s="294">
        <f ca="1">0.7*Hypothèses!$B$50*AW111+OFFSET('Couts fixes'!AW$41,0,-'Couts fixes'!$C$81)/(-Hypothèses!$B$67)</f>
        <v>0</v>
      </c>
      <c r="AX88" s="294">
        <f ca="1">0.7*Hypothèses!$B$50*AX111+OFFSET('Couts fixes'!AX$41,0,-'Couts fixes'!$C$81)/(-Hypothèses!$B$67)</f>
        <v>0</v>
      </c>
      <c r="AY88" s="294">
        <f ca="1">0.7*Hypothèses!$B$50*AY111+OFFSET('Couts fixes'!AY$41,0,-'Couts fixes'!$C$81)/(-Hypothèses!$B$67)</f>
        <v>0</v>
      </c>
      <c r="AZ88" s="294">
        <f ca="1">0.7*Hypothèses!$B$50*AZ111+OFFSET('Couts fixes'!AZ$41,0,-'Couts fixes'!$C$81)/(-Hypothèses!$B$67)</f>
        <v>0</v>
      </c>
      <c r="BA88" s="294">
        <f ca="1">0.7*Hypothèses!$B$50*BA111+OFFSET('Couts fixes'!BA$41,0,-'Couts fixes'!$C$81)/(-Hypothèses!$B$67)</f>
        <v>0</v>
      </c>
      <c r="BB88" s="294">
        <f ca="1">0.7*Hypothèses!$B$50*BB111+OFFSET('Couts fixes'!BB$41,0,-'Couts fixes'!$C$81)/(-Hypothèses!$B$67)</f>
        <v>0</v>
      </c>
      <c r="BC88" s="294">
        <f ca="1">0.7*Hypothèses!$B$50*BC111+OFFSET('Couts fixes'!BC$41,0,-'Couts fixes'!$C$81)/(-Hypothèses!$B$67)</f>
        <v>0</v>
      </c>
      <c r="BD88" s="294">
        <f ca="1">0.7*Hypothèses!$B$50*BD111+OFFSET('Couts fixes'!BD$41,0,-'Couts fixes'!$C$81)/(-Hypothèses!$B$67)</f>
        <v>0</v>
      </c>
      <c r="BE88" s="295">
        <f ca="1">0.7*Hypothèses!$B$50*BE111+OFFSET('Couts fixes'!BE$41,0,-'Couts fixes'!$C$81)/(-Hypothèses!$B$67)</f>
        <v>0</v>
      </c>
      <c r="BF88" s="293">
        <f ca="1">0.7*Hypothèses!$B$50*BF111+OFFSET('Couts fixes'!BF$41,0,-'Couts fixes'!$C$81)/(-Hypothèses!$B$67)</f>
        <v>0</v>
      </c>
      <c r="BG88" s="294">
        <f ca="1">0.7*Hypothèses!$B$50*BG111+OFFSET('Couts fixes'!BG$41,0,-'Couts fixes'!$C$81)/(-Hypothèses!$B$67)</f>
        <v>0</v>
      </c>
      <c r="BH88" s="294">
        <f ca="1">0.7*Hypothèses!$B$50*BH111+OFFSET('Couts fixes'!BH$41,0,-'Couts fixes'!$C$81)/(-Hypothèses!$B$67)</f>
        <v>0</v>
      </c>
      <c r="BI88" s="294">
        <f ca="1">0.7*Hypothèses!$B$50*BI111+OFFSET('Couts fixes'!BI$41,0,-'Couts fixes'!$C$81)/(-Hypothèses!$B$67)</f>
        <v>0</v>
      </c>
      <c r="BJ88" s="294">
        <f ca="1">0.7*Hypothèses!$B$50*BJ111+OFFSET('Couts fixes'!BJ$41,0,-'Couts fixes'!$C$81)/(-Hypothèses!$B$67)</f>
        <v>0</v>
      </c>
      <c r="BK88" s="294">
        <f ca="1">0.7*Hypothèses!$B$50*BK111+OFFSET('Couts fixes'!BK$41,0,-'Couts fixes'!$C$81)/(-Hypothèses!$B$67)</f>
        <v>0</v>
      </c>
      <c r="BL88" s="294">
        <f ca="1">0.7*Hypothèses!$B$50*BL111+OFFSET('Couts fixes'!BL$41,0,-'Couts fixes'!$C$81)/(-Hypothèses!$B$67)</f>
        <v>0</v>
      </c>
      <c r="BM88" s="294">
        <f ca="1">0.7*Hypothèses!$B$50*BM111+OFFSET('Couts fixes'!BM$41,0,-'Couts fixes'!$C$81)/(-Hypothèses!$B$67)</f>
        <v>0</v>
      </c>
      <c r="BN88" s="294">
        <f ca="1">0.7*Hypothèses!$B$50*BN111+OFFSET('Couts fixes'!BN$41,0,-'Couts fixes'!$C$81)/(-Hypothèses!$B$67)</f>
        <v>0</v>
      </c>
      <c r="BO88" s="294">
        <f ca="1">0.7*Hypothèses!$B$50*BO111+OFFSET('Couts fixes'!BO$41,0,-'Couts fixes'!$C$81)/(-Hypothèses!$B$67)</f>
        <v>0</v>
      </c>
      <c r="BP88" s="294">
        <f ca="1">0.7*Hypothèses!$B$50*BP111+OFFSET('Couts fixes'!BP$41,0,-'Couts fixes'!$C$81)/(-Hypothèses!$B$67)</f>
        <v>0</v>
      </c>
      <c r="BQ88" s="295">
        <f ca="1">0.7*Hypothèses!$B$50*BQ111+OFFSET('Couts fixes'!BQ$41,0,-'Couts fixes'!$C$81)/(-Hypothèses!$B$67)</f>
        <v>0</v>
      </c>
      <c r="BR88" s="293">
        <f ca="1">0.7*Hypothèses!$B$50*BR111+OFFSET('Couts fixes'!BR$41,0,-'Couts fixes'!$C$81)/(-Hypothèses!$B$67)</f>
        <v>0</v>
      </c>
      <c r="BS88" s="294">
        <f ca="1">0.7*Hypothèses!$B$50*BS111+OFFSET('Couts fixes'!BS$41,0,-'Couts fixes'!$C$81)/(-Hypothèses!$B$67)</f>
        <v>0</v>
      </c>
      <c r="BT88" s="294">
        <f ca="1">0.7*Hypothèses!$B$50*BT111+OFFSET('Couts fixes'!BT$41,0,-'Couts fixes'!$C$81)/(-Hypothèses!$B$67)</f>
        <v>8.3999999999999986</v>
      </c>
      <c r="BU88" s="294">
        <f ca="1">0.7*Hypothèses!$B$50*BU111+OFFSET('Couts fixes'!BU$41,0,-'Couts fixes'!$C$81)/(-Hypothèses!$B$67)</f>
        <v>8.3999999999999986</v>
      </c>
      <c r="BV88" s="294">
        <f ca="1">0.7*Hypothèses!$B$50*BV111+OFFSET('Couts fixes'!BV$41,0,-'Couts fixes'!$C$81)/(-Hypothèses!$B$67)</f>
        <v>8.3999999999999986</v>
      </c>
      <c r="BW88" s="294">
        <f ca="1">0.7*Hypothèses!$B$50*BW111+OFFSET('Couts fixes'!BW$41,0,-'Couts fixes'!$C$81)/(-Hypothèses!$B$67)</f>
        <v>16.799999999999997</v>
      </c>
      <c r="BX88" s="294">
        <f ca="1">0.7*Hypothèses!$B$50*BX111+OFFSET('Couts fixes'!BX$41,0,-'Couts fixes'!$C$81)/(-Hypothèses!$B$67)</f>
        <v>140.11140964642226</v>
      </c>
      <c r="BY88" s="294">
        <f ca="1">0.7*Hypothèses!$B$50*BY111+OFFSET('Couts fixes'!BY$41,0,-'Couts fixes'!$C$81)/(-Hypothèses!$B$67)</f>
        <v>140.11140964642226</v>
      </c>
      <c r="BZ88" s="294">
        <f ca="1">0.7*Hypothèses!$B$50*BZ111+OFFSET('Couts fixes'!BZ$41,0,-'Couts fixes'!$C$81)/(-Hypothèses!$B$67)</f>
        <v>140.11140964642226</v>
      </c>
      <c r="CA88" s="294">
        <f ca="1">0.7*Hypothèses!$B$50*CA111+OFFSET('Couts fixes'!CA$41,0,-'Couts fixes'!$C$81)/(-Hypothèses!$B$67)</f>
        <v>140.11140964642226</v>
      </c>
      <c r="CB88" s="294">
        <f ca="1">0.7*Hypothèses!$B$50*CB111+OFFSET('Couts fixes'!CB$41,0,-'Couts fixes'!$C$81)/(-Hypothèses!$B$67)</f>
        <v>140.11140964642226</v>
      </c>
      <c r="CC88" s="295">
        <f ca="1">0.7*Hypothèses!$B$50*CC111+OFFSET('Couts fixes'!CC$41,0,-'Couts fixes'!$C$81)/(-Hypothèses!$B$67)</f>
        <v>140.11140964642226</v>
      </c>
    </row>
    <row r="89" spans="1:82" ht="14">
      <c r="A89" s="243" t="s">
        <v>86</v>
      </c>
      <c r="B89" s="62"/>
      <c r="C89" s="40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293">
        <f ca="1">0.7*Hypothèses!$B$50*J112+OFFSET('Couts fixes'!J$56,0,-'Couts fixes'!$C$81)/(-Hypothèses!$B$67)</f>
        <v>0</v>
      </c>
      <c r="K89" s="294">
        <f ca="1">0.7*Hypothèses!$B$50*K112+OFFSET('Couts fixes'!K$56,0,-'Couts fixes'!$C$81)/(-Hypothèses!$B$67)</f>
        <v>0</v>
      </c>
      <c r="L89" s="294">
        <f ca="1">0.7*Hypothèses!$B$50*L112+OFFSET('Couts fixes'!L$56,0,-'Couts fixes'!$C$81)/(-Hypothèses!$B$67)</f>
        <v>0</v>
      </c>
      <c r="M89" s="294">
        <f ca="1">0.7*Hypothèses!$B$50*M112+OFFSET('Couts fixes'!M$56,0,-'Couts fixes'!$C$81)/(-Hypothèses!$B$67)</f>
        <v>0</v>
      </c>
      <c r="N89" s="294">
        <f ca="1">0.7*Hypothèses!$B$50*N112+OFFSET('Couts fixes'!N$56,0,-'Couts fixes'!$C$81)/(-Hypothèses!$B$67)</f>
        <v>0</v>
      </c>
      <c r="O89" s="294">
        <f ca="1">0.7*Hypothèses!$B$50*O112+OFFSET('Couts fixes'!O$56,0,-'Couts fixes'!$C$81)/(-Hypothèses!$B$67)</f>
        <v>0</v>
      </c>
      <c r="P89" s="294">
        <f ca="1">0.7*Hypothèses!$B$50*P112+OFFSET('Couts fixes'!P$56,0,-'Couts fixes'!$C$81)/(-Hypothèses!$B$67)</f>
        <v>0</v>
      </c>
      <c r="Q89" s="294">
        <f ca="1">0.7*Hypothèses!$B$50*Q112+OFFSET('Couts fixes'!Q$56,0,-'Couts fixes'!$C$81)/(-Hypothèses!$B$67)</f>
        <v>0</v>
      </c>
      <c r="R89" s="294">
        <f ca="1">0.7*Hypothèses!$B$50*R112+OFFSET('Couts fixes'!R$56,0,-'Couts fixes'!$C$81)/(-Hypothèses!$B$67)</f>
        <v>0</v>
      </c>
      <c r="S89" s="294">
        <f ca="1">0.7*Hypothèses!$B$50*S112+OFFSET('Couts fixes'!S$56,0,-'Couts fixes'!$C$81)/(-Hypothèses!$B$67)</f>
        <v>0</v>
      </c>
      <c r="T89" s="294">
        <f ca="1">0.7*Hypothèses!$B$50*T112+OFFSET('Couts fixes'!T$56,0,-'Couts fixes'!$C$81)/(-Hypothèses!$B$67)</f>
        <v>0</v>
      </c>
      <c r="U89" s="295">
        <f ca="1">0.7*Hypothèses!$B$50*U112+OFFSET('Couts fixes'!U$56,0,-'Couts fixes'!$C$81)/(-Hypothèses!$B$67)</f>
        <v>0</v>
      </c>
      <c r="V89" s="293">
        <f ca="1">0.7*Hypothèses!$B$50*V112+OFFSET('Couts fixes'!V$56,0,-'Couts fixes'!$C$81)/(-Hypothèses!$B$67)</f>
        <v>0</v>
      </c>
      <c r="W89" s="294">
        <f ca="1">0.7*Hypothèses!$B$50*W112+OFFSET('Couts fixes'!W$56,0,-'Couts fixes'!$C$81)/(-Hypothèses!$B$67)</f>
        <v>0</v>
      </c>
      <c r="X89" s="294">
        <f ca="1">0.7*Hypothèses!$B$50*X112+OFFSET('Couts fixes'!X$56,0,-'Couts fixes'!$C$81)/(-Hypothèses!$B$67)</f>
        <v>0</v>
      </c>
      <c r="Y89" s="294">
        <f ca="1">0.7*Hypothèses!$B$50*Y112+OFFSET('Couts fixes'!Y$56,0,-'Couts fixes'!$C$81)/(-Hypothèses!$B$67)</f>
        <v>0</v>
      </c>
      <c r="Z89" s="294">
        <f ca="1">0.7*Hypothèses!$B$50*Z112+OFFSET('Couts fixes'!Z$56,0,-'Couts fixes'!$C$81)/(-Hypothèses!$B$67)</f>
        <v>0</v>
      </c>
      <c r="AA89" s="294">
        <f ca="1">0.7*Hypothèses!$B$50*AA112+OFFSET('Couts fixes'!AA$56,0,-'Couts fixes'!$C$81)/(-Hypothèses!$B$67)</f>
        <v>0</v>
      </c>
      <c r="AB89" s="294">
        <f ca="1">0.7*Hypothèses!$B$50*AB112+OFFSET('Couts fixes'!AB$56,0,-'Couts fixes'!$C$81)/(-Hypothèses!$B$67)</f>
        <v>0</v>
      </c>
      <c r="AC89" s="294">
        <f ca="1">0.7*Hypothèses!$B$50*AC112+OFFSET('Couts fixes'!AC$56,0,-'Couts fixes'!$C$81)/(-Hypothèses!$B$67)</f>
        <v>0</v>
      </c>
      <c r="AD89" s="294">
        <f ca="1">0.7*Hypothèses!$B$50*AD112+OFFSET('Couts fixes'!AD$56,0,-'Couts fixes'!$C$81)/(-Hypothèses!$B$67)</f>
        <v>0</v>
      </c>
      <c r="AE89" s="294">
        <f ca="1">0.7*Hypothèses!$B$50*AE112+OFFSET('Couts fixes'!AE$56,0,-'Couts fixes'!$C$81)/(-Hypothèses!$B$67)</f>
        <v>0</v>
      </c>
      <c r="AF89" s="294">
        <f ca="1">0.7*Hypothèses!$B$50*AF112+OFFSET('Couts fixes'!AF$56,0,-'Couts fixes'!$C$81)/(-Hypothèses!$B$67)</f>
        <v>0</v>
      </c>
      <c r="AG89" s="295">
        <f ca="1">0.7*Hypothèses!$B$50*AG112+OFFSET('Couts fixes'!AG$56,0,-'Couts fixes'!$C$81)/(-Hypothèses!$B$67)</f>
        <v>0</v>
      </c>
      <c r="AH89" s="293">
        <f ca="1">0.7*Hypothèses!$B$50*AH112+OFFSET('Couts fixes'!AH$56,0,-'Couts fixes'!$C$81)/(-Hypothèses!$B$67)</f>
        <v>0</v>
      </c>
      <c r="AI89" s="294">
        <f ca="1">0.7*Hypothèses!$B$50*AI112+OFFSET('Couts fixes'!AI$56,0,-'Couts fixes'!$C$81)/(-Hypothèses!$B$67)</f>
        <v>0</v>
      </c>
      <c r="AJ89" s="294">
        <f ca="1">0.7*Hypothèses!$B$50*AJ112+OFFSET('Couts fixes'!AJ$56,0,-'Couts fixes'!$C$81)/(-Hypothèses!$B$67)</f>
        <v>0</v>
      </c>
      <c r="AK89" s="294">
        <f ca="1">0.7*Hypothèses!$B$50*AK112+OFFSET('Couts fixes'!AK$56,0,-'Couts fixes'!$C$81)/(-Hypothèses!$B$67)</f>
        <v>0</v>
      </c>
      <c r="AL89" s="294">
        <f ca="1">0.7*Hypothèses!$B$50*AL112+OFFSET('Couts fixes'!AL$56,0,-'Couts fixes'!$C$81)/(-Hypothèses!$B$67)</f>
        <v>0</v>
      </c>
      <c r="AM89" s="294">
        <f ca="1">0.7*Hypothèses!$B$50*AM112+OFFSET('Couts fixes'!AM$56,0,-'Couts fixes'!$C$81)/(-Hypothèses!$B$67)</f>
        <v>0</v>
      </c>
      <c r="AN89" s="294">
        <f ca="1">0.7*Hypothèses!$B$50*AN112+OFFSET('Couts fixes'!AN$56,0,-'Couts fixes'!$C$81)/(-Hypothèses!$B$67)</f>
        <v>0</v>
      </c>
      <c r="AO89" s="294">
        <f ca="1">0.7*Hypothèses!$B$50*AO112+OFFSET('Couts fixes'!AO$56,0,-'Couts fixes'!$C$81)/(-Hypothèses!$B$67)</f>
        <v>0</v>
      </c>
      <c r="AP89" s="294">
        <f ca="1">0.7*Hypothèses!$B$50*AP112+OFFSET('Couts fixes'!AP$56,0,-'Couts fixes'!$C$81)/(-Hypothèses!$B$67)</f>
        <v>0</v>
      </c>
      <c r="AQ89" s="294">
        <f ca="1">0.7*Hypothèses!$B$50*AQ112+OFFSET('Couts fixes'!AQ$56,0,-'Couts fixes'!$C$81)/(-Hypothèses!$B$67)</f>
        <v>0</v>
      </c>
      <c r="AR89" s="294">
        <f ca="1">0.7*Hypothèses!$B$50*AR112+OFFSET('Couts fixes'!AR$56,0,-'Couts fixes'!$C$81)/(-Hypothèses!$B$67)</f>
        <v>0</v>
      </c>
      <c r="AS89" s="295">
        <f ca="1">0.7*Hypothèses!$B$50*AS112+OFFSET('Couts fixes'!AS$56,0,-'Couts fixes'!$C$81)/(-Hypothèses!$B$67)</f>
        <v>0</v>
      </c>
      <c r="AT89" s="293">
        <f ca="1">0.7*Hypothèses!$B$50*AT112+OFFSET('Couts fixes'!AT$56,0,-'Couts fixes'!$C$81)/(-Hypothèses!$B$67)</f>
        <v>0</v>
      </c>
      <c r="AU89" s="294">
        <f ca="1">0.7*Hypothèses!$B$50*AU112+OFFSET('Couts fixes'!AU$56,0,-'Couts fixes'!$C$81)/(-Hypothèses!$B$67)</f>
        <v>0</v>
      </c>
      <c r="AV89" s="294">
        <f ca="1">0.7*Hypothèses!$B$50*AV112+OFFSET('Couts fixes'!AV$56,0,-'Couts fixes'!$C$81)/(-Hypothèses!$B$67)</f>
        <v>0</v>
      </c>
      <c r="AW89" s="294">
        <f ca="1">0.7*Hypothèses!$B$50*AW112+OFFSET('Couts fixes'!AW$56,0,-'Couts fixes'!$C$81)/(-Hypothèses!$B$67)</f>
        <v>0</v>
      </c>
      <c r="AX89" s="294">
        <f ca="1">0.7*Hypothèses!$B$50*AX112+OFFSET('Couts fixes'!AX$56,0,-'Couts fixes'!$C$81)/(-Hypothèses!$B$67)</f>
        <v>0</v>
      </c>
      <c r="AY89" s="294">
        <f ca="1">0.7*Hypothèses!$B$50*AY112+OFFSET('Couts fixes'!AY$56,0,-'Couts fixes'!$C$81)/(-Hypothèses!$B$67)</f>
        <v>0</v>
      </c>
      <c r="AZ89" s="294">
        <f ca="1">0.7*Hypothèses!$B$50*AZ112+OFFSET('Couts fixes'!AZ$56,0,-'Couts fixes'!$C$81)/(-Hypothèses!$B$67)</f>
        <v>0</v>
      </c>
      <c r="BA89" s="294">
        <f ca="1">0.7*Hypothèses!$B$50*BA112+OFFSET('Couts fixes'!BA$56,0,-'Couts fixes'!$C$81)/(-Hypothèses!$B$67)</f>
        <v>0</v>
      </c>
      <c r="BB89" s="294">
        <f ca="1">0.7*Hypothèses!$B$50*BB112+OFFSET('Couts fixes'!BB$56,0,-'Couts fixes'!$C$81)/(-Hypothèses!$B$67)</f>
        <v>0</v>
      </c>
      <c r="BC89" s="294">
        <f ca="1">0.7*Hypothèses!$B$50*BC112+OFFSET('Couts fixes'!BC$56,0,-'Couts fixes'!$C$81)/(-Hypothèses!$B$67)</f>
        <v>0</v>
      </c>
      <c r="BD89" s="294">
        <f ca="1">0.7*Hypothèses!$B$50*BD112+OFFSET('Couts fixes'!BD$56,0,-'Couts fixes'!$C$81)/(-Hypothèses!$B$67)</f>
        <v>0</v>
      </c>
      <c r="BE89" s="295">
        <f ca="1">0.7*Hypothèses!$B$50*BE112+OFFSET('Couts fixes'!BE$56,0,-'Couts fixes'!$C$81)/(-Hypothèses!$B$67)</f>
        <v>0</v>
      </c>
      <c r="BF89" s="293">
        <f ca="1">0.7*Hypothèses!$B$50*BF112+OFFSET('Couts fixes'!BF$56,0,-'Couts fixes'!$C$81)/(-Hypothèses!$B$67)</f>
        <v>0</v>
      </c>
      <c r="BG89" s="294">
        <f ca="1">0.7*Hypothèses!$B$50*BG112+OFFSET('Couts fixes'!BG$56,0,-'Couts fixes'!$C$81)/(-Hypothèses!$B$67)</f>
        <v>0</v>
      </c>
      <c r="BH89" s="294">
        <f ca="1">0.7*Hypothèses!$B$50*BH112+OFFSET('Couts fixes'!BH$56,0,-'Couts fixes'!$C$81)/(-Hypothèses!$B$67)</f>
        <v>0</v>
      </c>
      <c r="BI89" s="294">
        <f ca="1">0.7*Hypothèses!$B$50*BI112+OFFSET('Couts fixes'!BI$56,0,-'Couts fixes'!$C$81)/(-Hypothèses!$B$67)</f>
        <v>0</v>
      </c>
      <c r="BJ89" s="294">
        <f ca="1">0.7*Hypothèses!$B$50*BJ112+OFFSET('Couts fixes'!BJ$56,0,-'Couts fixes'!$C$81)/(-Hypothèses!$B$67)</f>
        <v>0</v>
      </c>
      <c r="BK89" s="294">
        <f ca="1">0.7*Hypothèses!$B$50*BK112+OFFSET('Couts fixes'!BK$56,0,-'Couts fixes'!$C$81)/(-Hypothèses!$B$67)</f>
        <v>0</v>
      </c>
      <c r="BL89" s="294">
        <f ca="1">0.7*Hypothèses!$B$50*BL112+OFFSET('Couts fixes'!BL$56,0,-'Couts fixes'!$C$81)/(-Hypothèses!$B$67)</f>
        <v>0</v>
      </c>
      <c r="BM89" s="294">
        <f ca="1">0.7*Hypothèses!$B$50*BM112+OFFSET('Couts fixes'!BM$56,0,-'Couts fixes'!$C$81)/(-Hypothèses!$B$67)</f>
        <v>0</v>
      </c>
      <c r="BN89" s="294">
        <f ca="1">0.7*Hypothèses!$B$50*BN112+OFFSET('Couts fixes'!BN$56,0,-'Couts fixes'!$C$81)/(-Hypothèses!$B$67)</f>
        <v>0</v>
      </c>
      <c r="BO89" s="294">
        <f ca="1">0.7*Hypothèses!$B$50*BO112+OFFSET('Couts fixes'!BO$56,0,-'Couts fixes'!$C$81)/(-Hypothèses!$B$67)</f>
        <v>0</v>
      </c>
      <c r="BP89" s="294">
        <f ca="1">0.7*Hypothèses!$B$50*BP112+OFFSET('Couts fixes'!BP$56,0,-'Couts fixes'!$C$81)/(-Hypothèses!$B$67)</f>
        <v>0</v>
      </c>
      <c r="BQ89" s="295">
        <f ca="1">0.7*Hypothèses!$B$50*BQ112+OFFSET('Couts fixes'!BQ$56,0,-'Couts fixes'!$C$81)/(-Hypothèses!$B$67)</f>
        <v>0</v>
      </c>
      <c r="BR89" s="293">
        <f ca="1">0.7*Hypothèses!$B$50*BR112+OFFSET('Couts fixes'!BR$56,0,-'Couts fixes'!$C$81)/(-Hypothèses!$B$67)</f>
        <v>0</v>
      </c>
      <c r="BS89" s="294">
        <f ca="1">0.7*Hypothèses!$B$50*BS112+OFFSET('Couts fixes'!BS$56,0,-'Couts fixes'!$C$81)/(-Hypothèses!$B$67)</f>
        <v>0</v>
      </c>
      <c r="BT89" s="294">
        <f ca="1">0.7*Hypothèses!$B$50*BT112+OFFSET('Couts fixes'!BT$56,0,-'Couts fixes'!$C$81)/(-Hypothèses!$B$67)</f>
        <v>0</v>
      </c>
      <c r="BU89" s="294">
        <f ca="1">0.7*Hypothèses!$B$50*BU112+OFFSET('Couts fixes'!BU$56,0,-'Couts fixes'!$C$81)/(-Hypothèses!$B$67)</f>
        <v>0</v>
      </c>
      <c r="BV89" s="294">
        <f ca="1">0.7*Hypothèses!$B$50*BV112+OFFSET('Couts fixes'!BV$56,0,-'Couts fixes'!$C$81)/(-Hypothèses!$B$67)</f>
        <v>0</v>
      </c>
      <c r="BW89" s="294">
        <f ca="1">0.7*Hypothèses!$B$50*BW112+OFFSET('Couts fixes'!BW$56,0,-'Couts fixes'!$C$81)/(-Hypothèses!$B$67)</f>
        <v>0</v>
      </c>
      <c r="BX89" s="294">
        <f ca="1">0.7*Hypothèses!$B$50*BX112+OFFSET('Couts fixes'!BX$56,0,-'Couts fixes'!$C$81)/(-Hypothèses!$B$67)</f>
        <v>0</v>
      </c>
      <c r="BY89" s="294">
        <f ca="1">0.7*Hypothèses!$B$50*BY112+OFFSET('Couts fixes'!BY$56,0,-'Couts fixes'!$C$81)/(-Hypothèses!$B$67)</f>
        <v>0</v>
      </c>
      <c r="BZ89" s="294">
        <f ca="1">0.7*Hypothèses!$B$50*BZ112+OFFSET('Couts fixes'!BZ$56,0,-'Couts fixes'!$C$81)/(-Hypothèses!$B$67)</f>
        <v>0</v>
      </c>
      <c r="CA89" s="294">
        <f ca="1">0.7*Hypothèses!$B$50*CA112+OFFSET('Couts fixes'!CA$56,0,-'Couts fixes'!$C$81)/(-Hypothèses!$B$67)</f>
        <v>0</v>
      </c>
      <c r="CB89" s="294">
        <f ca="1">0.7*Hypothèses!$B$50*CB112+OFFSET('Couts fixes'!CB$56,0,-'Couts fixes'!$C$81)/(-Hypothèses!$B$67)</f>
        <v>0</v>
      </c>
      <c r="CC89" s="295">
        <f ca="1">0.7*Hypothèses!$B$50*CC112+OFFSET('Couts fixes'!CC$56,0,-'Couts fixes'!$C$81)/(-Hypothèses!$B$67)</f>
        <v>0</v>
      </c>
    </row>
    <row r="90" spans="1:82" ht="14">
      <c r="A90" s="243" t="s">
        <v>87</v>
      </c>
      <c r="B90" s="62"/>
      <c r="C90" s="40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293">
        <f ca="1">0.7*Hypothèses!$B$50*J113+OFFSET('Couts fixes'!J$71,0,-'Couts fixes'!$C$81)/(-Hypothèses!$B$67)</f>
        <v>0</v>
      </c>
      <c r="K90" s="294">
        <f ca="1">0.7*Hypothèses!$B$50*K113+OFFSET('Couts fixes'!K$71,0,-'Couts fixes'!$C$81)/(-Hypothèses!$B$67)</f>
        <v>0</v>
      </c>
      <c r="L90" s="294">
        <f ca="1">0.7*Hypothèses!$B$50*L113+OFFSET('Couts fixes'!L$71,0,-'Couts fixes'!$C$81)/(-Hypothèses!$B$67)</f>
        <v>0</v>
      </c>
      <c r="M90" s="294">
        <f ca="1">0.7*Hypothèses!$B$50*M113+OFFSET('Couts fixes'!M$71,0,-'Couts fixes'!$C$81)/(-Hypothèses!$B$67)</f>
        <v>0</v>
      </c>
      <c r="N90" s="294">
        <f ca="1">0.7*Hypothèses!$B$50*N113+OFFSET('Couts fixes'!N$71,0,-'Couts fixes'!$C$81)/(-Hypothèses!$B$67)</f>
        <v>0</v>
      </c>
      <c r="O90" s="294">
        <f ca="1">0.7*Hypothèses!$B$50*O113+OFFSET('Couts fixes'!O$71,0,-'Couts fixes'!$C$81)/(-Hypothèses!$B$67)</f>
        <v>0</v>
      </c>
      <c r="P90" s="294">
        <f ca="1">0.7*Hypothèses!$B$50*P113+OFFSET('Couts fixes'!P$71,0,-'Couts fixes'!$C$81)/(-Hypothèses!$B$67)</f>
        <v>0</v>
      </c>
      <c r="Q90" s="294">
        <f ca="1">0.7*Hypothèses!$B$50*Q113+OFFSET('Couts fixes'!Q$71,0,-'Couts fixes'!$C$81)/(-Hypothèses!$B$67)</f>
        <v>0</v>
      </c>
      <c r="R90" s="294">
        <f ca="1">0.7*Hypothèses!$B$50*R113+OFFSET('Couts fixes'!R$71,0,-'Couts fixes'!$C$81)/(-Hypothèses!$B$67)</f>
        <v>0</v>
      </c>
      <c r="S90" s="294">
        <f ca="1">0.7*Hypothèses!$B$50*S113+OFFSET('Couts fixes'!S$71,0,-'Couts fixes'!$C$81)/(-Hypothèses!$B$67)</f>
        <v>0</v>
      </c>
      <c r="T90" s="294">
        <f ca="1">0.7*Hypothèses!$B$50*T113+OFFSET('Couts fixes'!T$71,0,-'Couts fixes'!$C$81)/(-Hypothèses!$B$67)</f>
        <v>0</v>
      </c>
      <c r="U90" s="295">
        <f ca="1">0.7*Hypothèses!$B$50*U113+OFFSET('Couts fixes'!U$71,0,-'Couts fixes'!$C$81)/(-Hypothèses!$B$67)</f>
        <v>0</v>
      </c>
      <c r="V90" s="293">
        <f ca="1">0.7*Hypothèses!$B$50*V113+OFFSET('Couts fixes'!V$71,0,-'Couts fixes'!$C$81)/(-Hypothèses!$B$67)</f>
        <v>0</v>
      </c>
      <c r="W90" s="294">
        <f ca="1">0.7*Hypothèses!$B$50*W113+OFFSET('Couts fixes'!W$71,0,-'Couts fixes'!$C$81)/(-Hypothèses!$B$67)</f>
        <v>0</v>
      </c>
      <c r="X90" s="294">
        <f ca="1">0.7*Hypothèses!$B$50*X113+OFFSET('Couts fixes'!X$71,0,-'Couts fixes'!$C$81)/(-Hypothèses!$B$67)</f>
        <v>0</v>
      </c>
      <c r="Y90" s="294">
        <f ca="1">0.7*Hypothèses!$B$50*Y113+OFFSET('Couts fixes'!Y$71,0,-'Couts fixes'!$C$81)/(-Hypothèses!$B$67)</f>
        <v>0</v>
      </c>
      <c r="Z90" s="294">
        <f ca="1">0.7*Hypothèses!$B$50*Z113+OFFSET('Couts fixes'!Z$71,0,-'Couts fixes'!$C$81)/(-Hypothèses!$B$67)</f>
        <v>0</v>
      </c>
      <c r="AA90" s="294">
        <f ca="1">0.7*Hypothèses!$B$50*AA113+OFFSET('Couts fixes'!AA$71,0,-'Couts fixes'!$C$81)/(-Hypothèses!$B$67)</f>
        <v>0</v>
      </c>
      <c r="AB90" s="294">
        <f ca="1">0.7*Hypothèses!$B$50*AB113+OFFSET('Couts fixes'!AB$71,0,-'Couts fixes'!$C$81)/(-Hypothèses!$B$67)</f>
        <v>0</v>
      </c>
      <c r="AC90" s="294">
        <f ca="1">0.7*Hypothèses!$B$50*AC113+OFFSET('Couts fixes'!AC$71,0,-'Couts fixes'!$C$81)/(-Hypothèses!$B$67)</f>
        <v>0</v>
      </c>
      <c r="AD90" s="294">
        <f ca="1">0.7*Hypothèses!$B$50*AD113+OFFSET('Couts fixes'!AD$71,0,-'Couts fixes'!$C$81)/(-Hypothèses!$B$67)</f>
        <v>0</v>
      </c>
      <c r="AE90" s="294">
        <f ca="1">0.7*Hypothèses!$B$50*AE113+OFFSET('Couts fixes'!AE$71,0,-'Couts fixes'!$C$81)/(-Hypothèses!$B$67)</f>
        <v>0</v>
      </c>
      <c r="AF90" s="294">
        <f ca="1">0.7*Hypothèses!$B$50*AF113+OFFSET('Couts fixes'!AF$71,0,-'Couts fixes'!$C$81)/(-Hypothèses!$B$67)</f>
        <v>0</v>
      </c>
      <c r="AG90" s="295">
        <f ca="1">0.7*Hypothèses!$B$50*AG113+OFFSET('Couts fixes'!AG$71,0,-'Couts fixes'!$C$81)/(-Hypothèses!$B$67)</f>
        <v>0</v>
      </c>
      <c r="AH90" s="293">
        <f ca="1">0.7*Hypothèses!$B$50*AH113+OFFSET('Couts fixes'!AH$71,0,-'Couts fixes'!$C$81)/(-Hypothèses!$B$67)</f>
        <v>0</v>
      </c>
      <c r="AI90" s="294">
        <f ca="1">0.7*Hypothèses!$B$50*AI113+OFFSET('Couts fixes'!AI$71,0,-'Couts fixes'!$C$81)/(-Hypothèses!$B$67)</f>
        <v>0</v>
      </c>
      <c r="AJ90" s="294">
        <f ca="1">0.7*Hypothèses!$B$50*AJ113+OFFSET('Couts fixes'!AJ$71,0,-'Couts fixes'!$C$81)/(-Hypothèses!$B$67)</f>
        <v>0</v>
      </c>
      <c r="AK90" s="294">
        <f ca="1">0.7*Hypothèses!$B$50*AK113+OFFSET('Couts fixes'!AK$71,0,-'Couts fixes'!$C$81)/(-Hypothèses!$B$67)</f>
        <v>0</v>
      </c>
      <c r="AL90" s="294">
        <f ca="1">0.7*Hypothèses!$B$50*AL113+OFFSET('Couts fixes'!AL$71,0,-'Couts fixes'!$C$81)/(-Hypothèses!$B$67)</f>
        <v>0</v>
      </c>
      <c r="AM90" s="294">
        <f ca="1">0.7*Hypothèses!$B$50*AM113+OFFSET('Couts fixes'!AM$71,0,-'Couts fixes'!$C$81)/(-Hypothèses!$B$67)</f>
        <v>0</v>
      </c>
      <c r="AN90" s="294">
        <f ca="1">0.7*Hypothèses!$B$50*AN113+OFFSET('Couts fixes'!AN$71,0,-'Couts fixes'!$C$81)/(-Hypothèses!$B$67)</f>
        <v>0</v>
      </c>
      <c r="AO90" s="294">
        <f ca="1">0.7*Hypothèses!$B$50*AO113+OFFSET('Couts fixes'!AO$71,0,-'Couts fixes'!$C$81)/(-Hypothèses!$B$67)</f>
        <v>0</v>
      </c>
      <c r="AP90" s="294">
        <f ca="1">0.7*Hypothèses!$B$50*AP113+OFFSET('Couts fixes'!AP$71,0,-'Couts fixes'!$C$81)/(-Hypothèses!$B$67)</f>
        <v>0</v>
      </c>
      <c r="AQ90" s="294">
        <f ca="1">0.7*Hypothèses!$B$50*AQ113+OFFSET('Couts fixes'!AQ$71,0,-'Couts fixes'!$C$81)/(-Hypothèses!$B$67)</f>
        <v>0</v>
      </c>
      <c r="AR90" s="294">
        <f ca="1">0.7*Hypothèses!$B$50*AR113+OFFSET('Couts fixes'!AR$71,0,-'Couts fixes'!$C$81)/(-Hypothèses!$B$67)</f>
        <v>0</v>
      </c>
      <c r="AS90" s="295">
        <f ca="1">0.7*Hypothèses!$B$50*AS113+OFFSET('Couts fixes'!AS$71,0,-'Couts fixes'!$C$81)/(-Hypothèses!$B$67)</f>
        <v>0</v>
      </c>
      <c r="AT90" s="293">
        <f ca="1">0.7*Hypothèses!$B$50*AT113+OFFSET('Couts fixes'!AT$71,0,-'Couts fixes'!$C$81)/(-Hypothèses!$B$67)</f>
        <v>0</v>
      </c>
      <c r="AU90" s="294">
        <f ca="1">0.7*Hypothèses!$B$50*AU113+OFFSET('Couts fixes'!AU$71,0,-'Couts fixes'!$C$81)/(-Hypothèses!$B$67)</f>
        <v>0</v>
      </c>
      <c r="AV90" s="294">
        <f ca="1">0.7*Hypothèses!$B$50*AV113+OFFSET('Couts fixes'!AV$71,0,-'Couts fixes'!$C$81)/(-Hypothèses!$B$67)</f>
        <v>0</v>
      </c>
      <c r="AW90" s="294">
        <f ca="1">0.7*Hypothèses!$B$50*AW113+OFFSET('Couts fixes'!AW$71,0,-'Couts fixes'!$C$81)/(-Hypothèses!$B$67)</f>
        <v>0</v>
      </c>
      <c r="AX90" s="294">
        <f ca="1">0.7*Hypothèses!$B$50*AX113+OFFSET('Couts fixes'!AX$71,0,-'Couts fixes'!$C$81)/(-Hypothèses!$B$67)</f>
        <v>0</v>
      </c>
      <c r="AY90" s="294">
        <f ca="1">0.7*Hypothèses!$B$50*AY113+OFFSET('Couts fixes'!AY$71,0,-'Couts fixes'!$C$81)/(-Hypothèses!$B$67)</f>
        <v>0</v>
      </c>
      <c r="AZ90" s="294">
        <f ca="1">0.7*Hypothèses!$B$50*AZ113+OFFSET('Couts fixes'!AZ$71,0,-'Couts fixes'!$C$81)/(-Hypothèses!$B$67)</f>
        <v>0</v>
      </c>
      <c r="BA90" s="294">
        <f ca="1">0.7*Hypothèses!$B$50*BA113+OFFSET('Couts fixes'!BA$71,0,-'Couts fixes'!$C$81)/(-Hypothèses!$B$67)</f>
        <v>0</v>
      </c>
      <c r="BB90" s="294">
        <f ca="1">0.7*Hypothèses!$B$50*BB113+OFFSET('Couts fixes'!BB$71,0,-'Couts fixes'!$C$81)/(-Hypothèses!$B$67)</f>
        <v>0</v>
      </c>
      <c r="BC90" s="294">
        <f ca="1">0.7*Hypothèses!$B$50*BC113+OFFSET('Couts fixes'!BC$71,0,-'Couts fixes'!$C$81)/(-Hypothèses!$B$67)</f>
        <v>0</v>
      </c>
      <c r="BD90" s="294">
        <f ca="1">0.7*Hypothèses!$B$50*BD113+OFFSET('Couts fixes'!BD$71,0,-'Couts fixes'!$C$81)/(-Hypothèses!$B$67)</f>
        <v>0</v>
      </c>
      <c r="BE90" s="295">
        <f ca="1">0.7*Hypothèses!$B$50*BE113+OFFSET('Couts fixes'!BE$71,0,-'Couts fixes'!$C$81)/(-Hypothèses!$B$67)</f>
        <v>0</v>
      </c>
      <c r="BF90" s="293">
        <f ca="1">0.7*Hypothèses!$B$50*BF113+OFFSET('Couts fixes'!BF$71,0,-'Couts fixes'!$C$81)/(-Hypothèses!$B$67)</f>
        <v>0</v>
      </c>
      <c r="BG90" s="294">
        <f ca="1">0.7*Hypothèses!$B$50*BG113+OFFSET('Couts fixes'!BG$71,0,-'Couts fixes'!$C$81)/(-Hypothèses!$B$67)</f>
        <v>0</v>
      </c>
      <c r="BH90" s="294">
        <f ca="1">0.7*Hypothèses!$B$50*BH113+OFFSET('Couts fixes'!BH$71,0,-'Couts fixes'!$C$81)/(-Hypothèses!$B$67)</f>
        <v>0</v>
      </c>
      <c r="BI90" s="294">
        <f ca="1">0.7*Hypothèses!$B$50*BI113+OFFSET('Couts fixes'!BI$71,0,-'Couts fixes'!$C$81)/(-Hypothèses!$B$67)</f>
        <v>0</v>
      </c>
      <c r="BJ90" s="294">
        <f ca="1">0.7*Hypothèses!$B$50*BJ113+OFFSET('Couts fixes'!BJ$71,0,-'Couts fixes'!$C$81)/(-Hypothèses!$B$67)</f>
        <v>0</v>
      </c>
      <c r="BK90" s="294">
        <f ca="1">0.7*Hypothèses!$B$50*BK113+OFFSET('Couts fixes'!BK$71,0,-'Couts fixes'!$C$81)/(-Hypothèses!$B$67)</f>
        <v>0</v>
      </c>
      <c r="BL90" s="294">
        <f ca="1">0.7*Hypothèses!$B$50*BL113+OFFSET('Couts fixes'!BL$71,0,-'Couts fixes'!$C$81)/(-Hypothèses!$B$67)</f>
        <v>0</v>
      </c>
      <c r="BM90" s="294">
        <f ca="1">0.7*Hypothèses!$B$50*BM113+OFFSET('Couts fixes'!BM$71,0,-'Couts fixes'!$C$81)/(-Hypothèses!$B$67)</f>
        <v>0</v>
      </c>
      <c r="BN90" s="294">
        <f ca="1">0.7*Hypothèses!$B$50*BN113+OFFSET('Couts fixes'!BN$71,0,-'Couts fixes'!$C$81)/(-Hypothèses!$B$67)</f>
        <v>0</v>
      </c>
      <c r="BO90" s="294">
        <f ca="1">0.7*Hypothèses!$B$50*BO113+OFFSET('Couts fixes'!BO$71,0,-'Couts fixes'!$C$81)/(-Hypothèses!$B$67)</f>
        <v>0</v>
      </c>
      <c r="BP90" s="294">
        <f ca="1">0.7*Hypothèses!$B$50*BP113+OFFSET('Couts fixes'!BP$71,0,-'Couts fixes'!$C$81)/(-Hypothèses!$B$67)</f>
        <v>0</v>
      </c>
      <c r="BQ90" s="295">
        <f ca="1">0.7*Hypothèses!$B$50*BQ113+OFFSET('Couts fixes'!BQ$71,0,-'Couts fixes'!$C$81)/(-Hypothèses!$B$67)</f>
        <v>0</v>
      </c>
      <c r="BR90" s="293">
        <f ca="1">0.7*Hypothèses!$B$50*BR113+OFFSET('Couts fixes'!BR$71,0,-'Couts fixes'!$C$81)/(-Hypothèses!$B$67)</f>
        <v>0</v>
      </c>
      <c r="BS90" s="294">
        <f ca="1">0.7*Hypothèses!$B$50*BS113+OFFSET('Couts fixes'!BS$71,0,-'Couts fixes'!$C$81)/(-Hypothèses!$B$67)</f>
        <v>0</v>
      </c>
      <c r="BT90" s="294">
        <f ca="1">0.7*Hypothèses!$B$50*BT113+OFFSET('Couts fixes'!BT$71,0,-'Couts fixes'!$C$81)/(-Hypothèses!$B$67)</f>
        <v>0</v>
      </c>
      <c r="BU90" s="294">
        <f ca="1">0.7*Hypothèses!$B$50*BU113+OFFSET('Couts fixes'!BU$71,0,-'Couts fixes'!$C$81)/(-Hypothèses!$B$67)</f>
        <v>0</v>
      </c>
      <c r="BV90" s="294">
        <f ca="1">0.7*Hypothèses!$B$50*BV113+OFFSET('Couts fixes'!BV$71,0,-'Couts fixes'!$C$81)/(-Hypothèses!$B$67)</f>
        <v>0</v>
      </c>
      <c r="BW90" s="294">
        <f ca="1">0.7*Hypothèses!$B$50*BW113+OFFSET('Couts fixes'!BW$71,0,-'Couts fixes'!$C$81)/(-Hypothèses!$B$67)</f>
        <v>0</v>
      </c>
      <c r="BX90" s="294">
        <f ca="1">0.7*Hypothèses!$B$50*BX113+OFFSET('Couts fixes'!BX$71,0,-'Couts fixes'!$C$81)/(-Hypothèses!$B$67)</f>
        <v>0</v>
      </c>
      <c r="BY90" s="294">
        <f ca="1">0.7*Hypothèses!$B$50*BY113+OFFSET('Couts fixes'!BY$71,0,-'Couts fixes'!$C$81)/(-Hypothèses!$B$67)</f>
        <v>0</v>
      </c>
      <c r="BZ90" s="294">
        <f ca="1">0.7*Hypothèses!$B$50*BZ113+OFFSET('Couts fixes'!BZ$71,0,-'Couts fixes'!$C$81)/(-Hypothèses!$B$67)</f>
        <v>0</v>
      </c>
      <c r="CA90" s="294">
        <f ca="1">0.7*Hypothèses!$B$50*CA113+OFFSET('Couts fixes'!CA$71,0,-'Couts fixes'!$C$81)/(-Hypothèses!$B$67)</f>
        <v>0</v>
      </c>
      <c r="CB90" s="294">
        <f ca="1">0.7*Hypothèses!$B$50*CB113+OFFSET('Couts fixes'!CB$71,0,-'Couts fixes'!$C$81)/(-Hypothèses!$B$67)</f>
        <v>0</v>
      </c>
      <c r="CC90" s="295">
        <f ca="1">0.7*Hypothèses!$B$50*CC113+OFFSET('Couts fixes'!CC$71,0,-'Couts fixes'!$C$81)/(-Hypothèses!$B$67)</f>
        <v>0</v>
      </c>
    </row>
    <row r="91" spans="1:82" ht="14">
      <c r="A91" s="181"/>
      <c r="B91" s="62"/>
      <c r="C91" s="40"/>
      <c r="I91" s="10"/>
      <c r="J91" s="40"/>
      <c r="U91" s="10"/>
      <c r="V91" s="40"/>
      <c r="AG91" s="10"/>
      <c r="AH91" s="40"/>
      <c r="AS91" s="10"/>
      <c r="AT91" s="40"/>
      <c r="BE91" s="10"/>
      <c r="BF91" s="40"/>
      <c r="BQ91" s="10"/>
      <c r="BR91" s="40"/>
      <c r="CC91" s="10"/>
    </row>
    <row r="92" spans="1:82" ht="14">
      <c r="A92" s="181" t="s">
        <v>130</v>
      </c>
      <c r="B92" s="62"/>
      <c r="C92" s="288">
        <f t="shared" ref="C92:CC92" si="16">SUM(C93:C97)</f>
        <v>8.1627204030226697</v>
      </c>
      <c r="D92" s="289">
        <f t="shared" si="16"/>
        <v>8.1627204030226697</v>
      </c>
      <c r="E92" s="289">
        <f t="shared" si="16"/>
        <v>8.1627204030226697</v>
      </c>
      <c r="F92" s="289">
        <f t="shared" si="16"/>
        <v>8.1627204030226697</v>
      </c>
      <c r="G92" s="289">
        <f t="shared" si="16"/>
        <v>8.1627204030226697</v>
      </c>
      <c r="H92" s="289">
        <f t="shared" si="16"/>
        <v>8.1627204030226697</v>
      </c>
      <c r="I92" s="290">
        <f t="shared" si="16"/>
        <v>8.1627204030226697</v>
      </c>
      <c r="J92" s="296">
        <f t="shared" ca="1" si="16"/>
        <v>8.8045340050377838</v>
      </c>
      <c r="K92" s="138">
        <f t="shared" ca="1" si="16"/>
        <v>5.2045340050377833</v>
      </c>
      <c r="L92" s="138">
        <f t="shared" ca="1" si="16"/>
        <v>8.8045340050377838</v>
      </c>
      <c r="M92" s="138">
        <f t="shared" ca="1" si="16"/>
        <v>8.8045340050377838</v>
      </c>
      <c r="N92" s="138">
        <f t="shared" ca="1" si="16"/>
        <v>8.8045340050377838</v>
      </c>
      <c r="O92" s="138">
        <f t="shared" ca="1" si="16"/>
        <v>8.8045340050377838</v>
      </c>
      <c r="P92" s="138">
        <f t="shared" ca="1" si="16"/>
        <v>10.409068010075567</v>
      </c>
      <c r="Q92" s="138">
        <f t="shared" ca="1" si="16"/>
        <v>10.409068010075567</v>
      </c>
      <c r="R92" s="138">
        <f t="shared" ca="1" si="16"/>
        <v>10.409068010075567</v>
      </c>
      <c r="S92" s="138">
        <f t="shared" ca="1" si="16"/>
        <v>10.409068010075567</v>
      </c>
      <c r="T92" s="138">
        <f t="shared" ca="1" si="16"/>
        <v>10.409068010075567</v>
      </c>
      <c r="U92" s="297">
        <f t="shared" ca="1" si="16"/>
        <v>10.409068010075567</v>
      </c>
      <c r="V92" s="296">
        <f t="shared" ca="1" si="16"/>
        <v>10.409068010075567</v>
      </c>
      <c r="W92" s="138">
        <f t="shared" ca="1" si="16"/>
        <v>10.409068010075567</v>
      </c>
      <c r="X92" s="138">
        <f t="shared" ca="1" si="16"/>
        <v>10.409068010075567</v>
      </c>
      <c r="Y92" s="138">
        <f t="shared" ca="1" si="16"/>
        <v>10.409068010075567</v>
      </c>
      <c r="Z92" s="138">
        <f t="shared" ca="1" si="16"/>
        <v>10.409068010075567</v>
      </c>
      <c r="AA92" s="138">
        <f t="shared" ca="1" si="16"/>
        <v>10.409068010075567</v>
      </c>
      <c r="AB92" s="138">
        <f t="shared" ca="1" si="16"/>
        <v>11.211335012594459</v>
      </c>
      <c r="AC92" s="138">
        <f t="shared" ca="1" si="16"/>
        <v>11.211335012594459</v>
      </c>
      <c r="AD92" s="138">
        <f t="shared" ca="1" si="16"/>
        <v>11.211335012594459</v>
      </c>
      <c r="AE92" s="138">
        <f t="shared" ca="1" si="16"/>
        <v>11.211335012594459</v>
      </c>
      <c r="AF92" s="138">
        <f t="shared" ca="1" si="16"/>
        <v>11.211335012594459</v>
      </c>
      <c r="AG92" s="297">
        <f t="shared" ca="1" si="16"/>
        <v>11.211335012594459</v>
      </c>
      <c r="AH92" s="296">
        <f t="shared" ca="1" si="16"/>
        <v>11.211335012594459</v>
      </c>
      <c r="AI92" s="138">
        <f t="shared" ca="1" si="16"/>
        <v>11.211335012594459</v>
      </c>
      <c r="AJ92" s="138">
        <f t="shared" ca="1" si="16"/>
        <v>11.211335012594459</v>
      </c>
      <c r="AK92" s="138">
        <f t="shared" ca="1" si="16"/>
        <v>11.211335012594459</v>
      </c>
      <c r="AL92" s="138">
        <f t="shared" ca="1" si="16"/>
        <v>11.211335012594459</v>
      </c>
      <c r="AM92" s="138">
        <f t="shared" ca="1" si="16"/>
        <v>11.211335012594459</v>
      </c>
      <c r="AN92" s="138">
        <f t="shared" ca="1" si="16"/>
        <v>11.211335012594459</v>
      </c>
      <c r="AO92" s="138">
        <f t="shared" ca="1" si="16"/>
        <v>11.211335012594459</v>
      </c>
      <c r="AP92" s="138">
        <f t="shared" ca="1" si="16"/>
        <v>11.211335012594459</v>
      </c>
      <c r="AQ92" s="138">
        <f t="shared" ca="1" si="16"/>
        <v>11.211335012594459</v>
      </c>
      <c r="AR92" s="138">
        <f t="shared" ca="1" si="16"/>
        <v>11.211335012594459</v>
      </c>
      <c r="AS92" s="297">
        <f t="shared" ca="1" si="16"/>
        <v>11.211335012594459</v>
      </c>
      <c r="AT92" s="296">
        <f t="shared" ca="1" si="16"/>
        <v>11.211335012594459</v>
      </c>
      <c r="AU92" s="138">
        <f t="shared" ca="1" si="16"/>
        <v>11.211335012594459</v>
      </c>
      <c r="AV92" s="138">
        <f t="shared" ca="1" si="16"/>
        <v>11.211335012594459</v>
      </c>
      <c r="AW92" s="138">
        <f t="shared" ca="1" si="16"/>
        <v>11.211335012594459</v>
      </c>
      <c r="AX92" s="138">
        <f t="shared" ca="1" si="16"/>
        <v>11.211335012594459</v>
      </c>
      <c r="AY92" s="138">
        <f t="shared" ca="1" si="16"/>
        <v>11.211335012594459</v>
      </c>
      <c r="AZ92" s="138">
        <f t="shared" ca="1" si="16"/>
        <v>13.217002518891686</v>
      </c>
      <c r="BA92" s="138">
        <f t="shared" ca="1" si="16"/>
        <v>13.217002518891686</v>
      </c>
      <c r="BB92" s="138">
        <f t="shared" ca="1" si="16"/>
        <v>13.217002518891686</v>
      </c>
      <c r="BC92" s="138">
        <f t="shared" ca="1" si="16"/>
        <v>13.217002518891686</v>
      </c>
      <c r="BD92" s="138">
        <f t="shared" ca="1" si="16"/>
        <v>13.217002518891686</v>
      </c>
      <c r="BE92" s="297">
        <f t="shared" ca="1" si="16"/>
        <v>13.217002518891686</v>
      </c>
      <c r="BF92" s="296">
        <f t="shared" ca="1" si="16"/>
        <v>13.217002518891686</v>
      </c>
      <c r="BG92" s="138">
        <f t="shared" ca="1" si="16"/>
        <v>20.417002518891685</v>
      </c>
      <c r="BH92" s="138">
        <f t="shared" ca="1" si="16"/>
        <v>20.417002518891685</v>
      </c>
      <c r="BI92" s="138">
        <f t="shared" ca="1" si="16"/>
        <v>27.617002518891688</v>
      </c>
      <c r="BJ92" s="138">
        <f t="shared" ca="1" si="16"/>
        <v>34.817002518891684</v>
      </c>
      <c r="BK92" s="138">
        <f t="shared" ca="1" si="16"/>
        <v>34.817002518891684</v>
      </c>
      <c r="BL92" s="138">
        <f t="shared" ca="1" si="16"/>
        <v>110.20969773299748</v>
      </c>
      <c r="BM92" s="138">
        <f t="shared" ca="1" si="16"/>
        <v>110.20969773299748</v>
      </c>
      <c r="BN92" s="138">
        <f t="shared" ca="1" si="16"/>
        <v>110.20969773299748</v>
      </c>
      <c r="BO92" s="138">
        <f t="shared" ca="1" si="16"/>
        <v>110.20969773299748</v>
      </c>
      <c r="BP92" s="138">
        <f t="shared" ca="1" si="16"/>
        <v>110.20969773299748</v>
      </c>
      <c r="BQ92" s="297">
        <f t="shared" ca="1" si="16"/>
        <v>110.20969773299748</v>
      </c>
      <c r="BR92" s="296">
        <f t="shared" ca="1" si="16"/>
        <v>113.80969773299748</v>
      </c>
      <c r="BS92" s="138">
        <f t="shared" ca="1" si="16"/>
        <v>113.80969773299748</v>
      </c>
      <c r="BT92" s="138">
        <f t="shared" ca="1" si="16"/>
        <v>117.40969773299747</v>
      </c>
      <c r="BU92" s="138">
        <f t="shared" ca="1" si="16"/>
        <v>117.40969773299747</v>
      </c>
      <c r="BV92" s="138">
        <f t="shared" ca="1" si="16"/>
        <v>117.40969773299747</v>
      </c>
      <c r="BW92" s="138">
        <f t="shared" ca="1" si="16"/>
        <v>128.20969773299748</v>
      </c>
      <c r="BX92" s="138">
        <f t="shared" ca="1" si="16"/>
        <v>316.37102341636347</v>
      </c>
      <c r="BY92" s="138">
        <f t="shared" ca="1" si="16"/>
        <v>319.97102341636344</v>
      </c>
      <c r="BZ92" s="138">
        <f t="shared" ca="1" si="16"/>
        <v>319.97102341636344</v>
      </c>
      <c r="CA92" s="138">
        <f t="shared" ca="1" si="16"/>
        <v>327.17102341636348</v>
      </c>
      <c r="CB92" s="138">
        <f t="shared" ca="1" si="16"/>
        <v>327.17102341636348</v>
      </c>
      <c r="CC92" s="297">
        <f t="shared" ca="1" si="16"/>
        <v>327.17102341636348</v>
      </c>
    </row>
    <row r="93" spans="1:82" ht="14">
      <c r="A93" s="233" t="s">
        <v>83</v>
      </c>
      <c r="B93" s="62"/>
      <c r="C93" s="288">
        <f>(Hypothèses!$B50*C109+1000/(Hypothèses!$B$67))*0.3</f>
        <v>8.1627204030226697</v>
      </c>
      <c r="D93" s="289">
        <f>(Hypothèses!$B50*D109+1000/(Hypothèses!$B$67))*0.3</f>
        <v>8.1627204030226697</v>
      </c>
      <c r="E93" s="289">
        <f>(Hypothèses!$B50*E109+1000/(Hypothèses!$B$67))*0.3</f>
        <v>8.1627204030226697</v>
      </c>
      <c r="F93" s="289">
        <f>(Hypothèses!$B50*F109+1000/(Hypothèses!$B$67))*0.3</f>
        <v>8.1627204030226697</v>
      </c>
      <c r="G93" s="289">
        <f>(Hypothèses!$B50*G109+1000/(Hypothèses!$B$67))*0.3</f>
        <v>8.1627204030226697</v>
      </c>
      <c r="H93" s="289">
        <f>(Hypothèses!$B50*H109+1000/(Hypothèses!$B$67))*0.3</f>
        <v>8.1627204030226697</v>
      </c>
      <c r="I93" s="290">
        <f>(Hypothèses!$B50*I109+1000/(Hypothèses!$B$67))*0.3</f>
        <v>8.1627204030226697</v>
      </c>
      <c r="J93" s="296">
        <f ca="1">0.3*(Hypothèses!$B50*J109+OFFSET('Couts fixes'!J$10,0,-'Couts fixes'!$C$81)/(-Hypothèses!$B$67))</f>
        <v>8.8045340050377838</v>
      </c>
      <c r="K93" s="138">
        <f ca="1">0.3*(Hypothèses!$B50*K109+OFFSET('Couts fixes'!K$10,0,-'Couts fixes'!$C$81)/(-Hypothèses!$B$67))</f>
        <v>5.2045340050377833</v>
      </c>
      <c r="L93" s="138">
        <f ca="1">0.3*(Hypothèses!$B50*L109+OFFSET('Couts fixes'!L$10,0,-'Couts fixes'!$C$81)/(-Hypothèses!$B$67))</f>
        <v>8.8045340050377838</v>
      </c>
      <c r="M93" s="138">
        <f ca="1">0.3*(Hypothèses!$B50*M109+OFFSET('Couts fixes'!M$10,0,-'Couts fixes'!$C$81)/(-Hypothèses!$B$67))</f>
        <v>8.8045340050377838</v>
      </c>
      <c r="N93" s="138">
        <f ca="1">0.3*(Hypothèses!$B50*N109+OFFSET('Couts fixes'!N$10,0,-'Couts fixes'!$C$81)/(-Hypothèses!$B$67))</f>
        <v>8.8045340050377838</v>
      </c>
      <c r="O93" s="138">
        <f ca="1">0.3*(Hypothèses!$B50*O109+OFFSET('Couts fixes'!O$10,0,-'Couts fixes'!$C$81)/(-Hypothèses!$B$67))</f>
        <v>8.8045340050377838</v>
      </c>
      <c r="P93" s="138">
        <f ca="1">0.3*(Hypothèses!$B50*P109+OFFSET('Couts fixes'!P$10,0,-'Couts fixes'!$C$81)/(-Hypothèses!$B$67))</f>
        <v>10.409068010075567</v>
      </c>
      <c r="Q93" s="138">
        <f ca="1">0.3*(Hypothèses!$B50*Q109+OFFSET('Couts fixes'!Q$10,0,-'Couts fixes'!$C$81)/(-Hypothèses!$B$67))</f>
        <v>10.409068010075567</v>
      </c>
      <c r="R93" s="138">
        <f ca="1">0.3*(Hypothèses!$B50*R109+OFFSET('Couts fixes'!R$10,0,-'Couts fixes'!$C$81)/(-Hypothèses!$B$67))</f>
        <v>10.409068010075567</v>
      </c>
      <c r="S93" s="138">
        <f ca="1">0.3*(Hypothèses!$B50*S109+OFFSET('Couts fixes'!S$10,0,-'Couts fixes'!$C$81)/(-Hypothèses!$B$67))</f>
        <v>10.409068010075567</v>
      </c>
      <c r="T93" s="138">
        <f ca="1">0.3*(Hypothèses!$B50*T109+OFFSET('Couts fixes'!T$10,0,-'Couts fixes'!$C$81)/(-Hypothèses!$B$67))</f>
        <v>10.409068010075567</v>
      </c>
      <c r="U93" s="297">
        <f ca="1">0.3*(Hypothèses!$B50*U109+OFFSET('Couts fixes'!U$10,0,-'Couts fixes'!$C$81)/(-Hypothèses!$B$67))</f>
        <v>10.409068010075567</v>
      </c>
      <c r="V93" s="296">
        <f ca="1">0.3*(Hypothèses!$B50*V109+OFFSET('Couts fixes'!V$10,0,-'Couts fixes'!$C$81)/(-Hypothèses!$B$67))</f>
        <v>10.409068010075567</v>
      </c>
      <c r="W93" s="138">
        <f ca="1">0.3*(Hypothèses!$B50*W109+OFFSET('Couts fixes'!W$10,0,-'Couts fixes'!$C$81)/(-Hypothèses!$B$67))</f>
        <v>10.409068010075567</v>
      </c>
      <c r="X93" s="138">
        <f ca="1">0.3*(Hypothèses!$B50*X109+OFFSET('Couts fixes'!X$10,0,-'Couts fixes'!$C$81)/(-Hypothèses!$B$67))</f>
        <v>10.409068010075567</v>
      </c>
      <c r="Y93" s="138">
        <f ca="1">0.3*(Hypothèses!$B50*Y109+OFFSET('Couts fixes'!Y$10,0,-'Couts fixes'!$C$81)/(-Hypothèses!$B$67))</f>
        <v>10.409068010075567</v>
      </c>
      <c r="Z93" s="138">
        <f ca="1">0.3*(Hypothèses!$B50*Z109+OFFSET('Couts fixes'!Z$10,0,-'Couts fixes'!$C$81)/(-Hypothèses!$B$67))</f>
        <v>10.409068010075567</v>
      </c>
      <c r="AA93" s="138">
        <f ca="1">0.3*(Hypothèses!$B50*AA109+OFFSET('Couts fixes'!AA$10,0,-'Couts fixes'!$C$81)/(-Hypothèses!$B$67))</f>
        <v>10.409068010075567</v>
      </c>
      <c r="AB93" s="138">
        <f ca="1">0.3*(Hypothèses!$B50*AB109+OFFSET('Couts fixes'!AB$10,0,-'Couts fixes'!$C$81)/(-Hypothèses!$B$67))</f>
        <v>11.211335012594459</v>
      </c>
      <c r="AC93" s="138">
        <f ca="1">0.3*(Hypothèses!$B50*AC109+OFFSET('Couts fixes'!AC$10,0,-'Couts fixes'!$C$81)/(-Hypothèses!$B$67))</f>
        <v>11.211335012594459</v>
      </c>
      <c r="AD93" s="138">
        <f ca="1">0.3*(Hypothèses!$B50*AD109+OFFSET('Couts fixes'!AD$10,0,-'Couts fixes'!$C$81)/(-Hypothèses!$B$67))</f>
        <v>11.211335012594459</v>
      </c>
      <c r="AE93" s="138">
        <f ca="1">0.3*(Hypothèses!$B50*AE109+OFFSET('Couts fixes'!AE$10,0,-'Couts fixes'!$C$81)/(-Hypothèses!$B$67))</f>
        <v>11.211335012594459</v>
      </c>
      <c r="AF93" s="138">
        <f ca="1">0.3*(Hypothèses!$B50*AF109+OFFSET('Couts fixes'!AF$10,0,-'Couts fixes'!$C$81)/(-Hypothèses!$B$67))</f>
        <v>11.211335012594459</v>
      </c>
      <c r="AG93" s="297">
        <f ca="1">0.3*(Hypothèses!$B50*AG109+OFFSET('Couts fixes'!AG$10,0,-'Couts fixes'!$C$81)/(-Hypothèses!$B$67))</f>
        <v>11.211335012594459</v>
      </c>
      <c r="AH93" s="296">
        <f ca="1">0.3*(Hypothèses!$B50*AH109+OFFSET('Couts fixes'!AH$10,0,-'Couts fixes'!$C$81)/(-Hypothèses!$B$67))</f>
        <v>11.211335012594459</v>
      </c>
      <c r="AI93" s="138">
        <f ca="1">0.3*(Hypothèses!$B50*AI109+OFFSET('Couts fixes'!AI$10,0,-'Couts fixes'!$C$81)/(-Hypothèses!$B$67))</f>
        <v>11.211335012594459</v>
      </c>
      <c r="AJ93" s="138">
        <f ca="1">0.3*(Hypothèses!$B50*AJ109+OFFSET('Couts fixes'!AJ$10,0,-'Couts fixes'!$C$81)/(-Hypothèses!$B$67))</f>
        <v>11.211335012594459</v>
      </c>
      <c r="AK93" s="138">
        <f ca="1">0.3*(Hypothèses!$B50*AK109+OFFSET('Couts fixes'!AK$10,0,-'Couts fixes'!$C$81)/(-Hypothèses!$B$67))</f>
        <v>11.211335012594459</v>
      </c>
      <c r="AL93" s="138">
        <f ca="1">0.3*(Hypothèses!$B50*AL109+OFFSET('Couts fixes'!AL$10,0,-'Couts fixes'!$C$81)/(-Hypothèses!$B$67))</f>
        <v>11.211335012594459</v>
      </c>
      <c r="AM93" s="138">
        <f ca="1">0.3*(Hypothèses!$B50*AM109+OFFSET('Couts fixes'!AM$10,0,-'Couts fixes'!$C$81)/(-Hypothèses!$B$67))</f>
        <v>11.211335012594459</v>
      </c>
      <c r="AN93" s="138">
        <f ca="1">0.3*(Hypothèses!$B50*AN109+OFFSET('Couts fixes'!AN$10,0,-'Couts fixes'!$C$81)/(-Hypothèses!$B$67))</f>
        <v>11.211335012594459</v>
      </c>
      <c r="AO93" s="138">
        <f ca="1">0.3*(Hypothèses!$B50*AO109+OFFSET('Couts fixes'!AO$10,0,-'Couts fixes'!$C$81)/(-Hypothèses!$B$67))</f>
        <v>11.211335012594459</v>
      </c>
      <c r="AP93" s="138">
        <f ca="1">0.3*(Hypothèses!$B50*AP109+OFFSET('Couts fixes'!AP$10,0,-'Couts fixes'!$C$81)/(-Hypothèses!$B$67))</f>
        <v>11.211335012594459</v>
      </c>
      <c r="AQ93" s="138">
        <f ca="1">0.3*(Hypothèses!$B50*AQ109+OFFSET('Couts fixes'!AQ$10,0,-'Couts fixes'!$C$81)/(-Hypothèses!$B$67))</f>
        <v>11.211335012594459</v>
      </c>
      <c r="AR93" s="138">
        <f ca="1">0.3*(Hypothèses!$B50*AR109+OFFSET('Couts fixes'!AR$10,0,-'Couts fixes'!$C$81)/(-Hypothèses!$B$67))</f>
        <v>11.211335012594459</v>
      </c>
      <c r="AS93" s="297">
        <f ca="1">0.3*(Hypothèses!$B50*AS109+OFFSET('Couts fixes'!AS$10,0,-'Couts fixes'!$C$81)/(-Hypothèses!$B$67))</f>
        <v>11.211335012594459</v>
      </c>
      <c r="AT93" s="296">
        <f ca="1">0.3*(Hypothèses!$B50*AT109+OFFSET('Couts fixes'!AT$10,0,-'Couts fixes'!$C$81)/(-Hypothèses!$B$67))</f>
        <v>11.211335012594459</v>
      </c>
      <c r="AU93" s="138">
        <f ca="1">0.3*(Hypothèses!$B50*AU109+OFFSET('Couts fixes'!AU$10,0,-'Couts fixes'!$C$81)/(-Hypothèses!$B$67))</f>
        <v>11.211335012594459</v>
      </c>
      <c r="AV93" s="138">
        <f ca="1">0.3*(Hypothèses!$B50*AV109+OFFSET('Couts fixes'!AV$10,0,-'Couts fixes'!$C$81)/(-Hypothèses!$B$67))</f>
        <v>11.211335012594459</v>
      </c>
      <c r="AW93" s="138">
        <f ca="1">0.3*(Hypothèses!$B50*AW109+OFFSET('Couts fixes'!AW$10,0,-'Couts fixes'!$C$81)/(-Hypothèses!$B$67))</f>
        <v>11.211335012594459</v>
      </c>
      <c r="AX93" s="138">
        <f ca="1">0.3*(Hypothèses!$B50*AX109+OFFSET('Couts fixes'!AX$10,0,-'Couts fixes'!$C$81)/(-Hypothèses!$B$67))</f>
        <v>11.211335012594459</v>
      </c>
      <c r="AY93" s="138">
        <f ca="1">0.3*(Hypothèses!$B50*AY109+OFFSET('Couts fixes'!AY$10,0,-'Couts fixes'!$C$81)/(-Hypothèses!$B$67))</f>
        <v>11.211335012594459</v>
      </c>
      <c r="AZ93" s="138">
        <f ca="1">0.3*(Hypothèses!$B50*AZ109+OFFSET('Couts fixes'!AZ$10,0,-'Couts fixes'!$C$81)/(-Hypothèses!$B$67))</f>
        <v>13.217002518891686</v>
      </c>
      <c r="BA93" s="138">
        <f ca="1">0.3*(Hypothèses!$B50*BA109+OFFSET('Couts fixes'!BA$10,0,-'Couts fixes'!$C$81)/(-Hypothèses!$B$67))</f>
        <v>13.217002518891686</v>
      </c>
      <c r="BB93" s="138">
        <f ca="1">0.3*(Hypothèses!$B50*BB109+OFFSET('Couts fixes'!BB$10,0,-'Couts fixes'!$C$81)/(-Hypothèses!$B$67))</f>
        <v>13.217002518891686</v>
      </c>
      <c r="BC93" s="138">
        <f ca="1">0.3*(Hypothèses!$B50*BC109+OFFSET('Couts fixes'!BC$10,0,-'Couts fixes'!$C$81)/(-Hypothèses!$B$67))</f>
        <v>13.217002518891686</v>
      </c>
      <c r="BD93" s="138">
        <f ca="1">0.3*(Hypothèses!$B50*BD109+OFFSET('Couts fixes'!BD$10,0,-'Couts fixes'!$C$81)/(-Hypothèses!$B$67))</f>
        <v>13.217002518891686</v>
      </c>
      <c r="BE93" s="297">
        <f ca="1">0.3*(Hypothèses!$B50*BE109+OFFSET('Couts fixes'!BE$10,0,-'Couts fixes'!$C$81)/(-Hypothèses!$B$67))</f>
        <v>13.217002518891686</v>
      </c>
      <c r="BF93" s="296">
        <f ca="1">0.3*(Hypothèses!$B50*BF109+OFFSET('Couts fixes'!BF$10,0,-'Couts fixes'!$C$81)/(-Hypothèses!$B$67))</f>
        <v>13.217002518891686</v>
      </c>
      <c r="BG93" s="138">
        <f ca="1">0.3*(Hypothèses!$B50*BG109+OFFSET('Couts fixes'!BG$10,0,-'Couts fixes'!$C$81)/(-Hypothèses!$B$67))</f>
        <v>16.817002518891687</v>
      </c>
      <c r="BH93" s="138">
        <f ca="1">0.3*(Hypothèses!$B50*BH109+OFFSET('Couts fixes'!BH$10,0,-'Couts fixes'!$C$81)/(-Hypothèses!$B$67))</f>
        <v>16.817002518891687</v>
      </c>
      <c r="BI93" s="138">
        <f ca="1">0.3*(Hypothèses!$B50*BI109+OFFSET('Couts fixes'!BI$10,0,-'Couts fixes'!$C$81)/(-Hypothèses!$B$67))</f>
        <v>24.017002518891687</v>
      </c>
      <c r="BJ93" s="138">
        <f ca="1">0.3*(Hypothèses!$B50*BJ109+OFFSET('Couts fixes'!BJ$10,0,-'Couts fixes'!$C$81)/(-Hypothèses!$B$67))</f>
        <v>31.217002518891686</v>
      </c>
      <c r="BK93" s="138">
        <f ca="1">0.3*(Hypothèses!$B50*BK109+OFFSET('Couts fixes'!BK$10,0,-'Couts fixes'!$C$81)/(-Hypothèses!$B$67))</f>
        <v>31.217002518891686</v>
      </c>
      <c r="BL93" s="138">
        <f ca="1">0.3*(Hypothèses!$B50*BL109+OFFSET('Couts fixes'!BL$10,0,-'Couts fixes'!$C$81)/(-Hypothèses!$B$67))</f>
        <v>32.4</v>
      </c>
      <c r="BM93" s="138">
        <f ca="1">0.3*(Hypothèses!$B50*BM109+OFFSET('Couts fixes'!BM$10,0,-'Couts fixes'!$C$81)/(-Hypothèses!$B$67))</f>
        <v>32.4</v>
      </c>
      <c r="BN93" s="138">
        <f ca="1">0.3*(Hypothèses!$B50*BN109+OFFSET('Couts fixes'!BN$10,0,-'Couts fixes'!$C$81)/(-Hypothèses!$B$67))</f>
        <v>32.4</v>
      </c>
      <c r="BO93" s="138">
        <f ca="1">0.3*(Hypothèses!$B50*BO109+OFFSET('Couts fixes'!BO$10,0,-'Couts fixes'!$C$81)/(-Hypothèses!$B$67))</f>
        <v>32.4</v>
      </c>
      <c r="BP93" s="138">
        <f ca="1">0.3*(Hypothèses!$B50*BP109+OFFSET('Couts fixes'!BP$10,0,-'Couts fixes'!$C$81)/(-Hypothèses!$B$67))</f>
        <v>32.4</v>
      </c>
      <c r="BQ93" s="297">
        <f ca="1">0.3*(Hypothèses!$B50*BQ109+OFFSET('Couts fixes'!BQ$10,0,-'Couts fixes'!$C$81)/(-Hypothèses!$B$67))</f>
        <v>32.4</v>
      </c>
      <c r="BR93" s="296">
        <f ca="1">0.3*(Hypothèses!$B50*BR109+OFFSET('Couts fixes'!BR$10,0,-'Couts fixes'!$C$81)/(-Hypothèses!$B$67))</f>
        <v>32.4</v>
      </c>
      <c r="BS93" s="138">
        <f ca="1">0.3*(Hypothèses!$B50*BS109+OFFSET('Couts fixes'!BS$10,0,-'Couts fixes'!$C$81)/(-Hypothèses!$B$67))</f>
        <v>32.4</v>
      </c>
      <c r="BT93" s="138">
        <f ca="1">0.3*(Hypothèses!$B50*BT109+OFFSET('Couts fixes'!BT$10,0,-'Couts fixes'!$C$81)/(-Hypothèses!$B$67))</f>
        <v>32.4</v>
      </c>
      <c r="BU93" s="138">
        <f ca="1">0.3*(Hypothèses!$B50*BU109+OFFSET('Couts fixes'!BU$10,0,-'Couts fixes'!$C$81)/(-Hypothèses!$B$67))</f>
        <v>32.4</v>
      </c>
      <c r="BV93" s="138">
        <f ca="1">0.3*(Hypothèses!$B50*BV109+OFFSET('Couts fixes'!BV$10,0,-'Couts fixes'!$C$81)/(-Hypothèses!$B$67))</f>
        <v>32.4</v>
      </c>
      <c r="BW93" s="138">
        <f ca="1">0.3*(Hypothèses!$B50*BW109+OFFSET('Couts fixes'!BW$10,0,-'Couts fixes'!$C$81)/(-Hypothèses!$B$67))</f>
        <v>32.4</v>
      </c>
      <c r="BX93" s="138">
        <f ca="1">0.3*(Hypothèses!$B50*BX109+OFFSET('Couts fixes'!BX$10,0,-'Couts fixes'!$C$81)/(-Hypothèses!$B$67))</f>
        <v>64.490680100755668</v>
      </c>
      <c r="BY93" s="138">
        <f ca="1">0.3*(Hypothèses!$B50*BY109+OFFSET('Couts fixes'!BY$10,0,-'Couts fixes'!$C$81)/(-Hypothèses!$B$67))</f>
        <v>68.090680100755662</v>
      </c>
      <c r="BZ93" s="138">
        <f ca="1">0.3*(Hypothèses!$B50*BZ109+OFFSET('Couts fixes'!BZ$10,0,-'Couts fixes'!$C$81)/(-Hypothèses!$B$67))</f>
        <v>68.090680100755662</v>
      </c>
      <c r="CA93" s="138">
        <f ca="1">0.3*(Hypothèses!$B50*CA109+OFFSET('Couts fixes'!CA$10,0,-'Couts fixes'!$C$81)/(-Hypothèses!$B$67))</f>
        <v>68.090680100755662</v>
      </c>
      <c r="CB93" s="138">
        <f ca="1">0.3*(Hypothèses!$B50*CB109+OFFSET('Couts fixes'!CB$10,0,-'Couts fixes'!$C$81)/(-Hypothèses!$B$67))</f>
        <v>68.090680100755662</v>
      </c>
      <c r="CC93" s="297">
        <f ca="1">0.3*(Hypothèses!$B50*CC109+OFFSET('Couts fixes'!CC$10,0,-'Couts fixes'!$C$81)/(-Hypothèses!$B$67))</f>
        <v>68.090680100755662</v>
      </c>
      <c r="CD93" s="138"/>
    </row>
    <row r="94" spans="1:82" ht="14">
      <c r="A94" s="233" t="s">
        <v>84</v>
      </c>
      <c r="B94" s="62"/>
      <c r="C94" s="40">
        <f>Hypothèses!$B$50*C110*0.3</f>
        <v>0</v>
      </c>
      <c r="D94" s="11">
        <f>Hypothèses!$B$50*D110*0.3</f>
        <v>0</v>
      </c>
      <c r="E94" s="11">
        <f>Hypothèses!$B$50*E110*0.3</f>
        <v>0</v>
      </c>
      <c r="F94" s="11">
        <f>Hypothèses!$B$50*F110*0.3</f>
        <v>0</v>
      </c>
      <c r="G94" s="11">
        <f>Hypothèses!$B$50*G110*0.3</f>
        <v>0</v>
      </c>
      <c r="H94" s="11">
        <f>Hypothèses!$B$50*H110*0.3</f>
        <v>0</v>
      </c>
      <c r="I94" s="10">
        <f>Hypothèses!$B$50*I110*0.3</f>
        <v>0</v>
      </c>
      <c r="J94" s="288">
        <f ca="1">0.3*Hypothèses!$B$50*J$110+OFFSET('Couts fixes'!J$26,0,-'Couts fixes'!$C$81)/(-Hypothèses!$B$67)</f>
        <v>0</v>
      </c>
      <c r="K94" s="289">
        <f ca="1">0.3*Hypothèses!$B$50*K$110+OFFSET('Couts fixes'!K$26,0,-'Couts fixes'!$C$81)/(-Hypothèses!$B$67)</f>
        <v>0</v>
      </c>
      <c r="L94" s="289">
        <f ca="1">0.3*Hypothèses!$B$50*L$110+OFFSET('Couts fixes'!L$26,0,-'Couts fixes'!$C$81)/(-Hypothèses!$B$67)</f>
        <v>0</v>
      </c>
      <c r="M94" s="289">
        <f ca="1">0.3*Hypothèses!$B$50*M$110+OFFSET('Couts fixes'!M$26,0,-'Couts fixes'!$C$81)/(-Hypothèses!$B$67)</f>
        <v>0</v>
      </c>
      <c r="N94" s="289">
        <f ca="1">0.3*Hypothèses!$B$50*N$110+OFFSET('Couts fixes'!N$26,0,-'Couts fixes'!$C$81)/(-Hypothèses!$B$67)</f>
        <v>0</v>
      </c>
      <c r="O94" s="289">
        <f ca="1">0.3*Hypothèses!$B$50*O$110+OFFSET('Couts fixes'!O$26,0,-'Couts fixes'!$C$81)/(-Hypothèses!$B$67)</f>
        <v>0</v>
      </c>
      <c r="P94" s="289">
        <f ca="1">0.3*Hypothèses!$B$50*P$110+OFFSET('Couts fixes'!P$26,0,-'Couts fixes'!$C$81)/(-Hypothèses!$B$67)</f>
        <v>0</v>
      </c>
      <c r="Q94" s="289">
        <f ca="1">0.3*Hypothèses!$B$50*Q$110+OFFSET('Couts fixes'!Q$26,0,-'Couts fixes'!$C$81)/(-Hypothèses!$B$67)</f>
        <v>0</v>
      </c>
      <c r="R94" s="289">
        <f ca="1">0.3*Hypothèses!$B$50*R$110+OFFSET('Couts fixes'!R$26,0,-'Couts fixes'!$C$81)/(-Hypothèses!$B$67)</f>
        <v>0</v>
      </c>
      <c r="S94" s="289">
        <f ca="1">0.3*Hypothèses!$B$50*S$110+OFFSET('Couts fixes'!S$26,0,-'Couts fixes'!$C$81)/(-Hypothèses!$B$67)</f>
        <v>0</v>
      </c>
      <c r="T94" s="289">
        <f ca="1">0.3*Hypothèses!$B$50*T$110+OFFSET('Couts fixes'!T$26,0,-'Couts fixes'!$C$81)/(-Hypothèses!$B$67)</f>
        <v>0</v>
      </c>
      <c r="U94" s="290">
        <f ca="1">0.3*Hypothèses!$B$50*U$110+OFFSET('Couts fixes'!U$26,0,-'Couts fixes'!$C$81)/(-Hypothèses!$B$67)</f>
        <v>0</v>
      </c>
      <c r="V94" s="288">
        <f ca="1">0.3*Hypothèses!$B$50*V$110+OFFSET('Couts fixes'!V$26,0,-'Couts fixes'!$C$81)/(-Hypothèses!$B$67)</f>
        <v>0</v>
      </c>
      <c r="W94" s="289">
        <f ca="1">0.3*Hypothèses!$B$50*W$110+OFFSET('Couts fixes'!W$26,0,-'Couts fixes'!$C$81)/(-Hypothèses!$B$67)</f>
        <v>0</v>
      </c>
      <c r="X94" s="289">
        <f ca="1">0.3*Hypothèses!$B$50*X$110+OFFSET('Couts fixes'!X$26,0,-'Couts fixes'!$C$81)/(-Hypothèses!$B$67)</f>
        <v>0</v>
      </c>
      <c r="Y94" s="289">
        <f ca="1">0.3*Hypothèses!$B$50*Y$110+OFFSET('Couts fixes'!Y$26,0,-'Couts fixes'!$C$81)/(-Hypothèses!$B$67)</f>
        <v>0</v>
      </c>
      <c r="Z94" s="289">
        <f ca="1">0.3*Hypothèses!$B$50*Z$110+OFFSET('Couts fixes'!Z$26,0,-'Couts fixes'!$C$81)/(-Hypothèses!$B$67)</f>
        <v>0</v>
      </c>
      <c r="AA94" s="289">
        <f ca="1">0.3*Hypothèses!$B$50*AA$110+OFFSET('Couts fixes'!AA$26,0,-'Couts fixes'!$C$81)/(-Hypothèses!$B$67)</f>
        <v>0</v>
      </c>
      <c r="AB94" s="289">
        <f ca="1">0.3*Hypothèses!$B$50*AB$110+OFFSET('Couts fixes'!AB$26,0,-'Couts fixes'!$C$81)/(-Hypothèses!$B$67)</f>
        <v>0</v>
      </c>
      <c r="AC94" s="289">
        <f ca="1">0.3*Hypothèses!$B$50*AC$110+OFFSET('Couts fixes'!AC$26,0,-'Couts fixes'!$C$81)/(-Hypothèses!$B$67)</f>
        <v>0</v>
      </c>
      <c r="AD94" s="289">
        <f ca="1">0.3*Hypothèses!$B$50*AD$110+OFFSET('Couts fixes'!AD$26,0,-'Couts fixes'!$C$81)/(-Hypothèses!$B$67)</f>
        <v>0</v>
      </c>
      <c r="AE94" s="289">
        <f ca="1">0.3*Hypothèses!$B$50*AE$110+OFFSET('Couts fixes'!AE$26,0,-'Couts fixes'!$C$81)/(-Hypothèses!$B$67)</f>
        <v>0</v>
      </c>
      <c r="AF94" s="289">
        <f ca="1">0.3*Hypothèses!$B$50*AF$110+OFFSET('Couts fixes'!AF$26,0,-'Couts fixes'!$C$81)/(-Hypothèses!$B$67)</f>
        <v>0</v>
      </c>
      <c r="AG94" s="290">
        <f ca="1">0.3*Hypothèses!$B$50*AG$110+OFFSET('Couts fixes'!AG$26,0,-'Couts fixes'!$C$81)/(-Hypothèses!$B$67)</f>
        <v>0</v>
      </c>
      <c r="AH94" s="288">
        <f ca="1">0.3*Hypothèses!$B$50*AH$110+OFFSET('Couts fixes'!AH$26,0,-'Couts fixes'!$C$81)/(-Hypothèses!$B$67)</f>
        <v>0</v>
      </c>
      <c r="AI94" s="289">
        <f ca="1">0.3*Hypothèses!$B$50*AI$110+OFFSET('Couts fixes'!AI$26,0,-'Couts fixes'!$C$81)/(-Hypothèses!$B$67)</f>
        <v>0</v>
      </c>
      <c r="AJ94" s="289">
        <f ca="1">0.3*Hypothèses!$B$50*AJ$110+OFFSET('Couts fixes'!AJ$26,0,-'Couts fixes'!$C$81)/(-Hypothèses!$B$67)</f>
        <v>0</v>
      </c>
      <c r="AK94" s="289">
        <f ca="1">0.3*Hypothèses!$B$50*AK$110+OFFSET('Couts fixes'!AK$26,0,-'Couts fixes'!$C$81)/(-Hypothèses!$B$67)</f>
        <v>0</v>
      </c>
      <c r="AL94" s="289">
        <f ca="1">0.3*Hypothèses!$B$50*AL$110+OFFSET('Couts fixes'!AL$26,0,-'Couts fixes'!$C$81)/(-Hypothèses!$B$67)</f>
        <v>0</v>
      </c>
      <c r="AM94" s="289">
        <f ca="1">0.3*Hypothèses!$B$50*AM$110+OFFSET('Couts fixes'!AM$26,0,-'Couts fixes'!$C$81)/(-Hypothèses!$B$67)</f>
        <v>0</v>
      </c>
      <c r="AN94" s="289">
        <f ca="1">0.3*Hypothèses!$B$50*AN$110+OFFSET('Couts fixes'!AN$26,0,-'Couts fixes'!$C$81)/(-Hypothèses!$B$67)</f>
        <v>0</v>
      </c>
      <c r="AO94" s="289">
        <f ca="1">0.3*Hypothèses!$B$50*AO$110+OFFSET('Couts fixes'!AO$26,0,-'Couts fixes'!$C$81)/(-Hypothèses!$B$67)</f>
        <v>0</v>
      </c>
      <c r="AP94" s="289">
        <f ca="1">0.3*Hypothèses!$B$50*AP$110+OFFSET('Couts fixes'!AP$26,0,-'Couts fixes'!$C$81)/(-Hypothèses!$B$67)</f>
        <v>0</v>
      </c>
      <c r="AQ94" s="289">
        <f ca="1">0.3*Hypothèses!$B$50*AQ$110+OFFSET('Couts fixes'!AQ$26,0,-'Couts fixes'!$C$81)/(-Hypothèses!$B$67)</f>
        <v>0</v>
      </c>
      <c r="AR94" s="289">
        <f ca="1">0.3*Hypothèses!$B$50*AR$110+OFFSET('Couts fixes'!AR$26,0,-'Couts fixes'!$C$81)/(-Hypothèses!$B$67)</f>
        <v>0</v>
      </c>
      <c r="AS94" s="290">
        <f ca="1">0.3*Hypothèses!$B$50*AS$110+OFFSET('Couts fixes'!AS$26,0,-'Couts fixes'!$C$81)/(-Hypothèses!$B$67)</f>
        <v>0</v>
      </c>
      <c r="AT94" s="288">
        <f ca="1">0.3*Hypothèses!$B$50*AT$110+OFFSET('Couts fixes'!AT$26,0,-'Couts fixes'!$C$81)/(-Hypothèses!$B$67)</f>
        <v>0</v>
      </c>
      <c r="AU94" s="289">
        <f ca="1">0.3*Hypothèses!$B$50*AU$110+OFFSET('Couts fixes'!AU$26,0,-'Couts fixes'!$C$81)/(-Hypothèses!$B$67)</f>
        <v>0</v>
      </c>
      <c r="AV94" s="289">
        <f ca="1">0.3*Hypothèses!$B$50*AV$110+OFFSET('Couts fixes'!AV$26,0,-'Couts fixes'!$C$81)/(-Hypothèses!$B$67)</f>
        <v>0</v>
      </c>
      <c r="AW94" s="289">
        <f ca="1">0.3*Hypothèses!$B$50*AW$110+OFFSET('Couts fixes'!AW$26,0,-'Couts fixes'!$C$81)/(-Hypothèses!$B$67)</f>
        <v>0</v>
      </c>
      <c r="AX94" s="289">
        <f ca="1">0.3*Hypothèses!$B$50*AX$110+OFFSET('Couts fixes'!AX$26,0,-'Couts fixes'!$C$81)/(-Hypothèses!$B$67)</f>
        <v>0</v>
      </c>
      <c r="AY94" s="289">
        <f ca="1">0.3*Hypothèses!$B$50*AY$110+OFFSET('Couts fixes'!AY$26,0,-'Couts fixes'!$C$81)/(-Hypothèses!$B$67)</f>
        <v>0</v>
      </c>
      <c r="AZ94" s="289">
        <f ca="1">0.3*Hypothèses!$B$50*AZ$110+OFFSET('Couts fixes'!AZ$26,0,-'Couts fixes'!$C$81)/(-Hypothèses!$B$67)</f>
        <v>0</v>
      </c>
      <c r="BA94" s="289">
        <f ca="1">0.3*Hypothèses!$B$50*BA$110+OFFSET('Couts fixes'!BA$26,0,-'Couts fixes'!$C$81)/(-Hypothèses!$B$67)</f>
        <v>0</v>
      </c>
      <c r="BB94" s="289">
        <f ca="1">0.3*Hypothèses!$B$50*BB$110+OFFSET('Couts fixes'!BB$26,0,-'Couts fixes'!$C$81)/(-Hypothèses!$B$67)</f>
        <v>0</v>
      </c>
      <c r="BC94" s="289">
        <f ca="1">0.3*Hypothèses!$B$50*BC$110+OFFSET('Couts fixes'!BC$26,0,-'Couts fixes'!$C$81)/(-Hypothèses!$B$67)</f>
        <v>0</v>
      </c>
      <c r="BD94" s="289">
        <f ca="1">0.3*Hypothèses!$B$50*BD$110+OFFSET('Couts fixes'!BD$26,0,-'Couts fixes'!$C$81)/(-Hypothèses!$B$67)</f>
        <v>0</v>
      </c>
      <c r="BE94" s="290">
        <f ca="1">0.3*Hypothèses!$B$50*BE$110+OFFSET('Couts fixes'!BE$26,0,-'Couts fixes'!$C$81)/(-Hypothèses!$B$67)</f>
        <v>0</v>
      </c>
      <c r="BF94" s="288">
        <f ca="1">0.3*Hypothèses!$B$50*BF$110+OFFSET('Couts fixes'!BF$26,0,-'Couts fixes'!$C$81)/(-Hypothèses!$B$67)</f>
        <v>0</v>
      </c>
      <c r="BG94" s="289">
        <f ca="1">0.3*Hypothèses!$B$50*BG$110+OFFSET('Couts fixes'!BG$26,0,-'Couts fixes'!$C$81)/(-Hypothèses!$B$67)</f>
        <v>3.5999999999999996</v>
      </c>
      <c r="BH94" s="289">
        <f ca="1">0.3*Hypothèses!$B$50*BH$110+OFFSET('Couts fixes'!BH$26,0,-'Couts fixes'!$C$81)/(-Hypothèses!$B$67)</f>
        <v>3.5999999999999996</v>
      </c>
      <c r="BI94" s="289">
        <f ca="1">0.3*Hypothèses!$B$50*BI$110+OFFSET('Couts fixes'!BI$26,0,-'Couts fixes'!$C$81)/(-Hypothèses!$B$67)</f>
        <v>3.5999999999999996</v>
      </c>
      <c r="BJ94" s="289">
        <f ca="1">0.3*Hypothèses!$B$50*BJ$110+OFFSET('Couts fixes'!BJ$26,0,-'Couts fixes'!$C$81)/(-Hypothèses!$B$67)</f>
        <v>3.5999999999999996</v>
      </c>
      <c r="BK94" s="289">
        <f ca="1">0.3*Hypothèses!$B$50*BK$110+OFFSET('Couts fixes'!BK$26,0,-'Couts fixes'!$C$81)/(-Hypothèses!$B$67)</f>
        <v>3.5999999999999996</v>
      </c>
      <c r="BL94" s="289">
        <f ca="1">0.3*Hypothèses!$B$50*BL$110+OFFSET('Couts fixes'!BL$26,0,-'Couts fixes'!$C$81)/(-Hypothèses!$B$67)</f>
        <v>77.809697732997478</v>
      </c>
      <c r="BM94" s="289">
        <f ca="1">0.3*Hypothèses!$B$50*BM$110+OFFSET('Couts fixes'!BM$26,0,-'Couts fixes'!$C$81)/(-Hypothèses!$B$67)</f>
        <v>77.809697732997478</v>
      </c>
      <c r="BN94" s="289">
        <f ca="1">0.3*Hypothèses!$B$50*BN$110+OFFSET('Couts fixes'!BN$26,0,-'Couts fixes'!$C$81)/(-Hypothèses!$B$67)</f>
        <v>77.809697732997478</v>
      </c>
      <c r="BO94" s="289">
        <f ca="1">0.3*Hypothèses!$B$50*BO$110+OFFSET('Couts fixes'!BO$26,0,-'Couts fixes'!$C$81)/(-Hypothèses!$B$67)</f>
        <v>77.809697732997478</v>
      </c>
      <c r="BP94" s="289">
        <f ca="1">0.3*Hypothèses!$B$50*BP$110+OFFSET('Couts fixes'!BP$26,0,-'Couts fixes'!$C$81)/(-Hypothèses!$B$67)</f>
        <v>77.809697732997478</v>
      </c>
      <c r="BQ94" s="290">
        <f ca="1">0.3*Hypothèses!$B$50*BQ$110+OFFSET('Couts fixes'!BQ$26,0,-'Couts fixes'!$C$81)/(-Hypothèses!$B$67)</f>
        <v>77.809697732997478</v>
      </c>
      <c r="BR94" s="288">
        <f ca="1">0.3*Hypothèses!$B$50*BR$110+OFFSET('Couts fixes'!BR$26,0,-'Couts fixes'!$C$81)/(-Hypothèses!$B$67)</f>
        <v>81.409697732997486</v>
      </c>
      <c r="BS94" s="289">
        <f ca="1">0.3*Hypothèses!$B$50*BS$110+OFFSET('Couts fixes'!BS$26,0,-'Couts fixes'!$C$81)/(-Hypothèses!$B$67)</f>
        <v>81.409697732997486</v>
      </c>
      <c r="BT94" s="289">
        <f ca="1">0.3*Hypothèses!$B$50*BT$110+OFFSET('Couts fixes'!BT$26,0,-'Couts fixes'!$C$81)/(-Hypothèses!$B$67)</f>
        <v>81.409697732997486</v>
      </c>
      <c r="BU94" s="289">
        <f ca="1">0.3*Hypothèses!$B$50*BU$110+OFFSET('Couts fixes'!BU$26,0,-'Couts fixes'!$C$81)/(-Hypothèses!$B$67)</f>
        <v>81.409697732997486</v>
      </c>
      <c r="BV94" s="289">
        <f ca="1">0.3*Hypothèses!$B$50*BV$110+OFFSET('Couts fixes'!BV$26,0,-'Couts fixes'!$C$81)/(-Hypothèses!$B$67)</f>
        <v>81.409697732997486</v>
      </c>
      <c r="BW94" s="289">
        <f ca="1">0.3*Hypothèses!$B$50*BW$110+OFFSET('Couts fixes'!BW$26,0,-'Couts fixes'!$C$81)/(-Hypothèses!$B$67)</f>
        <v>88.609697732997489</v>
      </c>
      <c r="BX94" s="289">
        <f ca="1">0.3*Hypothèses!$B$50*BX$110+OFFSET('Couts fixes'!BX$26,0,-'Couts fixes'!$C$81)/(-Hypothèses!$B$67)</f>
        <v>121.36893366918557</v>
      </c>
      <c r="BY94" s="289">
        <f ca="1">0.3*Hypothèses!$B$50*BY$110+OFFSET('Couts fixes'!BY$26,0,-'Couts fixes'!$C$81)/(-Hypothèses!$B$67)</f>
        <v>121.36893366918557</v>
      </c>
      <c r="BZ94" s="289">
        <f ca="1">0.3*Hypothèses!$B$50*BZ$110+OFFSET('Couts fixes'!BZ$26,0,-'Couts fixes'!$C$81)/(-Hypothèses!$B$67)</f>
        <v>121.36893366918557</v>
      </c>
      <c r="CA94" s="289">
        <f ca="1">0.3*Hypothèses!$B$50*CA$110+OFFSET('Couts fixes'!CA$26,0,-'Couts fixes'!$C$81)/(-Hypothèses!$B$67)</f>
        <v>128.56893366918558</v>
      </c>
      <c r="CB94" s="289">
        <f ca="1">0.3*Hypothèses!$B$50*CB$110+OFFSET('Couts fixes'!CB$26,0,-'Couts fixes'!$C$81)/(-Hypothèses!$B$67)</f>
        <v>128.56893366918558</v>
      </c>
      <c r="CC94" s="290">
        <f ca="1">0.3*Hypothèses!$B$50*CC$110+OFFSET('Couts fixes'!CC$26,0,-'Couts fixes'!$C$81)/(-Hypothèses!$B$67)</f>
        <v>128.56893366918558</v>
      </c>
    </row>
    <row r="95" spans="1:82" ht="14">
      <c r="A95" s="233" t="s">
        <v>85</v>
      </c>
      <c r="B95" s="62"/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293">
        <f ca="1">0.3*Hypothèses!$B$50*J111+OFFSET('Couts fixes'!J$41,0,-'Couts fixes'!$C$81)/(-Hypothèses!$B$67)</f>
        <v>0</v>
      </c>
      <c r="K95" s="294">
        <f ca="1">0.3*Hypothèses!$B$50*K111+OFFSET('Couts fixes'!K$41,0,-'Couts fixes'!$C$81)/(-Hypothèses!$B$67)</f>
        <v>0</v>
      </c>
      <c r="L95" s="294">
        <f ca="1">0.3*Hypothèses!$B$50*L111+OFFSET('Couts fixes'!L$41,0,-'Couts fixes'!$C$81)/(-Hypothèses!$B$67)</f>
        <v>0</v>
      </c>
      <c r="M95" s="294">
        <f ca="1">0.3*Hypothèses!$B$50*M111+OFFSET('Couts fixes'!M$41,0,-'Couts fixes'!$C$81)/(-Hypothèses!$B$67)</f>
        <v>0</v>
      </c>
      <c r="N95" s="294">
        <f ca="1">0.3*Hypothèses!$B$50*N111+OFFSET('Couts fixes'!N$41,0,-'Couts fixes'!$C$81)/(-Hypothèses!$B$67)</f>
        <v>0</v>
      </c>
      <c r="O95" s="294">
        <f ca="1">0.3*Hypothèses!$B$50*O111+OFFSET('Couts fixes'!O$41,0,-'Couts fixes'!$C$81)/(-Hypothèses!$B$67)</f>
        <v>0</v>
      </c>
      <c r="P95" s="294">
        <f ca="1">0.3*Hypothèses!$B$50*P111+OFFSET('Couts fixes'!P$41,0,-'Couts fixes'!$C$81)/(-Hypothèses!$B$67)</f>
        <v>0</v>
      </c>
      <c r="Q95" s="294">
        <f ca="1">0.3*Hypothèses!$B$50*Q111+OFFSET('Couts fixes'!Q$41,0,-'Couts fixes'!$C$81)/(-Hypothèses!$B$67)</f>
        <v>0</v>
      </c>
      <c r="R95" s="294">
        <f ca="1">0.3*Hypothèses!$B$50*R111+OFFSET('Couts fixes'!R$41,0,-'Couts fixes'!$C$81)/(-Hypothèses!$B$67)</f>
        <v>0</v>
      </c>
      <c r="S95" s="294">
        <f ca="1">0.3*Hypothèses!$B$50*S111+OFFSET('Couts fixes'!S$41,0,-'Couts fixes'!$C$81)/(-Hypothèses!$B$67)</f>
        <v>0</v>
      </c>
      <c r="T95" s="294">
        <f ca="1">0.3*Hypothèses!$B$50*T111+OFFSET('Couts fixes'!T$41,0,-'Couts fixes'!$C$81)/(-Hypothèses!$B$67)</f>
        <v>0</v>
      </c>
      <c r="U95" s="295">
        <f ca="1">0.3*Hypothèses!$B$50*U111+OFFSET('Couts fixes'!U$41,0,-'Couts fixes'!$C$81)/(-Hypothèses!$B$67)</f>
        <v>0</v>
      </c>
      <c r="V95" s="293">
        <f ca="1">0.3*Hypothèses!$B$50*V111+OFFSET('Couts fixes'!V$41,0,-'Couts fixes'!$C$81)/(-Hypothèses!$B$67)</f>
        <v>0</v>
      </c>
      <c r="W95" s="294">
        <f ca="1">0.3*Hypothèses!$B$50*W111+OFFSET('Couts fixes'!W$41,0,-'Couts fixes'!$C$81)/(-Hypothèses!$B$67)</f>
        <v>0</v>
      </c>
      <c r="X95" s="294">
        <f ca="1">0.3*Hypothèses!$B$50*X111+OFFSET('Couts fixes'!X$41,0,-'Couts fixes'!$C$81)/(-Hypothèses!$B$67)</f>
        <v>0</v>
      </c>
      <c r="Y95" s="294">
        <f ca="1">0.3*Hypothèses!$B$50*Y111+OFFSET('Couts fixes'!Y$41,0,-'Couts fixes'!$C$81)/(-Hypothèses!$B$67)</f>
        <v>0</v>
      </c>
      <c r="Z95" s="294">
        <f ca="1">0.3*Hypothèses!$B$50*Z111+OFFSET('Couts fixes'!Z$41,0,-'Couts fixes'!$C$81)/(-Hypothèses!$B$67)</f>
        <v>0</v>
      </c>
      <c r="AA95" s="294">
        <f ca="1">0.3*Hypothèses!$B$50*AA111+OFFSET('Couts fixes'!AA$41,0,-'Couts fixes'!$C$81)/(-Hypothèses!$B$67)</f>
        <v>0</v>
      </c>
      <c r="AB95" s="294">
        <f ca="1">0.3*Hypothèses!$B$50*AB111+OFFSET('Couts fixes'!AB$41,0,-'Couts fixes'!$C$81)/(-Hypothèses!$B$67)</f>
        <v>0</v>
      </c>
      <c r="AC95" s="294">
        <f ca="1">0.3*Hypothèses!$B$50*AC111+OFFSET('Couts fixes'!AC$41,0,-'Couts fixes'!$C$81)/(-Hypothèses!$B$67)</f>
        <v>0</v>
      </c>
      <c r="AD95" s="294">
        <f ca="1">0.3*Hypothèses!$B$50*AD111+OFFSET('Couts fixes'!AD$41,0,-'Couts fixes'!$C$81)/(-Hypothèses!$B$67)</f>
        <v>0</v>
      </c>
      <c r="AE95" s="294">
        <f ca="1">0.3*Hypothèses!$B$50*AE111+OFFSET('Couts fixes'!AE$41,0,-'Couts fixes'!$C$81)/(-Hypothèses!$B$67)</f>
        <v>0</v>
      </c>
      <c r="AF95" s="294">
        <f ca="1">0.3*Hypothèses!$B$50*AF111+OFFSET('Couts fixes'!AF$41,0,-'Couts fixes'!$C$81)/(-Hypothèses!$B$67)</f>
        <v>0</v>
      </c>
      <c r="AG95" s="295">
        <f ca="1">0.3*Hypothèses!$B$50*AG111+OFFSET('Couts fixes'!AG$41,0,-'Couts fixes'!$C$81)/(-Hypothèses!$B$67)</f>
        <v>0</v>
      </c>
      <c r="AH95" s="293">
        <f ca="1">0.3*Hypothèses!$B$50*AH111+OFFSET('Couts fixes'!AH$41,0,-'Couts fixes'!$C$81)/(-Hypothèses!$B$67)</f>
        <v>0</v>
      </c>
      <c r="AI95" s="294">
        <f ca="1">0.3*Hypothèses!$B$50*AI111+OFFSET('Couts fixes'!AI$41,0,-'Couts fixes'!$C$81)/(-Hypothèses!$B$67)</f>
        <v>0</v>
      </c>
      <c r="AJ95" s="294">
        <f ca="1">0.3*Hypothèses!$B$50*AJ111+OFFSET('Couts fixes'!AJ$41,0,-'Couts fixes'!$C$81)/(-Hypothèses!$B$67)</f>
        <v>0</v>
      </c>
      <c r="AK95" s="294">
        <f ca="1">0.3*Hypothèses!$B$50*AK111+OFFSET('Couts fixes'!AK$41,0,-'Couts fixes'!$C$81)/(-Hypothèses!$B$67)</f>
        <v>0</v>
      </c>
      <c r="AL95" s="294">
        <f ca="1">0.3*Hypothèses!$B$50*AL111+OFFSET('Couts fixes'!AL$41,0,-'Couts fixes'!$C$81)/(-Hypothèses!$B$67)</f>
        <v>0</v>
      </c>
      <c r="AM95" s="294">
        <f ca="1">0.3*Hypothèses!$B$50*AM111+OFFSET('Couts fixes'!AM$41,0,-'Couts fixes'!$C$81)/(-Hypothèses!$B$67)</f>
        <v>0</v>
      </c>
      <c r="AN95" s="294">
        <f ca="1">0.3*Hypothèses!$B$50*AN111+OFFSET('Couts fixes'!AN$41,0,-'Couts fixes'!$C$81)/(-Hypothèses!$B$67)</f>
        <v>0</v>
      </c>
      <c r="AO95" s="294">
        <f ca="1">0.3*Hypothèses!$B$50*AO111+OFFSET('Couts fixes'!AO$41,0,-'Couts fixes'!$C$81)/(-Hypothèses!$B$67)</f>
        <v>0</v>
      </c>
      <c r="AP95" s="294">
        <f ca="1">0.3*Hypothèses!$B$50*AP111+OFFSET('Couts fixes'!AP$41,0,-'Couts fixes'!$C$81)/(-Hypothèses!$B$67)</f>
        <v>0</v>
      </c>
      <c r="AQ95" s="294">
        <f ca="1">0.3*Hypothèses!$B$50*AQ111+OFFSET('Couts fixes'!AQ$41,0,-'Couts fixes'!$C$81)/(-Hypothèses!$B$67)</f>
        <v>0</v>
      </c>
      <c r="AR95" s="294">
        <f ca="1">0.3*Hypothèses!$B$50*AR111+OFFSET('Couts fixes'!AR$41,0,-'Couts fixes'!$C$81)/(-Hypothèses!$B$67)</f>
        <v>0</v>
      </c>
      <c r="AS95" s="295">
        <f ca="1">0.3*Hypothèses!$B$50*AS111+OFFSET('Couts fixes'!AS$41,0,-'Couts fixes'!$C$81)/(-Hypothèses!$B$67)</f>
        <v>0</v>
      </c>
      <c r="AT95" s="293">
        <f ca="1">0.3*Hypothèses!$B$50*AT111+OFFSET('Couts fixes'!AT$41,0,-'Couts fixes'!$C$81)/(-Hypothèses!$B$67)</f>
        <v>0</v>
      </c>
      <c r="AU95" s="294">
        <f ca="1">0.3*Hypothèses!$B$50*AU111+OFFSET('Couts fixes'!AU$41,0,-'Couts fixes'!$C$81)/(-Hypothèses!$B$67)</f>
        <v>0</v>
      </c>
      <c r="AV95" s="294">
        <f ca="1">0.3*Hypothèses!$B$50*AV111+OFFSET('Couts fixes'!AV$41,0,-'Couts fixes'!$C$81)/(-Hypothèses!$B$67)</f>
        <v>0</v>
      </c>
      <c r="AW95" s="294">
        <f ca="1">0.3*Hypothèses!$B$50*AW111+OFFSET('Couts fixes'!AW$41,0,-'Couts fixes'!$C$81)/(-Hypothèses!$B$67)</f>
        <v>0</v>
      </c>
      <c r="AX95" s="294">
        <f ca="1">0.3*Hypothèses!$B$50*AX111+OFFSET('Couts fixes'!AX$41,0,-'Couts fixes'!$C$81)/(-Hypothèses!$B$67)</f>
        <v>0</v>
      </c>
      <c r="AY95" s="294">
        <f ca="1">0.3*Hypothèses!$B$50*AY111+OFFSET('Couts fixes'!AY$41,0,-'Couts fixes'!$C$81)/(-Hypothèses!$B$67)</f>
        <v>0</v>
      </c>
      <c r="AZ95" s="294">
        <f ca="1">0.3*Hypothèses!$B$50*AZ111+OFFSET('Couts fixes'!AZ$41,0,-'Couts fixes'!$C$81)/(-Hypothèses!$B$67)</f>
        <v>0</v>
      </c>
      <c r="BA95" s="294">
        <f ca="1">0.3*Hypothèses!$B$50*BA111+OFFSET('Couts fixes'!BA$41,0,-'Couts fixes'!$C$81)/(-Hypothèses!$B$67)</f>
        <v>0</v>
      </c>
      <c r="BB95" s="294">
        <f ca="1">0.3*Hypothèses!$B$50*BB111+OFFSET('Couts fixes'!BB$41,0,-'Couts fixes'!$C$81)/(-Hypothèses!$B$67)</f>
        <v>0</v>
      </c>
      <c r="BC95" s="294">
        <f ca="1">0.3*Hypothèses!$B$50*BC111+OFFSET('Couts fixes'!BC$41,0,-'Couts fixes'!$C$81)/(-Hypothèses!$B$67)</f>
        <v>0</v>
      </c>
      <c r="BD95" s="294">
        <f ca="1">0.3*Hypothèses!$B$50*BD111+OFFSET('Couts fixes'!BD$41,0,-'Couts fixes'!$C$81)/(-Hypothèses!$B$67)</f>
        <v>0</v>
      </c>
      <c r="BE95" s="295">
        <f ca="1">0.3*Hypothèses!$B$50*BE111+OFFSET('Couts fixes'!BE$41,0,-'Couts fixes'!$C$81)/(-Hypothèses!$B$67)</f>
        <v>0</v>
      </c>
      <c r="BF95" s="293">
        <f ca="1">0.3*Hypothèses!$B$50*BF111+OFFSET('Couts fixes'!BF$41,0,-'Couts fixes'!$C$81)/(-Hypothèses!$B$67)</f>
        <v>0</v>
      </c>
      <c r="BG95" s="294">
        <f ca="1">0.3*Hypothèses!$B$50*BG111+OFFSET('Couts fixes'!BG$41,0,-'Couts fixes'!$C$81)/(-Hypothèses!$B$67)</f>
        <v>0</v>
      </c>
      <c r="BH95" s="294">
        <f ca="1">0.3*Hypothèses!$B$50*BH111+OFFSET('Couts fixes'!BH$41,0,-'Couts fixes'!$C$81)/(-Hypothèses!$B$67)</f>
        <v>0</v>
      </c>
      <c r="BI95" s="294">
        <f ca="1">0.3*Hypothèses!$B$50*BI111+OFFSET('Couts fixes'!BI$41,0,-'Couts fixes'!$C$81)/(-Hypothèses!$B$67)</f>
        <v>0</v>
      </c>
      <c r="BJ95" s="294">
        <f ca="1">0.3*Hypothèses!$B$50*BJ111+OFFSET('Couts fixes'!BJ$41,0,-'Couts fixes'!$C$81)/(-Hypothèses!$B$67)</f>
        <v>0</v>
      </c>
      <c r="BK95" s="294">
        <f ca="1">0.3*Hypothèses!$B$50*BK111+OFFSET('Couts fixes'!BK$41,0,-'Couts fixes'!$C$81)/(-Hypothèses!$B$67)</f>
        <v>0</v>
      </c>
      <c r="BL95" s="294">
        <f ca="1">0.3*Hypothèses!$B$50*BL111+OFFSET('Couts fixes'!BL$41,0,-'Couts fixes'!$C$81)/(-Hypothèses!$B$67)</f>
        <v>0</v>
      </c>
      <c r="BM95" s="294">
        <f ca="1">0.3*Hypothèses!$B$50*BM111+OFFSET('Couts fixes'!BM$41,0,-'Couts fixes'!$C$81)/(-Hypothèses!$B$67)</f>
        <v>0</v>
      </c>
      <c r="BN95" s="294">
        <f ca="1">0.3*Hypothèses!$B$50*BN111+OFFSET('Couts fixes'!BN$41,0,-'Couts fixes'!$C$81)/(-Hypothèses!$B$67)</f>
        <v>0</v>
      </c>
      <c r="BO95" s="294">
        <f ca="1">0.3*Hypothèses!$B$50*BO111+OFFSET('Couts fixes'!BO$41,0,-'Couts fixes'!$C$81)/(-Hypothèses!$B$67)</f>
        <v>0</v>
      </c>
      <c r="BP95" s="294">
        <f ca="1">0.3*Hypothèses!$B$50*BP111+OFFSET('Couts fixes'!BP$41,0,-'Couts fixes'!$C$81)/(-Hypothèses!$B$67)</f>
        <v>0</v>
      </c>
      <c r="BQ95" s="295">
        <f ca="1">0.3*Hypothèses!$B$50*BQ111+OFFSET('Couts fixes'!BQ$41,0,-'Couts fixes'!$C$81)/(-Hypothèses!$B$67)</f>
        <v>0</v>
      </c>
      <c r="BR95" s="293">
        <f ca="1">0.3*Hypothèses!$B$50*BR111+OFFSET('Couts fixes'!BR$41,0,-'Couts fixes'!$C$81)/(-Hypothèses!$B$67)</f>
        <v>0</v>
      </c>
      <c r="BS95" s="294">
        <f ca="1">0.3*Hypothèses!$B$50*BS111+OFFSET('Couts fixes'!BS$41,0,-'Couts fixes'!$C$81)/(-Hypothèses!$B$67)</f>
        <v>0</v>
      </c>
      <c r="BT95" s="294">
        <f ca="1">0.3*Hypothèses!$B$50*BT111+OFFSET('Couts fixes'!BT$41,0,-'Couts fixes'!$C$81)/(-Hypothèses!$B$67)</f>
        <v>3.5999999999999996</v>
      </c>
      <c r="BU95" s="294">
        <f ca="1">0.3*Hypothèses!$B$50*BU111+OFFSET('Couts fixes'!BU$41,0,-'Couts fixes'!$C$81)/(-Hypothèses!$B$67)</f>
        <v>3.5999999999999996</v>
      </c>
      <c r="BV95" s="294">
        <f ca="1">0.3*Hypothèses!$B$50*BV111+OFFSET('Couts fixes'!BV$41,0,-'Couts fixes'!$C$81)/(-Hypothèses!$B$67)</f>
        <v>3.5999999999999996</v>
      </c>
      <c r="BW95" s="294">
        <f ca="1">0.3*Hypothèses!$B$50*BW111+OFFSET('Couts fixes'!BW$41,0,-'Couts fixes'!$C$81)/(-Hypothèses!$B$67)</f>
        <v>7.1999999999999993</v>
      </c>
      <c r="BX95" s="294">
        <f ca="1">0.3*Hypothèses!$B$50*BX111+OFFSET('Couts fixes'!BX$41,0,-'Couts fixes'!$C$81)/(-Hypothèses!$B$67)</f>
        <v>130.51140964642224</v>
      </c>
      <c r="BY95" s="294">
        <f ca="1">0.3*Hypothèses!$B$50*BY111+OFFSET('Couts fixes'!BY$41,0,-'Couts fixes'!$C$81)/(-Hypothèses!$B$67)</f>
        <v>130.51140964642224</v>
      </c>
      <c r="BZ95" s="294">
        <f ca="1">0.3*Hypothèses!$B$50*BZ111+OFFSET('Couts fixes'!BZ$41,0,-'Couts fixes'!$C$81)/(-Hypothèses!$B$67)</f>
        <v>130.51140964642224</v>
      </c>
      <c r="CA95" s="294">
        <f ca="1">0.3*Hypothèses!$B$50*CA111+OFFSET('Couts fixes'!CA$41,0,-'Couts fixes'!$C$81)/(-Hypothèses!$B$67)</f>
        <v>130.51140964642224</v>
      </c>
      <c r="CB95" s="294">
        <f ca="1">0.3*Hypothèses!$B$50*CB111+OFFSET('Couts fixes'!CB$41,0,-'Couts fixes'!$C$81)/(-Hypothèses!$B$67)</f>
        <v>130.51140964642224</v>
      </c>
      <c r="CC95" s="295">
        <f ca="1">0.3*Hypothèses!$B$50*CC111+OFFSET('Couts fixes'!CC$41,0,-'Couts fixes'!$C$81)/(-Hypothèses!$B$67)</f>
        <v>130.51140964642224</v>
      </c>
    </row>
    <row r="96" spans="1:82" ht="14">
      <c r="A96" s="233" t="s">
        <v>86</v>
      </c>
      <c r="B96" s="62"/>
      <c r="C96" s="40"/>
      <c r="I96" s="10"/>
      <c r="J96" s="293">
        <f ca="1">0.3*Hypothèses!$B$50*J112+OFFSET('Couts fixes'!J$56,0,-'Couts fixes'!$C$81)/(-Hypothèses!$B$67)</f>
        <v>0</v>
      </c>
      <c r="K96" s="294">
        <f ca="1">0.3*Hypothèses!$B$50*K112+OFFSET('Couts fixes'!K$56,0,-'Couts fixes'!$C$81)/(-Hypothèses!$B$67)</f>
        <v>0</v>
      </c>
      <c r="L96" s="294">
        <f ca="1">0.3*Hypothèses!$B$50*L112+OFFSET('Couts fixes'!L$56,0,-'Couts fixes'!$C$81)/(-Hypothèses!$B$67)</f>
        <v>0</v>
      </c>
      <c r="M96" s="294">
        <f ca="1">0.3*Hypothèses!$B$50*M112+OFFSET('Couts fixes'!M$56,0,-'Couts fixes'!$C$81)/(-Hypothèses!$B$67)</f>
        <v>0</v>
      </c>
      <c r="N96" s="294">
        <f ca="1">0.3*Hypothèses!$B$50*N112+OFFSET('Couts fixes'!N$56,0,-'Couts fixes'!$C$81)/(-Hypothèses!$B$67)</f>
        <v>0</v>
      </c>
      <c r="O96" s="294">
        <f ca="1">0.3*Hypothèses!$B$50*O112+OFFSET('Couts fixes'!O$56,0,-'Couts fixes'!$C$81)/(-Hypothèses!$B$67)</f>
        <v>0</v>
      </c>
      <c r="P96" s="294">
        <f ca="1">0.3*Hypothèses!$B$50*P112+OFFSET('Couts fixes'!P$56,0,-'Couts fixes'!$C$81)/(-Hypothèses!$B$67)</f>
        <v>0</v>
      </c>
      <c r="Q96" s="294">
        <f ca="1">0.3*Hypothèses!$B$50*Q112+OFFSET('Couts fixes'!Q$56,0,-'Couts fixes'!$C$81)/(-Hypothèses!$B$67)</f>
        <v>0</v>
      </c>
      <c r="R96" s="294">
        <f ca="1">0.3*Hypothèses!$B$50*R112+OFFSET('Couts fixes'!R$56,0,-'Couts fixes'!$C$81)/(-Hypothèses!$B$67)</f>
        <v>0</v>
      </c>
      <c r="S96" s="294">
        <f ca="1">0.3*Hypothèses!$B$50*S112+OFFSET('Couts fixes'!S$56,0,-'Couts fixes'!$C$81)/(-Hypothèses!$B$67)</f>
        <v>0</v>
      </c>
      <c r="T96" s="294">
        <f ca="1">0.3*Hypothèses!$B$50*T112+OFFSET('Couts fixes'!T$56,0,-'Couts fixes'!$C$81)/(-Hypothèses!$B$67)</f>
        <v>0</v>
      </c>
      <c r="U96" s="295">
        <f ca="1">0.3*Hypothèses!$B$50*U112+OFFSET('Couts fixes'!U$56,0,-'Couts fixes'!$C$81)/(-Hypothèses!$B$67)</f>
        <v>0</v>
      </c>
      <c r="V96" s="293">
        <f ca="1">0.3*Hypothèses!$B$50*V112+OFFSET('Couts fixes'!V$56,0,-'Couts fixes'!$C$81)/(-Hypothèses!$B$67)</f>
        <v>0</v>
      </c>
      <c r="W96" s="294">
        <f ca="1">0.3*Hypothèses!$B$50*W112+OFFSET('Couts fixes'!W$56,0,-'Couts fixes'!$C$81)/(-Hypothèses!$B$67)</f>
        <v>0</v>
      </c>
      <c r="X96" s="294">
        <f ca="1">0.3*Hypothèses!$B$50*X112+OFFSET('Couts fixes'!X$56,0,-'Couts fixes'!$C$81)/(-Hypothèses!$B$67)</f>
        <v>0</v>
      </c>
      <c r="Y96" s="294">
        <f ca="1">0.3*Hypothèses!$B$50*Y112+OFFSET('Couts fixes'!Y$56,0,-'Couts fixes'!$C$81)/(-Hypothèses!$B$67)</f>
        <v>0</v>
      </c>
      <c r="Z96" s="294">
        <f ca="1">0.3*Hypothèses!$B$50*Z112+OFFSET('Couts fixes'!Z$56,0,-'Couts fixes'!$C$81)/(-Hypothèses!$B$67)</f>
        <v>0</v>
      </c>
      <c r="AA96" s="294">
        <f ca="1">0.3*Hypothèses!$B$50*AA112+OFFSET('Couts fixes'!AA$56,0,-'Couts fixes'!$C$81)/(-Hypothèses!$B$67)</f>
        <v>0</v>
      </c>
      <c r="AB96" s="294">
        <f ca="1">0.3*Hypothèses!$B$50*AB112+OFFSET('Couts fixes'!AB$56,0,-'Couts fixes'!$C$81)/(-Hypothèses!$B$67)</f>
        <v>0</v>
      </c>
      <c r="AC96" s="294">
        <f ca="1">0.3*Hypothèses!$B$50*AC112+OFFSET('Couts fixes'!AC$56,0,-'Couts fixes'!$C$81)/(-Hypothèses!$B$67)</f>
        <v>0</v>
      </c>
      <c r="AD96" s="294">
        <f ca="1">0.3*Hypothèses!$B$50*AD112+OFFSET('Couts fixes'!AD$56,0,-'Couts fixes'!$C$81)/(-Hypothèses!$B$67)</f>
        <v>0</v>
      </c>
      <c r="AE96" s="294">
        <f ca="1">0.3*Hypothèses!$B$50*AE112+OFFSET('Couts fixes'!AE$56,0,-'Couts fixes'!$C$81)/(-Hypothèses!$B$67)</f>
        <v>0</v>
      </c>
      <c r="AF96" s="294">
        <f ca="1">0.3*Hypothèses!$B$50*AF112+OFFSET('Couts fixes'!AF$56,0,-'Couts fixes'!$C$81)/(-Hypothèses!$B$67)</f>
        <v>0</v>
      </c>
      <c r="AG96" s="295">
        <f ca="1">0.3*Hypothèses!$B$50*AG112+OFFSET('Couts fixes'!AG$56,0,-'Couts fixes'!$C$81)/(-Hypothèses!$B$67)</f>
        <v>0</v>
      </c>
      <c r="AH96" s="293">
        <f ca="1">0.3*Hypothèses!$B$50*AH112+OFFSET('Couts fixes'!AH$56,0,-'Couts fixes'!$C$81)/(-Hypothèses!$B$67)</f>
        <v>0</v>
      </c>
      <c r="AI96" s="294">
        <f ca="1">0.3*Hypothèses!$B$50*AI112+OFFSET('Couts fixes'!AI$56,0,-'Couts fixes'!$C$81)/(-Hypothèses!$B$67)</f>
        <v>0</v>
      </c>
      <c r="AJ96" s="294">
        <f ca="1">0.3*Hypothèses!$B$50*AJ112+OFFSET('Couts fixes'!AJ$56,0,-'Couts fixes'!$C$81)/(-Hypothèses!$B$67)</f>
        <v>0</v>
      </c>
      <c r="AK96" s="294">
        <f ca="1">0.3*Hypothèses!$B$50*AK112+OFFSET('Couts fixes'!AK$56,0,-'Couts fixes'!$C$81)/(-Hypothèses!$B$67)</f>
        <v>0</v>
      </c>
      <c r="AL96" s="294">
        <f ca="1">0.3*Hypothèses!$B$50*AL112+OFFSET('Couts fixes'!AL$56,0,-'Couts fixes'!$C$81)/(-Hypothèses!$B$67)</f>
        <v>0</v>
      </c>
      <c r="AM96" s="294">
        <f ca="1">0.3*Hypothèses!$B$50*AM112+OFFSET('Couts fixes'!AM$56,0,-'Couts fixes'!$C$81)/(-Hypothèses!$B$67)</f>
        <v>0</v>
      </c>
      <c r="AN96" s="294">
        <f ca="1">0.3*Hypothèses!$B$50*AN112+OFFSET('Couts fixes'!AN$56,0,-'Couts fixes'!$C$81)/(-Hypothèses!$B$67)</f>
        <v>0</v>
      </c>
      <c r="AO96" s="294">
        <f ca="1">0.3*Hypothèses!$B$50*AO112+OFFSET('Couts fixes'!AO$56,0,-'Couts fixes'!$C$81)/(-Hypothèses!$B$67)</f>
        <v>0</v>
      </c>
      <c r="AP96" s="294">
        <f ca="1">0.3*Hypothèses!$B$50*AP112+OFFSET('Couts fixes'!AP$56,0,-'Couts fixes'!$C$81)/(-Hypothèses!$B$67)</f>
        <v>0</v>
      </c>
      <c r="AQ96" s="294">
        <f ca="1">0.3*Hypothèses!$B$50*AQ112+OFFSET('Couts fixes'!AQ$56,0,-'Couts fixes'!$C$81)/(-Hypothèses!$B$67)</f>
        <v>0</v>
      </c>
      <c r="AR96" s="294">
        <f ca="1">0.3*Hypothèses!$B$50*AR112+OFFSET('Couts fixes'!AR$56,0,-'Couts fixes'!$C$81)/(-Hypothèses!$B$67)</f>
        <v>0</v>
      </c>
      <c r="AS96" s="295">
        <f ca="1">0.3*Hypothèses!$B$50*AS112+OFFSET('Couts fixes'!AS$56,0,-'Couts fixes'!$C$81)/(-Hypothèses!$B$67)</f>
        <v>0</v>
      </c>
      <c r="AT96" s="293">
        <f ca="1">0.3*Hypothèses!$B$50*AT112+OFFSET('Couts fixes'!AT$56,0,-'Couts fixes'!$C$81)/(-Hypothèses!$B$67)</f>
        <v>0</v>
      </c>
      <c r="AU96" s="294">
        <f ca="1">0.3*Hypothèses!$B$50*AU112+OFFSET('Couts fixes'!AU$56,0,-'Couts fixes'!$C$81)/(-Hypothèses!$B$67)</f>
        <v>0</v>
      </c>
      <c r="AV96" s="294">
        <f ca="1">0.3*Hypothèses!$B$50*AV112+OFFSET('Couts fixes'!AV$56,0,-'Couts fixes'!$C$81)/(-Hypothèses!$B$67)</f>
        <v>0</v>
      </c>
      <c r="AW96" s="294">
        <f ca="1">0.3*Hypothèses!$B$50*AW112+OFFSET('Couts fixes'!AW$56,0,-'Couts fixes'!$C$81)/(-Hypothèses!$B$67)</f>
        <v>0</v>
      </c>
      <c r="AX96" s="294">
        <f ca="1">0.3*Hypothèses!$B$50*AX112+OFFSET('Couts fixes'!AX$56,0,-'Couts fixes'!$C$81)/(-Hypothèses!$B$67)</f>
        <v>0</v>
      </c>
      <c r="AY96" s="294">
        <f ca="1">0.3*Hypothèses!$B$50*AY112+OFFSET('Couts fixes'!AY$56,0,-'Couts fixes'!$C$81)/(-Hypothèses!$B$67)</f>
        <v>0</v>
      </c>
      <c r="AZ96" s="294">
        <f ca="1">0.3*Hypothèses!$B$50*AZ112+OFFSET('Couts fixes'!AZ$56,0,-'Couts fixes'!$C$81)/(-Hypothèses!$B$67)</f>
        <v>0</v>
      </c>
      <c r="BA96" s="294">
        <f ca="1">0.3*Hypothèses!$B$50*BA112+OFFSET('Couts fixes'!BA$56,0,-'Couts fixes'!$C$81)/(-Hypothèses!$B$67)</f>
        <v>0</v>
      </c>
      <c r="BB96" s="294">
        <f ca="1">0.3*Hypothèses!$B$50*BB112+OFFSET('Couts fixes'!BB$56,0,-'Couts fixes'!$C$81)/(-Hypothèses!$B$67)</f>
        <v>0</v>
      </c>
      <c r="BC96" s="294">
        <f ca="1">0.3*Hypothèses!$B$50*BC112+OFFSET('Couts fixes'!BC$56,0,-'Couts fixes'!$C$81)/(-Hypothèses!$B$67)</f>
        <v>0</v>
      </c>
      <c r="BD96" s="294">
        <f ca="1">0.3*Hypothèses!$B$50*BD112+OFFSET('Couts fixes'!BD$56,0,-'Couts fixes'!$C$81)/(-Hypothèses!$B$67)</f>
        <v>0</v>
      </c>
      <c r="BE96" s="295">
        <f ca="1">0.3*Hypothèses!$B$50*BE112+OFFSET('Couts fixes'!BE$56,0,-'Couts fixes'!$C$81)/(-Hypothèses!$B$67)</f>
        <v>0</v>
      </c>
      <c r="BF96" s="293">
        <f ca="1">0.3*Hypothèses!$B$50*BF112+OFFSET('Couts fixes'!BF$56,0,-'Couts fixes'!$C$81)/(-Hypothèses!$B$67)</f>
        <v>0</v>
      </c>
      <c r="BG96" s="294">
        <f ca="1">0.3*Hypothèses!$B$50*BG112+OFFSET('Couts fixes'!BG$56,0,-'Couts fixes'!$C$81)/(-Hypothèses!$B$67)</f>
        <v>0</v>
      </c>
      <c r="BH96" s="294">
        <f ca="1">0.3*Hypothèses!$B$50*BH112+OFFSET('Couts fixes'!BH$56,0,-'Couts fixes'!$C$81)/(-Hypothèses!$B$67)</f>
        <v>0</v>
      </c>
      <c r="BI96" s="294">
        <f ca="1">0.3*Hypothèses!$B$50*BI112+OFFSET('Couts fixes'!BI$56,0,-'Couts fixes'!$C$81)/(-Hypothèses!$B$67)</f>
        <v>0</v>
      </c>
      <c r="BJ96" s="294">
        <f ca="1">0.3*Hypothèses!$B$50*BJ112+OFFSET('Couts fixes'!BJ$56,0,-'Couts fixes'!$C$81)/(-Hypothèses!$B$67)</f>
        <v>0</v>
      </c>
      <c r="BK96" s="294">
        <f ca="1">0.3*Hypothèses!$B$50*BK112+OFFSET('Couts fixes'!BK$56,0,-'Couts fixes'!$C$81)/(-Hypothèses!$B$67)</f>
        <v>0</v>
      </c>
      <c r="BL96" s="294">
        <f ca="1">0.3*Hypothèses!$B$50*BL112+OFFSET('Couts fixes'!BL$56,0,-'Couts fixes'!$C$81)/(-Hypothèses!$B$67)</f>
        <v>0</v>
      </c>
      <c r="BM96" s="294">
        <f ca="1">0.3*Hypothèses!$B$50*BM112+OFFSET('Couts fixes'!BM$56,0,-'Couts fixes'!$C$81)/(-Hypothèses!$B$67)</f>
        <v>0</v>
      </c>
      <c r="BN96" s="294">
        <f ca="1">0.3*Hypothèses!$B$50*BN112+OFFSET('Couts fixes'!BN$56,0,-'Couts fixes'!$C$81)/(-Hypothèses!$B$67)</f>
        <v>0</v>
      </c>
      <c r="BO96" s="294">
        <f ca="1">0.3*Hypothèses!$B$50*BO112+OFFSET('Couts fixes'!BO$56,0,-'Couts fixes'!$C$81)/(-Hypothèses!$B$67)</f>
        <v>0</v>
      </c>
      <c r="BP96" s="294">
        <f ca="1">0.3*Hypothèses!$B$50*BP112+OFFSET('Couts fixes'!BP$56,0,-'Couts fixes'!$C$81)/(-Hypothèses!$B$67)</f>
        <v>0</v>
      </c>
      <c r="BQ96" s="295">
        <f ca="1">0.3*Hypothèses!$B$50*BQ112+OFFSET('Couts fixes'!BQ$56,0,-'Couts fixes'!$C$81)/(-Hypothèses!$B$67)</f>
        <v>0</v>
      </c>
      <c r="BR96" s="293">
        <f ca="1">0.3*Hypothèses!$B$50*BR112+OFFSET('Couts fixes'!BR$56,0,-'Couts fixes'!$C$81)/(-Hypothèses!$B$67)</f>
        <v>0</v>
      </c>
      <c r="BS96" s="294">
        <f ca="1">0.3*Hypothèses!$B$50*BS112+OFFSET('Couts fixes'!BS$56,0,-'Couts fixes'!$C$81)/(-Hypothèses!$B$67)</f>
        <v>0</v>
      </c>
      <c r="BT96" s="294">
        <f ca="1">0.3*Hypothèses!$B$50*BT112+OFFSET('Couts fixes'!BT$56,0,-'Couts fixes'!$C$81)/(-Hypothèses!$B$67)</f>
        <v>0</v>
      </c>
      <c r="BU96" s="294">
        <f ca="1">0.3*Hypothèses!$B$50*BU112+OFFSET('Couts fixes'!BU$56,0,-'Couts fixes'!$C$81)/(-Hypothèses!$B$67)</f>
        <v>0</v>
      </c>
      <c r="BV96" s="294">
        <f ca="1">0.3*Hypothèses!$B$50*BV112+OFFSET('Couts fixes'!BV$56,0,-'Couts fixes'!$C$81)/(-Hypothèses!$B$67)</f>
        <v>0</v>
      </c>
      <c r="BW96" s="294">
        <f ca="1">0.3*Hypothèses!$B$50*BW112+OFFSET('Couts fixes'!BW$56,0,-'Couts fixes'!$C$81)/(-Hypothèses!$B$67)</f>
        <v>0</v>
      </c>
      <c r="BX96" s="294">
        <f ca="1">0.3*Hypothèses!$B$50*BX112+OFFSET('Couts fixes'!BX$56,0,-'Couts fixes'!$C$81)/(-Hypothèses!$B$67)</f>
        <v>0</v>
      </c>
      <c r="BY96" s="294">
        <f ca="1">0.3*Hypothèses!$B$50*BY112+OFFSET('Couts fixes'!BY$56,0,-'Couts fixes'!$C$81)/(-Hypothèses!$B$67)</f>
        <v>0</v>
      </c>
      <c r="BZ96" s="294">
        <f ca="1">0.3*Hypothèses!$B$50*BZ112+OFFSET('Couts fixes'!BZ$56,0,-'Couts fixes'!$C$81)/(-Hypothèses!$B$67)</f>
        <v>0</v>
      </c>
      <c r="CA96" s="294">
        <f ca="1">0.3*Hypothèses!$B$50*CA112+OFFSET('Couts fixes'!CA$56,0,-'Couts fixes'!$C$81)/(-Hypothèses!$B$67)</f>
        <v>0</v>
      </c>
      <c r="CB96" s="294">
        <f ca="1">0.3*Hypothèses!$B$50*CB112+OFFSET('Couts fixes'!CB$56,0,-'Couts fixes'!$C$81)/(-Hypothèses!$B$67)</f>
        <v>0</v>
      </c>
      <c r="CC96" s="295">
        <f ca="1">0.3*Hypothèses!$B$50*CC112+OFFSET('Couts fixes'!CC$56,0,-'Couts fixes'!$C$81)/(-Hypothèses!$B$67)</f>
        <v>0</v>
      </c>
    </row>
    <row r="97" spans="1:82" ht="14">
      <c r="A97" s="233" t="s">
        <v>87</v>
      </c>
      <c r="B97" s="62"/>
      <c r="C97" s="40"/>
      <c r="I97" s="10"/>
      <c r="J97" s="293">
        <f ca="1">0.3*Hypothèses!$B$50*J113+OFFSET('Couts fixes'!J$71,0,-'Couts fixes'!$C$81)/(-Hypothèses!$B$67)</f>
        <v>0</v>
      </c>
      <c r="K97" s="294">
        <f ca="1">0.3*Hypothèses!$B$50*K113+OFFSET('Couts fixes'!K$71,0,-'Couts fixes'!$C$81)/(-Hypothèses!$B$67)</f>
        <v>0</v>
      </c>
      <c r="L97" s="294">
        <f ca="1">0.3*Hypothèses!$B$50*L113+OFFSET('Couts fixes'!L$71,0,-'Couts fixes'!$C$81)/(-Hypothèses!$B$67)</f>
        <v>0</v>
      </c>
      <c r="M97" s="294">
        <f ca="1">0.3*Hypothèses!$B$50*M113+OFFSET('Couts fixes'!M$71,0,-'Couts fixes'!$C$81)/(-Hypothèses!$B$67)</f>
        <v>0</v>
      </c>
      <c r="N97" s="294">
        <f ca="1">0.3*Hypothèses!$B$50*N113+OFFSET('Couts fixes'!N$71,0,-'Couts fixes'!$C$81)/(-Hypothèses!$B$67)</f>
        <v>0</v>
      </c>
      <c r="O97" s="294">
        <f ca="1">0.3*Hypothèses!$B$50*O113+OFFSET('Couts fixes'!O$71,0,-'Couts fixes'!$C$81)/(-Hypothèses!$B$67)</f>
        <v>0</v>
      </c>
      <c r="P97" s="294">
        <f ca="1">0.3*Hypothèses!$B$50*P113+OFFSET('Couts fixes'!P$71,0,-'Couts fixes'!$C$81)/(-Hypothèses!$B$67)</f>
        <v>0</v>
      </c>
      <c r="Q97" s="294">
        <f ca="1">0.3*Hypothèses!$B$50*Q113+OFFSET('Couts fixes'!Q$71,0,-'Couts fixes'!$C$81)/(-Hypothèses!$B$67)</f>
        <v>0</v>
      </c>
      <c r="R97" s="294">
        <f ca="1">0.3*Hypothèses!$B$50*R113+OFFSET('Couts fixes'!R$71,0,-'Couts fixes'!$C$81)/(-Hypothèses!$B$67)</f>
        <v>0</v>
      </c>
      <c r="S97" s="294">
        <f ca="1">0.3*Hypothèses!$B$50*S113+OFFSET('Couts fixes'!S$71,0,-'Couts fixes'!$C$81)/(-Hypothèses!$B$67)</f>
        <v>0</v>
      </c>
      <c r="T97" s="294">
        <f ca="1">0.3*Hypothèses!$B$50*T113+OFFSET('Couts fixes'!T$71,0,-'Couts fixes'!$C$81)/(-Hypothèses!$B$67)</f>
        <v>0</v>
      </c>
      <c r="U97" s="295">
        <f ca="1">0.3*Hypothèses!$B$50*U113+OFFSET('Couts fixes'!U$71,0,-'Couts fixes'!$C$81)/(-Hypothèses!$B$67)</f>
        <v>0</v>
      </c>
      <c r="V97" s="293">
        <f ca="1">0.3*Hypothèses!$B$50*V113+OFFSET('Couts fixes'!V$71,0,-'Couts fixes'!$C$81)/(-Hypothèses!$B$67)</f>
        <v>0</v>
      </c>
      <c r="W97" s="294">
        <f ca="1">0.3*Hypothèses!$B$50*W113+OFFSET('Couts fixes'!W$71,0,-'Couts fixes'!$C$81)/(-Hypothèses!$B$67)</f>
        <v>0</v>
      </c>
      <c r="X97" s="294">
        <f ca="1">0.3*Hypothèses!$B$50*X113+OFFSET('Couts fixes'!X$71,0,-'Couts fixes'!$C$81)/(-Hypothèses!$B$67)</f>
        <v>0</v>
      </c>
      <c r="Y97" s="294">
        <f ca="1">0.3*Hypothèses!$B$50*Y113+OFFSET('Couts fixes'!Y$71,0,-'Couts fixes'!$C$81)/(-Hypothèses!$B$67)</f>
        <v>0</v>
      </c>
      <c r="Z97" s="294">
        <f ca="1">0.3*Hypothèses!$B$50*Z113+OFFSET('Couts fixes'!Z$71,0,-'Couts fixes'!$C$81)/(-Hypothèses!$B$67)</f>
        <v>0</v>
      </c>
      <c r="AA97" s="294">
        <f ca="1">0.3*Hypothèses!$B$50*AA113+OFFSET('Couts fixes'!AA$71,0,-'Couts fixes'!$C$81)/(-Hypothèses!$B$67)</f>
        <v>0</v>
      </c>
      <c r="AB97" s="294">
        <f ca="1">0.3*Hypothèses!$B$50*AB113+OFFSET('Couts fixes'!AB$71,0,-'Couts fixes'!$C$81)/(-Hypothèses!$B$67)</f>
        <v>0</v>
      </c>
      <c r="AC97" s="294">
        <f ca="1">0.3*Hypothèses!$B$50*AC113+OFFSET('Couts fixes'!AC$71,0,-'Couts fixes'!$C$81)/(-Hypothèses!$B$67)</f>
        <v>0</v>
      </c>
      <c r="AD97" s="294">
        <f ca="1">0.3*Hypothèses!$B$50*AD113+OFFSET('Couts fixes'!AD$71,0,-'Couts fixes'!$C$81)/(-Hypothèses!$B$67)</f>
        <v>0</v>
      </c>
      <c r="AE97" s="294">
        <f ca="1">0.3*Hypothèses!$B$50*AE113+OFFSET('Couts fixes'!AE$71,0,-'Couts fixes'!$C$81)/(-Hypothèses!$B$67)</f>
        <v>0</v>
      </c>
      <c r="AF97" s="294">
        <f ca="1">0.3*Hypothèses!$B$50*AF113+OFFSET('Couts fixes'!AF$71,0,-'Couts fixes'!$C$81)/(-Hypothèses!$B$67)</f>
        <v>0</v>
      </c>
      <c r="AG97" s="295">
        <f ca="1">0.3*Hypothèses!$B$50*AG113+OFFSET('Couts fixes'!AG$71,0,-'Couts fixes'!$C$81)/(-Hypothèses!$B$67)</f>
        <v>0</v>
      </c>
      <c r="AH97" s="293">
        <f ca="1">0.3*Hypothèses!$B$50*AH113+OFFSET('Couts fixes'!AH$71,0,-'Couts fixes'!$C$81)/(-Hypothèses!$B$67)</f>
        <v>0</v>
      </c>
      <c r="AI97" s="294">
        <f ca="1">0.3*Hypothèses!$B$50*AI113+OFFSET('Couts fixes'!AI$71,0,-'Couts fixes'!$C$81)/(-Hypothèses!$B$67)</f>
        <v>0</v>
      </c>
      <c r="AJ97" s="294">
        <f ca="1">0.3*Hypothèses!$B$50*AJ113+OFFSET('Couts fixes'!AJ$71,0,-'Couts fixes'!$C$81)/(-Hypothèses!$B$67)</f>
        <v>0</v>
      </c>
      <c r="AK97" s="294">
        <f ca="1">0.3*Hypothèses!$B$50*AK113+OFFSET('Couts fixes'!AK$71,0,-'Couts fixes'!$C$81)/(-Hypothèses!$B$67)</f>
        <v>0</v>
      </c>
      <c r="AL97" s="294">
        <f ca="1">0.3*Hypothèses!$B$50*AL113+OFFSET('Couts fixes'!AL$71,0,-'Couts fixes'!$C$81)/(-Hypothèses!$B$67)</f>
        <v>0</v>
      </c>
      <c r="AM97" s="294">
        <f ca="1">0.3*Hypothèses!$B$50*AM113+OFFSET('Couts fixes'!AM$71,0,-'Couts fixes'!$C$81)/(-Hypothèses!$B$67)</f>
        <v>0</v>
      </c>
      <c r="AN97" s="294">
        <f ca="1">0.3*Hypothèses!$B$50*AN113+OFFSET('Couts fixes'!AN$71,0,-'Couts fixes'!$C$81)/(-Hypothèses!$B$67)</f>
        <v>0</v>
      </c>
      <c r="AO97" s="294">
        <f ca="1">0.3*Hypothèses!$B$50*AO113+OFFSET('Couts fixes'!AO$71,0,-'Couts fixes'!$C$81)/(-Hypothèses!$B$67)</f>
        <v>0</v>
      </c>
      <c r="AP97" s="294">
        <f ca="1">0.3*Hypothèses!$B$50*AP113+OFFSET('Couts fixes'!AP$71,0,-'Couts fixes'!$C$81)/(-Hypothèses!$B$67)</f>
        <v>0</v>
      </c>
      <c r="AQ97" s="294">
        <f ca="1">0.3*Hypothèses!$B$50*AQ113+OFFSET('Couts fixes'!AQ$71,0,-'Couts fixes'!$C$81)/(-Hypothèses!$B$67)</f>
        <v>0</v>
      </c>
      <c r="AR97" s="294">
        <f ca="1">0.3*Hypothèses!$B$50*AR113+OFFSET('Couts fixes'!AR$71,0,-'Couts fixes'!$C$81)/(-Hypothèses!$B$67)</f>
        <v>0</v>
      </c>
      <c r="AS97" s="295">
        <f ca="1">0.3*Hypothèses!$B$50*AS113+OFFSET('Couts fixes'!AS$71,0,-'Couts fixes'!$C$81)/(-Hypothèses!$B$67)</f>
        <v>0</v>
      </c>
      <c r="AT97" s="293">
        <f ca="1">0.3*Hypothèses!$B$50*AT113+OFFSET('Couts fixes'!AT$71,0,-'Couts fixes'!$C$81)/(-Hypothèses!$B$67)</f>
        <v>0</v>
      </c>
      <c r="AU97" s="294">
        <f ca="1">0.3*Hypothèses!$B$50*AU113+OFFSET('Couts fixes'!AU$71,0,-'Couts fixes'!$C$81)/(-Hypothèses!$B$67)</f>
        <v>0</v>
      </c>
      <c r="AV97" s="294">
        <f ca="1">0.3*Hypothèses!$B$50*AV113+OFFSET('Couts fixes'!AV$71,0,-'Couts fixes'!$C$81)/(-Hypothèses!$B$67)</f>
        <v>0</v>
      </c>
      <c r="AW97" s="294">
        <f ca="1">0.3*Hypothèses!$B$50*AW113+OFFSET('Couts fixes'!AW$71,0,-'Couts fixes'!$C$81)/(-Hypothèses!$B$67)</f>
        <v>0</v>
      </c>
      <c r="AX97" s="294">
        <f ca="1">0.3*Hypothèses!$B$50*AX113+OFFSET('Couts fixes'!AX$71,0,-'Couts fixes'!$C$81)/(-Hypothèses!$B$67)</f>
        <v>0</v>
      </c>
      <c r="AY97" s="294">
        <f ca="1">0.3*Hypothèses!$B$50*AY113+OFFSET('Couts fixes'!AY$71,0,-'Couts fixes'!$C$81)/(-Hypothèses!$B$67)</f>
        <v>0</v>
      </c>
      <c r="AZ97" s="294">
        <f ca="1">0.3*Hypothèses!$B$50*AZ113+OFFSET('Couts fixes'!AZ$71,0,-'Couts fixes'!$C$81)/(-Hypothèses!$B$67)</f>
        <v>0</v>
      </c>
      <c r="BA97" s="294">
        <f ca="1">0.3*Hypothèses!$B$50*BA113+OFFSET('Couts fixes'!BA$71,0,-'Couts fixes'!$C$81)/(-Hypothèses!$B$67)</f>
        <v>0</v>
      </c>
      <c r="BB97" s="294">
        <f ca="1">0.3*Hypothèses!$B$50*BB113+OFFSET('Couts fixes'!BB$71,0,-'Couts fixes'!$C$81)/(-Hypothèses!$B$67)</f>
        <v>0</v>
      </c>
      <c r="BC97" s="294">
        <f ca="1">0.3*Hypothèses!$B$50*BC113+OFFSET('Couts fixes'!BC$71,0,-'Couts fixes'!$C$81)/(-Hypothèses!$B$67)</f>
        <v>0</v>
      </c>
      <c r="BD97" s="294">
        <f ca="1">0.3*Hypothèses!$B$50*BD113+OFFSET('Couts fixes'!BD$71,0,-'Couts fixes'!$C$81)/(-Hypothèses!$B$67)</f>
        <v>0</v>
      </c>
      <c r="BE97" s="295">
        <f ca="1">0.3*Hypothèses!$B$50*BE113+OFFSET('Couts fixes'!BE$71,0,-'Couts fixes'!$C$81)/(-Hypothèses!$B$67)</f>
        <v>0</v>
      </c>
      <c r="BF97" s="293">
        <f ca="1">0.3*Hypothèses!$B$50*BF113+OFFSET('Couts fixes'!BF$71,0,-'Couts fixes'!$C$81)/(-Hypothèses!$B$67)</f>
        <v>0</v>
      </c>
      <c r="BG97" s="294">
        <f ca="1">0.3*Hypothèses!$B$50*BG113+OFFSET('Couts fixes'!BG$71,0,-'Couts fixes'!$C$81)/(-Hypothèses!$B$67)</f>
        <v>0</v>
      </c>
      <c r="BH97" s="294">
        <f ca="1">0.3*Hypothèses!$B$50*BH113+OFFSET('Couts fixes'!BH$71,0,-'Couts fixes'!$C$81)/(-Hypothèses!$B$67)</f>
        <v>0</v>
      </c>
      <c r="BI97" s="294">
        <f ca="1">0.3*Hypothèses!$B$50*BI113+OFFSET('Couts fixes'!BI$71,0,-'Couts fixes'!$C$81)/(-Hypothèses!$B$67)</f>
        <v>0</v>
      </c>
      <c r="BJ97" s="294">
        <f ca="1">0.3*Hypothèses!$B$50*BJ113+OFFSET('Couts fixes'!BJ$71,0,-'Couts fixes'!$C$81)/(-Hypothèses!$B$67)</f>
        <v>0</v>
      </c>
      <c r="BK97" s="294">
        <f ca="1">0.3*Hypothèses!$B$50*BK113+OFFSET('Couts fixes'!BK$71,0,-'Couts fixes'!$C$81)/(-Hypothèses!$B$67)</f>
        <v>0</v>
      </c>
      <c r="BL97" s="294">
        <f ca="1">0.3*Hypothèses!$B$50*BL113+OFFSET('Couts fixes'!BL$71,0,-'Couts fixes'!$C$81)/(-Hypothèses!$B$67)</f>
        <v>0</v>
      </c>
      <c r="BM97" s="294">
        <f ca="1">0.3*Hypothèses!$B$50*BM113+OFFSET('Couts fixes'!BM$71,0,-'Couts fixes'!$C$81)/(-Hypothèses!$B$67)</f>
        <v>0</v>
      </c>
      <c r="BN97" s="294">
        <f ca="1">0.3*Hypothèses!$B$50*BN113+OFFSET('Couts fixes'!BN$71,0,-'Couts fixes'!$C$81)/(-Hypothèses!$B$67)</f>
        <v>0</v>
      </c>
      <c r="BO97" s="294">
        <f ca="1">0.3*Hypothèses!$B$50*BO113+OFFSET('Couts fixes'!BO$71,0,-'Couts fixes'!$C$81)/(-Hypothèses!$B$67)</f>
        <v>0</v>
      </c>
      <c r="BP97" s="294">
        <f ca="1">0.3*Hypothèses!$B$50*BP113+OFFSET('Couts fixes'!BP$71,0,-'Couts fixes'!$C$81)/(-Hypothèses!$B$67)</f>
        <v>0</v>
      </c>
      <c r="BQ97" s="295">
        <f ca="1">0.3*Hypothèses!$B$50*BQ113+OFFSET('Couts fixes'!BQ$71,0,-'Couts fixes'!$C$81)/(-Hypothèses!$B$67)</f>
        <v>0</v>
      </c>
      <c r="BR97" s="293">
        <f ca="1">0.3*Hypothèses!$B$50*BR113+OFFSET('Couts fixes'!BR$71,0,-'Couts fixes'!$C$81)/(-Hypothèses!$B$67)</f>
        <v>0</v>
      </c>
      <c r="BS97" s="294">
        <f ca="1">0.3*Hypothèses!$B$50*BS113+OFFSET('Couts fixes'!BS$71,0,-'Couts fixes'!$C$81)/(-Hypothèses!$B$67)</f>
        <v>0</v>
      </c>
      <c r="BT97" s="294">
        <f ca="1">0.3*Hypothèses!$B$50*BT113+OFFSET('Couts fixes'!BT$71,0,-'Couts fixes'!$C$81)/(-Hypothèses!$B$67)</f>
        <v>0</v>
      </c>
      <c r="BU97" s="294">
        <f ca="1">0.3*Hypothèses!$B$50*BU113+OFFSET('Couts fixes'!BU$71,0,-'Couts fixes'!$C$81)/(-Hypothèses!$B$67)</f>
        <v>0</v>
      </c>
      <c r="BV97" s="294">
        <f ca="1">0.3*Hypothèses!$B$50*BV113+OFFSET('Couts fixes'!BV$71,0,-'Couts fixes'!$C$81)/(-Hypothèses!$B$67)</f>
        <v>0</v>
      </c>
      <c r="BW97" s="294">
        <f ca="1">0.3*Hypothèses!$B$50*BW113+OFFSET('Couts fixes'!BW$71,0,-'Couts fixes'!$C$81)/(-Hypothèses!$B$67)</f>
        <v>0</v>
      </c>
      <c r="BX97" s="294">
        <f ca="1">0.3*Hypothèses!$B$50*BX113+OFFSET('Couts fixes'!BX$71,0,-'Couts fixes'!$C$81)/(-Hypothèses!$B$67)</f>
        <v>0</v>
      </c>
      <c r="BY97" s="294">
        <f ca="1">0.3*Hypothèses!$B$50*BY113+OFFSET('Couts fixes'!BY$71,0,-'Couts fixes'!$C$81)/(-Hypothèses!$B$67)</f>
        <v>0</v>
      </c>
      <c r="BZ97" s="294">
        <f ca="1">0.3*Hypothèses!$B$50*BZ113+OFFSET('Couts fixes'!BZ$71,0,-'Couts fixes'!$C$81)/(-Hypothèses!$B$67)</f>
        <v>0</v>
      </c>
      <c r="CA97" s="294">
        <f ca="1">0.3*Hypothèses!$B$50*CA113+OFFSET('Couts fixes'!CA$71,0,-'Couts fixes'!$C$81)/(-Hypothèses!$B$67)</f>
        <v>0</v>
      </c>
      <c r="CB97" s="294">
        <f ca="1">0.3*Hypothèses!$B$50*CB113+OFFSET('Couts fixes'!CB$71,0,-'Couts fixes'!$C$81)/(-Hypothèses!$B$67)</f>
        <v>0</v>
      </c>
      <c r="CC97" s="295">
        <f ca="1">0.3*Hypothèses!$B$50*CC113+OFFSET('Couts fixes'!CC$71,0,-'Couts fixes'!$C$81)/(-Hypothèses!$B$67)</f>
        <v>0</v>
      </c>
    </row>
    <row r="98" spans="1:82" ht="14">
      <c r="A98" s="298"/>
      <c r="B98" s="299"/>
      <c r="C98" s="43"/>
      <c r="D98" s="120"/>
      <c r="E98" s="120"/>
      <c r="F98" s="120"/>
      <c r="G98" s="120"/>
      <c r="H98" s="120"/>
      <c r="I98" s="121"/>
      <c r="J98" s="43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43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1"/>
      <c r="AH98" s="43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  <c r="AS98" s="121"/>
      <c r="AT98" s="43"/>
      <c r="AU98" s="120"/>
      <c r="AV98" s="120"/>
      <c r="AW98" s="120"/>
      <c r="AX98" s="120"/>
      <c r="AY98" s="120"/>
      <c r="AZ98" s="120"/>
      <c r="BA98" s="120"/>
      <c r="BB98" s="120"/>
      <c r="BC98" s="120"/>
      <c r="BD98" s="120"/>
      <c r="BE98" s="121"/>
      <c r="BF98" s="43"/>
      <c r="BG98" s="120"/>
      <c r="BH98" s="120"/>
      <c r="BI98" s="120"/>
      <c r="BJ98" s="120"/>
      <c r="BK98" s="120"/>
      <c r="BL98" s="120"/>
      <c r="BM98" s="120"/>
      <c r="BN98" s="120"/>
      <c r="BO98" s="120"/>
      <c r="BP98" s="120"/>
      <c r="BQ98" s="121"/>
      <c r="BR98" s="43"/>
      <c r="BS98" s="120"/>
      <c r="BT98" s="120"/>
      <c r="BU98" s="120"/>
      <c r="BV98" s="120"/>
      <c r="BW98" s="120"/>
      <c r="BX98" s="120"/>
      <c r="BY98" s="120"/>
      <c r="BZ98" s="120"/>
      <c r="CA98" s="120"/>
      <c r="CB98" s="120"/>
      <c r="CC98" s="121"/>
    </row>
    <row r="99" spans="1:82" ht="14" hidden="1">
      <c r="A99" s="269" t="s">
        <v>157</v>
      </c>
      <c r="B99" s="62"/>
      <c r="C99" s="40">
        <f t="shared" ref="C99:CC99" si="17">SUM(C100:C104)</f>
        <v>0</v>
      </c>
      <c r="D99" s="11">
        <f t="shared" si="17"/>
        <v>0</v>
      </c>
      <c r="E99" s="11">
        <f t="shared" si="17"/>
        <v>0</v>
      </c>
      <c r="F99" s="11">
        <f t="shared" si="17"/>
        <v>0</v>
      </c>
      <c r="G99" s="11">
        <f t="shared" si="17"/>
        <v>0</v>
      </c>
      <c r="H99" s="11">
        <f t="shared" si="17"/>
        <v>0</v>
      </c>
      <c r="I99" s="10">
        <f t="shared" si="17"/>
        <v>0</v>
      </c>
      <c r="J99" s="40">
        <f t="shared" si="17"/>
        <v>0</v>
      </c>
      <c r="K99" s="11">
        <f t="shared" si="17"/>
        <v>0</v>
      </c>
      <c r="L99" s="11">
        <f t="shared" si="17"/>
        <v>0</v>
      </c>
      <c r="M99" s="11">
        <f t="shared" si="17"/>
        <v>0</v>
      </c>
      <c r="N99" s="11">
        <f t="shared" si="17"/>
        <v>0</v>
      </c>
      <c r="O99" s="11">
        <f t="shared" si="17"/>
        <v>0</v>
      </c>
      <c r="P99" s="11">
        <f t="shared" si="17"/>
        <v>0</v>
      </c>
      <c r="Q99" s="11">
        <f t="shared" si="17"/>
        <v>0</v>
      </c>
      <c r="R99" s="11">
        <f t="shared" si="17"/>
        <v>0</v>
      </c>
      <c r="S99" s="11">
        <f t="shared" si="17"/>
        <v>0</v>
      </c>
      <c r="T99" s="11">
        <f t="shared" si="17"/>
        <v>0</v>
      </c>
      <c r="U99" s="10">
        <f t="shared" si="17"/>
        <v>0</v>
      </c>
      <c r="V99" s="40">
        <f t="shared" si="17"/>
        <v>0</v>
      </c>
      <c r="W99" s="11">
        <f t="shared" si="17"/>
        <v>0</v>
      </c>
      <c r="X99" s="11">
        <f t="shared" si="17"/>
        <v>0</v>
      </c>
      <c r="Y99" s="11">
        <f t="shared" si="17"/>
        <v>0</v>
      </c>
      <c r="Z99" s="11">
        <f t="shared" si="17"/>
        <v>0</v>
      </c>
      <c r="AA99" s="11">
        <f t="shared" si="17"/>
        <v>0</v>
      </c>
      <c r="AB99" s="11">
        <f t="shared" si="17"/>
        <v>0</v>
      </c>
      <c r="AC99" s="11">
        <f t="shared" si="17"/>
        <v>0</v>
      </c>
      <c r="AD99" s="11">
        <f t="shared" si="17"/>
        <v>0</v>
      </c>
      <c r="AE99" s="11">
        <f t="shared" si="17"/>
        <v>0</v>
      </c>
      <c r="AF99" s="11">
        <f t="shared" si="17"/>
        <v>0</v>
      </c>
      <c r="AG99" s="10">
        <f t="shared" si="17"/>
        <v>0</v>
      </c>
      <c r="AH99" s="40">
        <f t="shared" si="17"/>
        <v>0</v>
      </c>
      <c r="AI99" s="11">
        <f t="shared" si="17"/>
        <v>0</v>
      </c>
      <c r="AJ99" s="11">
        <f t="shared" si="17"/>
        <v>0</v>
      </c>
      <c r="AK99" s="11">
        <f t="shared" si="17"/>
        <v>0</v>
      </c>
      <c r="AL99" s="11">
        <f t="shared" si="17"/>
        <v>0</v>
      </c>
      <c r="AM99" s="11">
        <f t="shared" si="17"/>
        <v>0</v>
      </c>
      <c r="AN99" s="11">
        <f t="shared" si="17"/>
        <v>0</v>
      </c>
      <c r="AO99" s="11">
        <f t="shared" si="17"/>
        <v>0</v>
      </c>
      <c r="AP99" s="11">
        <f t="shared" si="17"/>
        <v>0</v>
      </c>
      <c r="AQ99" s="11">
        <f t="shared" si="17"/>
        <v>0</v>
      </c>
      <c r="AR99" s="11">
        <f t="shared" si="17"/>
        <v>0</v>
      </c>
      <c r="AS99" s="10">
        <f t="shared" si="17"/>
        <v>0</v>
      </c>
      <c r="AT99" s="40">
        <f t="shared" si="17"/>
        <v>0</v>
      </c>
      <c r="AU99" s="11">
        <f t="shared" si="17"/>
        <v>0</v>
      </c>
      <c r="AV99" s="11">
        <f t="shared" si="17"/>
        <v>0</v>
      </c>
      <c r="AW99" s="11">
        <f t="shared" si="17"/>
        <v>0</v>
      </c>
      <c r="AX99" s="11">
        <f t="shared" si="17"/>
        <v>0</v>
      </c>
      <c r="AY99" s="11">
        <f t="shared" si="17"/>
        <v>0</v>
      </c>
      <c r="AZ99" s="11">
        <f t="shared" si="17"/>
        <v>0</v>
      </c>
      <c r="BA99" s="11">
        <f t="shared" si="17"/>
        <v>0</v>
      </c>
      <c r="BB99" s="11">
        <f t="shared" si="17"/>
        <v>0</v>
      </c>
      <c r="BC99" s="11">
        <f t="shared" si="17"/>
        <v>0</v>
      </c>
      <c r="BD99" s="11">
        <f t="shared" si="17"/>
        <v>0</v>
      </c>
      <c r="BE99" s="10">
        <f t="shared" si="17"/>
        <v>0</v>
      </c>
      <c r="BF99" s="40">
        <f t="shared" si="17"/>
        <v>0</v>
      </c>
      <c r="BG99" s="11">
        <f t="shared" si="17"/>
        <v>0</v>
      </c>
      <c r="BH99" s="11">
        <f t="shared" si="17"/>
        <v>0</v>
      </c>
      <c r="BI99" s="11">
        <f t="shared" si="17"/>
        <v>0</v>
      </c>
      <c r="BJ99" s="11">
        <f t="shared" si="17"/>
        <v>0</v>
      </c>
      <c r="BK99" s="11">
        <f t="shared" si="17"/>
        <v>0</v>
      </c>
      <c r="BL99" s="11">
        <f t="shared" si="17"/>
        <v>0</v>
      </c>
      <c r="BM99" s="11">
        <f t="shared" si="17"/>
        <v>0</v>
      </c>
      <c r="BN99" s="11">
        <f t="shared" si="17"/>
        <v>0</v>
      </c>
      <c r="BO99" s="11">
        <f t="shared" si="17"/>
        <v>0</v>
      </c>
      <c r="BP99" s="11">
        <f t="shared" si="17"/>
        <v>0</v>
      </c>
      <c r="BQ99" s="10">
        <f t="shared" si="17"/>
        <v>0</v>
      </c>
      <c r="BR99" s="40">
        <f t="shared" si="17"/>
        <v>0</v>
      </c>
      <c r="BS99" s="11">
        <f t="shared" si="17"/>
        <v>0</v>
      </c>
      <c r="BT99" s="11">
        <f t="shared" si="17"/>
        <v>0</v>
      </c>
      <c r="BU99" s="11">
        <f t="shared" si="17"/>
        <v>0</v>
      </c>
      <c r="BV99" s="11">
        <f t="shared" si="17"/>
        <v>0</v>
      </c>
      <c r="BW99" s="11">
        <f t="shared" si="17"/>
        <v>0</v>
      </c>
      <c r="BX99" s="11">
        <f t="shared" si="17"/>
        <v>0</v>
      </c>
      <c r="BY99" s="11">
        <f t="shared" si="17"/>
        <v>0</v>
      </c>
      <c r="BZ99" s="11">
        <f t="shared" si="17"/>
        <v>0</v>
      </c>
      <c r="CA99" s="11">
        <f t="shared" si="17"/>
        <v>0</v>
      </c>
      <c r="CB99" s="11">
        <f t="shared" si="17"/>
        <v>0</v>
      </c>
      <c r="CC99" s="10">
        <f t="shared" si="17"/>
        <v>0</v>
      </c>
    </row>
    <row r="100" spans="1:82" ht="14" hidden="1">
      <c r="A100" s="233" t="s">
        <v>83</v>
      </c>
      <c r="B100" s="62"/>
      <c r="C100" s="40"/>
      <c r="I100" s="10"/>
      <c r="J100" s="40"/>
      <c r="U100" s="10"/>
      <c r="V100" s="40"/>
      <c r="AG100" s="10"/>
      <c r="AH100" s="40"/>
      <c r="AS100" s="10"/>
      <c r="AT100" s="40"/>
      <c r="BE100" s="10"/>
      <c r="BF100" s="40"/>
      <c r="BQ100" s="10"/>
      <c r="BR100" s="40"/>
      <c r="CC100" s="10"/>
    </row>
    <row r="101" spans="1:82" ht="14" hidden="1">
      <c r="A101" s="233" t="s">
        <v>84</v>
      </c>
      <c r="B101" s="62"/>
      <c r="C101" s="40"/>
      <c r="I101" s="10"/>
      <c r="J101" s="40"/>
      <c r="U101" s="10"/>
      <c r="V101" s="40"/>
      <c r="AG101" s="10"/>
      <c r="AH101" s="40"/>
      <c r="AS101" s="10"/>
      <c r="AT101" s="40"/>
      <c r="BE101" s="10"/>
      <c r="BF101" s="40"/>
      <c r="BQ101" s="10"/>
      <c r="BR101" s="40"/>
      <c r="CC101" s="10"/>
    </row>
    <row r="102" spans="1:82" ht="14" hidden="1">
      <c r="A102" s="233" t="s">
        <v>158</v>
      </c>
      <c r="B102" s="10"/>
      <c r="C102" s="40"/>
      <c r="I102" s="10"/>
      <c r="J102" s="40"/>
      <c r="U102" s="10"/>
      <c r="V102" s="40"/>
      <c r="AG102" s="10"/>
      <c r="AH102" s="40"/>
      <c r="AS102" s="10"/>
      <c r="AT102" s="40"/>
      <c r="BE102" s="10"/>
      <c r="BF102" s="40"/>
      <c r="BQ102" s="10"/>
      <c r="BR102" s="40"/>
      <c r="CC102" s="10"/>
    </row>
    <row r="103" spans="1:82" ht="14" hidden="1">
      <c r="A103" s="233" t="s">
        <v>86</v>
      </c>
      <c r="B103" s="10"/>
      <c r="C103" s="40"/>
      <c r="I103" s="10"/>
      <c r="J103" s="40"/>
      <c r="U103" s="10"/>
      <c r="V103" s="40"/>
      <c r="AG103" s="10"/>
      <c r="AH103" s="40"/>
      <c r="AS103" s="10"/>
      <c r="AT103" s="40"/>
      <c r="BE103" s="10"/>
      <c r="BF103" s="40"/>
      <c r="BQ103" s="10"/>
      <c r="BR103" s="40"/>
      <c r="CC103" s="10"/>
    </row>
    <row r="104" spans="1:82" ht="14" hidden="1">
      <c r="A104" s="300" t="s">
        <v>87</v>
      </c>
      <c r="B104" s="121"/>
      <c r="C104" s="43"/>
      <c r="D104" s="120"/>
      <c r="E104" s="120"/>
      <c r="F104" s="120"/>
      <c r="G104" s="120"/>
      <c r="H104" s="120"/>
      <c r="I104" s="121"/>
      <c r="J104" s="43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43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1"/>
      <c r="AH104" s="43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1"/>
      <c r="AT104" s="43"/>
      <c r="AU104" s="120"/>
      <c r="AV104" s="120"/>
      <c r="AW104" s="120"/>
      <c r="AX104" s="120"/>
      <c r="AY104" s="120"/>
      <c r="AZ104" s="120"/>
      <c r="BA104" s="120"/>
      <c r="BB104" s="120"/>
      <c r="BC104" s="120"/>
      <c r="BD104" s="120"/>
      <c r="BE104" s="121"/>
      <c r="BF104" s="43"/>
      <c r="BG104" s="120"/>
      <c r="BH104" s="120"/>
      <c r="BI104" s="120"/>
      <c r="BJ104" s="120"/>
      <c r="BK104" s="120"/>
      <c r="BL104" s="120"/>
      <c r="BM104" s="120"/>
      <c r="BN104" s="120"/>
      <c r="BO104" s="120"/>
      <c r="BP104" s="120"/>
      <c r="BQ104" s="121"/>
      <c r="BR104" s="43"/>
      <c r="BS104" s="120"/>
      <c r="BT104" s="120"/>
      <c r="BU104" s="120"/>
      <c r="BV104" s="120"/>
      <c r="BW104" s="120"/>
      <c r="BX104" s="120"/>
      <c r="BY104" s="120"/>
      <c r="BZ104" s="120"/>
      <c r="CA104" s="120"/>
      <c r="CB104" s="120"/>
      <c r="CC104" s="121"/>
    </row>
    <row r="108" spans="1:82" ht="13">
      <c r="A108" s="11" t="s">
        <v>159</v>
      </c>
    </row>
    <row r="109" spans="1:82" ht="13">
      <c r="A109" s="301" t="s">
        <v>83</v>
      </c>
      <c r="C109" s="261">
        <f>SUMIFS('Annexe A  Plan RH'!$I4:$I85,'Annexe A  Plan RH'!$A4:$A85,"Sales",'Annexe A  Plan RH'!Q4:Q85,"&gt;0",'Annexe A  Plan RH'!$B4:$B85,"FR")</f>
        <v>2</v>
      </c>
      <c r="D109" s="261">
        <f>SUMIFS('Annexe A  Plan RH'!$I4:$I85,'Annexe A  Plan RH'!$A4:$A85,"Sales",'Annexe A  Plan RH'!R4:R85,"&gt;0",'Annexe A  Plan RH'!$B4:$B85,"FR")</f>
        <v>2</v>
      </c>
      <c r="E109" s="261">
        <f>SUMIFS('Annexe A  Plan RH'!$I4:$I85,'Annexe A  Plan RH'!$A4:$A85,"Sales",'Annexe A  Plan RH'!S4:S85,"&gt;0",'Annexe A  Plan RH'!$B4:$B85,"FR")</f>
        <v>2</v>
      </c>
      <c r="F109" s="261">
        <f>SUMIFS('Annexe A  Plan RH'!$I4:$I85,'Annexe A  Plan RH'!$A4:$A85,"Sales",'Annexe A  Plan RH'!T4:T85,"&gt;0",'Annexe A  Plan RH'!$B4:$B85,"FR")</f>
        <v>2</v>
      </c>
      <c r="G109" s="261">
        <f>SUMIFS('Annexe A  Plan RH'!$I4:$I85,'Annexe A  Plan RH'!$A4:$A85,"Sales",'Annexe A  Plan RH'!U4:U85,"&gt;0",'Annexe A  Plan RH'!$B4:$B85,"FR")</f>
        <v>2</v>
      </c>
      <c r="H109" s="261">
        <f>SUMIFS('Annexe A  Plan RH'!$I4:$I85,'Annexe A  Plan RH'!$A4:$A85,"Sales",'Annexe A  Plan RH'!V4:V85,"&gt;0",'Annexe A  Plan RH'!$B4:$B85,"FR")</f>
        <v>2</v>
      </c>
      <c r="I109" s="261">
        <f>SUMIFS('Annexe A  Plan RH'!$I4:$I85,'Annexe A  Plan RH'!$A4:$A85,"Sales",'Annexe A  Plan RH'!W4:W85,"&gt;0",'Annexe A  Plan RH'!$B4:$B85,"FR")</f>
        <v>2</v>
      </c>
      <c r="J109" s="261">
        <f>SUMIFS('Annexe A  Plan RH'!$I4:$I85,'Annexe A  Plan RH'!$A4:$A85,"Sales",'Annexe A  Plan RH'!X4:X85,"&gt;0",'Annexe A  Plan RH'!$B4:$B85,"FR")</f>
        <v>2</v>
      </c>
      <c r="K109" s="261">
        <f>SUMIFS('Annexe A  Plan RH'!$I4:$I85,'Annexe A  Plan RH'!$A4:$A85,"Sales",'Annexe A  Plan RH'!Y4:Y85,"&gt;0",'Annexe A  Plan RH'!$B4:$B85,"FR")</f>
        <v>1</v>
      </c>
      <c r="L109" s="261">
        <f>SUMIFS('Annexe A  Plan RH'!$I4:$I85,'Annexe A  Plan RH'!$A4:$A85,"Sales",'Annexe A  Plan RH'!Z4:Z85,"&gt;0",'Annexe A  Plan RH'!$B4:$B85,"FR")</f>
        <v>2</v>
      </c>
      <c r="M109" s="261">
        <f>SUMIFS('Annexe A  Plan RH'!$I4:$I85,'Annexe A  Plan RH'!$A4:$A85,"Sales",'Annexe A  Plan RH'!AA4:AA85,"&gt;0",'Annexe A  Plan RH'!$B4:$B85,"FR")</f>
        <v>2</v>
      </c>
      <c r="N109" s="261">
        <f>SUMIFS('Annexe A  Plan RH'!$I4:$I85,'Annexe A  Plan RH'!$A4:$A85,"Sales",'Annexe A  Plan RH'!AB4:AB85,"&gt;0",'Annexe A  Plan RH'!$B4:$B85,"FR")</f>
        <v>2</v>
      </c>
      <c r="O109" s="261">
        <f>SUMIFS('Annexe A  Plan RH'!$I4:$I85,'Annexe A  Plan RH'!$A4:$A85,"Sales",'Annexe A  Plan RH'!AC4:AC85,"&gt;0",'Annexe A  Plan RH'!$B4:$B85,"FR")</f>
        <v>2</v>
      </c>
      <c r="P109" s="261">
        <f>SUMIFS('Annexe A  Plan RH'!$I4:$I85,'Annexe A  Plan RH'!$A4:$A85,"Sales",'Annexe A  Plan RH'!AD4:AD85,"&gt;0",'Annexe A  Plan RH'!$B4:$B85,"FR")</f>
        <v>2</v>
      </c>
      <c r="Q109" s="261">
        <f>SUMIFS('Annexe A  Plan RH'!$I4:$I85,'Annexe A  Plan RH'!$A4:$A85,"Sales",'Annexe A  Plan RH'!AE4:AE85,"&gt;0",'Annexe A  Plan RH'!$B4:$B85,"FR")</f>
        <v>2</v>
      </c>
      <c r="R109" s="261">
        <f>SUMIFS('Annexe A  Plan RH'!$I4:$I85,'Annexe A  Plan RH'!$A4:$A85,"Sales",'Annexe A  Plan RH'!AF4:AF85,"&gt;0",'Annexe A  Plan RH'!$B4:$B85,"FR")</f>
        <v>2</v>
      </c>
      <c r="S109" s="261">
        <f>SUMIFS('Annexe A  Plan RH'!$I4:$I85,'Annexe A  Plan RH'!$A4:$A85,"Sales",'Annexe A  Plan RH'!AG4:AG85,"&gt;0",'Annexe A  Plan RH'!$B4:$B85,"FR")</f>
        <v>2</v>
      </c>
      <c r="T109" s="261">
        <f>SUMIFS('Annexe A  Plan RH'!$I4:$I85,'Annexe A  Plan RH'!$A4:$A85,"Sales",'Annexe A  Plan RH'!AH4:AH85,"&gt;0",'Annexe A  Plan RH'!$B4:$B85,"FR")</f>
        <v>2</v>
      </c>
      <c r="U109" s="261">
        <f>SUMIFS('Annexe A  Plan RH'!$I4:$I85,'Annexe A  Plan RH'!$A4:$A85,"Sales",'Annexe A  Plan RH'!AI4:AI85,"&gt;0",'Annexe A  Plan RH'!$B4:$B85,"FR")</f>
        <v>2</v>
      </c>
      <c r="V109" s="261">
        <f>SUMIFS('Annexe A  Plan RH'!$I4:$I85,'Annexe A  Plan RH'!$A4:$A85,"Sales",'Annexe A  Plan RH'!AJ4:AJ85,"&gt;0",'Annexe A  Plan RH'!$B4:$B85,"FR")</f>
        <v>2</v>
      </c>
      <c r="W109" s="261">
        <f>SUMIFS('Annexe A  Plan RH'!$I4:$I85,'Annexe A  Plan RH'!$A4:$A85,"Sales",'Annexe A  Plan RH'!AK4:AK85,"&gt;0",'Annexe A  Plan RH'!$B4:$B85,"FR")</f>
        <v>2</v>
      </c>
      <c r="X109" s="261">
        <f>SUMIFS('Annexe A  Plan RH'!$I4:$I85,'Annexe A  Plan RH'!$A4:$A85,"Sales",'Annexe A  Plan RH'!AL4:AL85,"&gt;0",'Annexe A  Plan RH'!$B4:$B85,"FR")</f>
        <v>2</v>
      </c>
      <c r="Y109" s="261">
        <f>SUMIFS('Annexe A  Plan RH'!$I4:$I85,'Annexe A  Plan RH'!$A4:$A85,"Sales",'Annexe A  Plan RH'!AM4:AM85,"&gt;0",'Annexe A  Plan RH'!$B4:$B85,"FR")</f>
        <v>2</v>
      </c>
      <c r="Z109" s="261">
        <f>SUMIFS('Annexe A  Plan RH'!$I4:$I85,'Annexe A  Plan RH'!$A4:$A85,"Sales",'Annexe A  Plan RH'!AN4:AN85,"&gt;0",'Annexe A  Plan RH'!$B4:$B85,"FR")</f>
        <v>2</v>
      </c>
      <c r="AA109" s="261">
        <f>SUMIFS('Annexe A  Plan RH'!$I4:$I85,'Annexe A  Plan RH'!$A4:$A85,"Sales",'Annexe A  Plan RH'!AO4:AO85,"&gt;0",'Annexe A  Plan RH'!$B4:$B85,"FR")</f>
        <v>2</v>
      </c>
      <c r="AB109" s="261">
        <f>SUMIFS('Annexe A  Plan RH'!$I4:$I85,'Annexe A  Plan RH'!$A4:$A85,"Sales",'Annexe A  Plan RH'!AP4:AP85,"&gt;0",'Annexe A  Plan RH'!$B4:$B85,"FR")</f>
        <v>2</v>
      </c>
      <c r="AC109" s="261">
        <f>SUMIFS('Annexe A  Plan RH'!$I4:$I85,'Annexe A  Plan RH'!$A4:$A85,"Sales",'Annexe A  Plan RH'!AQ4:AQ85,"&gt;0",'Annexe A  Plan RH'!$B4:$B85,"FR")</f>
        <v>2</v>
      </c>
      <c r="AD109" s="261">
        <f>SUMIFS('Annexe A  Plan RH'!$I4:$I85,'Annexe A  Plan RH'!$A4:$A85,"Sales",'Annexe A  Plan RH'!AR4:AR85,"&gt;0",'Annexe A  Plan RH'!$B4:$B85,"FR")</f>
        <v>2</v>
      </c>
      <c r="AE109" s="261">
        <f>SUMIFS('Annexe A  Plan RH'!$I4:$I85,'Annexe A  Plan RH'!$A4:$A85,"Sales",'Annexe A  Plan RH'!AS4:AS85,"&gt;0",'Annexe A  Plan RH'!$B4:$B85,"FR")</f>
        <v>2</v>
      </c>
      <c r="AF109" s="261">
        <f>SUMIFS('Annexe A  Plan RH'!$I4:$I85,'Annexe A  Plan RH'!$A4:$A85,"Sales",'Annexe A  Plan RH'!AT4:AT85,"&gt;0",'Annexe A  Plan RH'!$B4:$B85,"FR")</f>
        <v>2</v>
      </c>
      <c r="AG109" s="261">
        <f>SUMIFS('Annexe A  Plan RH'!$I4:$I85,'Annexe A  Plan RH'!$A4:$A85,"Sales",'Annexe A  Plan RH'!AU4:AU85,"&gt;0",'Annexe A  Plan RH'!$B4:$B85,"FR")</f>
        <v>2</v>
      </c>
      <c r="AH109" s="261">
        <f>SUMIFS('Annexe A  Plan RH'!$I4:$I85,'Annexe A  Plan RH'!$A4:$A85,"Sales",'Annexe A  Plan RH'!AV4:AV85,"&gt;0",'Annexe A  Plan RH'!$B4:$B85,"FR")</f>
        <v>2</v>
      </c>
      <c r="AI109" s="261">
        <f>SUMIFS('Annexe A  Plan RH'!$I4:$I85,'Annexe A  Plan RH'!$A4:$A85,"Sales",'Annexe A  Plan RH'!AW4:AW85,"&gt;0",'Annexe A  Plan RH'!$B4:$B85,"FR")</f>
        <v>2</v>
      </c>
      <c r="AJ109" s="261">
        <f>SUMIFS('Annexe A  Plan RH'!$I4:$I85,'Annexe A  Plan RH'!$A4:$A85,"Sales",'Annexe A  Plan RH'!AX4:AX85,"&gt;0",'Annexe A  Plan RH'!$B4:$B85,"FR")</f>
        <v>2</v>
      </c>
      <c r="AK109" s="261">
        <f>SUMIFS('Annexe A  Plan RH'!$I4:$I85,'Annexe A  Plan RH'!$A4:$A85,"Sales",'Annexe A  Plan RH'!AY4:AY85,"&gt;0",'Annexe A  Plan RH'!$B4:$B85,"FR")</f>
        <v>2</v>
      </c>
      <c r="AL109" s="261">
        <f>SUMIFS('Annexe A  Plan RH'!$I4:$I85,'Annexe A  Plan RH'!$A4:$A85,"Sales",'Annexe A  Plan RH'!AZ4:AZ85,"&gt;0",'Annexe A  Plan RH'!$B4:$B85,"FR")</f>
        <v>2</v>
      </c>
      <c r="AM109" s="261">
        <f>SUMIFS('Annexe A  Plan RH'!$I4:$I85,'Annexe A  Plan RH'!$A4:$A85,"Sales",'Annexe A  Plan RH'!BA4:BA85,"&gt;0",'Annexe A  Plan RH'!$B4:$B85,"FR")</f>
        <v>2</v>
      </c>
      <c r="AN109" s="261">
        <f>SUMIFS('Annexe A  Plan RH'!$I4:$I85,'Annexe A  Plan RH'!$A4:$A85,"Sales",'Annexe A  Plan RH'!BB4:BB85,"&gt;0",'Annexe A  Plan RH'!$B4:$B85,"FR")</f>
        <v>2</v>
      </c>
      <c r="AO109" s="261">
        <f>SUMIFS('Annexe A  Plan RH'!$I4:$I85,'Annexe A  Plan RH'!$A4:$A85,"Sales",'Annexe A  Plan RH'!BC4:BC85,"&gt;0",'Annexe A  Plan RH'!$B4:$B85,"FR")</f>
        <v>2</v>
      </c>
      <c r="AP109" s="261">
        <f>SUMIFS('Annexe A  Plan RH'!$I4:$I85,'Annexe A  Plan RH'!$A4:$A85,"Sales",'Annexe A  Plan RH'!BD4:BD85,"&gt;0",'Annexe A  Plan RH'!$B4:$B85,"FR")</f>
        <v>2</v>
      </c>
      <c r="AQ109" s="261">
        <f>SUMIFS('Annexe A  Plan RH'!$I4:$I85,'Annexe A  Plan RH'!$A4:$A85,"Sales",'Annexe A  Plan RH'!BE4:BE85,"&gt;0",'Annexe A  Plan RH'!$B4:$B85,"FR")</f>
        <v>2</v>
      </c>
      <c r="AR109" s="261">
        <f>SUMIFS('Annexe A  Plan RH'!$I4:$I85,'Annexe A  Plan RH'!$A4:$A85,"Sales",'Annexe A  Plan RH'!BF4:BF85,"&gt;0",'Annexe A  Plan RH'!$B4:$B85,"FR")</f>
        <v>2</v>
      </c>
      <c r="AS109" s="261">
        <f>SUMIFS('Annexe A  Plan RH'!$I4:$I85,'Annexe A  Plan RH'!$A4:$A85,"Sales",'Annexe A  Plan RH'!BG4:BG85,"&gt;0",'Annexe A  Plan RH'!$B4:$B85,"FR")</f>
        <v>2</v>
      </c>
      <c r="AT109" s="261">
        <f>SUMIFS('Annexe A  Plan RH'!$I4:$I85,'Annexe A  Plan RH'!$A4:$A85,"Sales",'Annexe A  Plan RH'!BH4:BH85,"&gt;0",'Annexe A  Plan RH'!$B4:$B85,"FR")</f>
        <v>2</v>
      </c>
      <c r="AU109" s="261">
        <f>SUMIFS('Annexe A  Plan RH'!$I4:$I85,'Annexe A  Plan RH'!$A4:$A85,"Sales",'Annexe A  Plan RH'!BI4:BI85,"&gt;0",'Annexe A  Plan RH'!$B4:$B85,"FR")</f>
        <v>2</v>
      </c>
      <c r="AV109" s="261">
        <f>SUMIFS('Annexe A  Plan RH'!$I4:$I85,'Annexe A  Plan RH'!$A4:$A85,"Sales",'Annexe A  Plan RH'!BJ4:BJ85,"&gt;0",'Annexe A  Plan RH'!$B4:$B85,"FR")</f>
        <v>2</v>
      </c>
      <c r="AW109" s="261">
        <f>SUMIFS('Annexe A  Plan RH'!$I4:$I85,'Annexe A  Plan RH'!$A4:$A85,"Sales",'Annexe A  Plan RH'!BK4:BK85,"&gt;0",'Annexe A  Plan RH'!$B4:$B85,"FR")</f>
        <v>2</v>
      </c>
      <c r="AX109" s="261">
        <f>SUMIFS('Annexe A  Plan RH'!$I4:$I85,'Annexe A  Plan RH'!$A4:$A85,"Sales",'Annexe A  Plan RH'!BL4:BL85,"&gt;0",'Annexe A  Plan RH'!$B4:$B85,"FR")</f>
        <v>2</v>
      </c>
      <c r="AY109" s="261">
        <f>SUMIFS('Annexe A  Plan RH'!$I4:$I85,'Annexe A  Plan RH'!$A4:$A85,"Sales",'Annexe A  Plan RH'!BM4:BM85,"&gt;0",'Annexe A  Plan RH'!$B4:$B85,"FR")</f>
        <v>2</v>
      </c>
      <c r="AZ109" s="261">
        <f>SUMIFS('Annexe A  Plan RH'!$I4:$I85,'Annexe A  Plan RH'!$A4:$A85,"Sales",'Annexe A  Plan RH'!BN4:BN85,"&gt;0",'Annexe A  Plan RH'!$B4:$B85,"FR")</f>
        <v>2</v>
      </c>
      <c r="BA109" s="261">
        <f>SUMIFS('Annexe A  Plan RH'!$I4:$I85,'Annexe A  Plan RH'!$A4:$A85,"Sales",'Annexe A  Plan RH'!BO4:BO85,"&gt;0",'Annexe A  Plan RH'!$B4:$B85,"FR")</f>
        <v>2</v>
      </c>
      <c r="BB109" s="261">
        <f>SUMIFS('Annexe A  Plan RH'!$I4:$I85,'Annexe A  Plan RH'!$A4:$A85,"Sales",'Annexe A  Plan RH'!BP4:BP85,"&gt;0",'Annexe A  Plan RH'!$B4:$B85,"FR")</f>
        <v>2</v>
      </c>
      <c r="BC109" s="261">
        <f>SUMIFS('Annexe A  Plan RH'!$I4:$I85,'Annexe A  Plan RH'!$A4:$A85,"Sales",'Annexe A  Plan RH'!BQ4:BQ85,"&gt;0",'Annexe A  Plan RH'!$B4:$B85,"FR")</f>
        <v>2</v>
      </c>
      <c r="BD109" s="261">
        <f>SUMIFS('Annexe A  Plan RH'!$I4:$I85,'Annexe A  Plan RH'!$A4:$A85,"Sales",'Annexe A  Plan RH'!BR4:BR85,"&gt;0",'Annexe A  Plan RH'!$B4:$B85,"FR")</f>
        <v>2</v>
      </c>
      <c r="BE109" s="261">
        <f>SUMIFS('Annexe A  Plan RH'!$I4:$I85,'Annexe A  Plan RH'!$A4:$A85,"Sales",'Annexe A  Plan RH'!BS4:BS85,"&gt;0",'Annexe A  Plan RH'!$B4:$B85,"FR")</f>
        <v>2</v>
      </c>
      <c r="BF109" s="261">
        <f>SUMIFS('Annexe A  Plan RH'!$I4:$I85,'Annexe A  Plan RH'!$A4:$A85,"Sales",'Annexe A  Plan RH'!BT4:BT85,"&gt;0",'Annexe A  Plan RH'!$B4:$B85,"FR")</f>
        <v>2</v>
      </c>
      <c r="BG109" s="261">
        <f>SUMIFS('Annexe A  Plan RH'!$I4:$I85,'Annexe A  Plan RH'!$A4:$A85,"Sales",'Annexe A  Plan RH'!BU4:BU85,"&gt;0",'Annexe A  Plan RH'!$B4:$B85,"FR")</f>
        <v>3</v>
      </c>
      <c r="BH109" s="261">
        <f>SUMIFS('Annexe A  Plan RH'!$I4:$I85,'Annexe A  Plan RH'!$A4:$A85,"Sales",'Annexe A  Plan RH'!BV4:BV85,"&gt;0",'Annexe A  Plan RH'!$B4:$B85,"FR")</f>
        <v>3</v>
      </c>
      <c r="BI109" s="261">
        <f>SUMIFS('Annexe A  Plan RH'!$I4:$I85,'Annexe A  Plan RH'!$A4:$A85,"Sales",'Annexe A  Plan RH'!BW4:BW85,"&gt;0",'Annexe A  Plan RH'!$B4:$B85,"FR")</f>
        <v>5</v>
      </c>
      <c r="BJ109" s="261">
        <f>SUMIFS('Annexe A  Plan RH'!$I4:$I85,'Annexe A  Plan RH'!$A4:$A85,"Sales",'Annexe A  Plan RH'!BX4:BX85,"&gt;0",'Annexe A  Plan RH'!$B4:$B85,"FR")</f>
        <v>7</v>
      </c>
      <c r="BK109" s="261">
        <f>SUMIFS('Annexe A  Plan RH'!$I4:$I85,'Annexe A  Plan RH'!$A4:$A85,"Sales",'Annexe A  Plan RH'!BY4:BY85,"&gt;0",'Annexe A  Plan RH'!$B4:$B85,"FR")</f>
        <v>7</v>
      </c>
      <c r="BL109" s="261">
        <f>SUMIFS('Annexe A  Plan RH'!$I4:$I85,'Annexe A  Plan RH'!$A4:$A85,"Sales",'Annexe A  Plan RH'!BZ4:BZ85,"&gt;0",'Annexe A  Plan RH'!$B4:$B85,"FR")</f>
        <v>9</v>
      </c>
      <c r="BM109" s="261">
        <f>SUMIFS('Annexe A  Plan RH'!$I4:$I85,'Annexe A  Plan RH'!$A4:$A85,"Sales",'Annexe A  Plan RH'!CA4:CA85,"&gt;0",'Annexe A  Plan RH'!$B4:$B85,"FR")</f>
        <v>9</v>
      </c>
      <c r="BN109" s="261">
        <f>SUMIFS('Annexe A  Plan RH'!$I4:$I85,'Annexe A  Plan RH'!$A4:$A85,"Sales",'Annexe A  Plan RH'!CB4:CB85,"&gt;0",'Annexe A  Plan RH'!$B4:$B85,"FR")</f>
        <v>9</v>
      </c>
      <c r="BO109" s="261">
        <f>SUMIFS('Annexe A  Plan RH'!$I4:$I85,'Annexe A  Plan RH'!$A4:$A85,"Sales",'Annexe A  Plan RH'!CC4:CC85,"&gt;0",'Annexe A  Plan RH'!$B4:$B85,"FR")</f>
        <v>9</v>
      </c>
      <c r="BP109" s="261">
        <f>SUMIFS('Annexe A  Plan RH'!$I4:$I85,'Annexe A  Plan RH'!$A4:$A85,"Sales",'Annexe A  Plan RH'!CD4:CD85,"&gt;0",'Annexe A  Plan RH'!$B4:$B85,"FR")</f>
        <v>9</v>
      </c>
      <c r="BQ109" s="261">
        <f>SUMIFS('Annexe A  Plan RH'!$I4:$I85,'Annexe A  Plan RH'!$A4:$A85,"Sales",'Annexe A  Plan RH'!CE4:CE85,"&gt;0",'Annexe A  Plan RH'!$B4:$B85,"FR")</f>
        <v>9</v>
      </c>
      <c r="BR109" s="261">
        <f>SUMIFS('Annexe A  Plan RH'!$I4:$I85,'Annexe A  Plan RH'!$A4:$A85,"Sales",'Annexe A  Plan RH'!CF4:CF85,"&gt;0",'Annexe A  Plan RH'!$B4:$B85,"FR")</f>
        <v>9</v>
      </c>
      <c r="BS109" s="261">
        <f>SUMIFS('Annexe A  Plan RH'!$I4:$I85,'Annexe A  Plan RH'!$A4:$A85,"Sales",'Annexe A  Plan RH'!CG4:CG85,"&gt;0",'Annexe A  Plan RH'!$B4:$B85,"FR")</f>
        <v>9</v>
      </c>
      <c r="BT109" s="261">
        <f>SUMIFS('Annexe A  Plan RH'!$I4:$I85,'Annexe A  Plan RH'!$A4:$A85,"Sales",'Annexe A  Plan RH'!CH4:CH85,"&gt;0",'Annexe A  Plan RH'!$B4:$B85,"FR")</f>
        <v>9</v>
      </c>
      <c r="BU109" s="261">
        <f>SUMIFS('Annexe A  Plan RH'!$I4:$I85,'Annexe A  Plan RH'!$A4:$A85,"Sales",'Annexe A  Plan RH'!CI4:CI85,"&gt;0",'Annexe A  Plan RH'!$B4:$B85,"FR")</f>
        <v>9</v>
      </c>
      <c r="BV109" s="261">
        <f>SUMIFS('Annexe A  Plan RH'!$I4:$I85,'Annexe A  Plan RH'!$A4:$A85,"Sales",'Annexe A  Plan RH'!CJ4:CJ85,"&gt;0",'Annexe A  Plan RH'!$B4:$B85,"FR")</f>
        <v>9</v>
      </c>
      <c r="BW109" s="261">
        <f>SUMIFS('Annexe A  Plan RH'!$I4:$I85,'Annexe A  Plan RH'!$A4:$A85,"Sales",'Annexe A  Plan RH'!CK4:CK85,"&gt;0",'Annexe A  Plan RH'!$B4:$B85,"FR")</f>
        <v>9</v>
      </c>
      <c r="BX109" s="261">
        <f>SUMIFS('Annexe A  Plan RH'!$I4:$I85,'Annexe A  Plan RH'!$A4:$A85,"Sales",'Annexe A  Plan RH'!CL4:CL85,"&gt;0",'Annexe A  Plan RH'!$B4:$B85,"FR")</f>
        <v>9</v>
      </c>
      <c r="BY109" s="261">
        <f>SUMIFS('Annexe A  Plan RH'!$I4:$I85,'Annexe A  Plan RH'!$A4:$A85,"Sales",'Annexe A  Plan RH'!CM4:CM85,"&gt;0",'Annexe A  Plan RH'!$B4:$B85,"FR")</f>
        <v>10</v>
      </c>
      <c r="BZ109" s="261">
        <f>SUMIFS('Annexe A  Plan RH'!$I4:$I85,'Annexe A  Plan RH'!$A4:$A85,"Sales",'Annexe A  Plan RH'!CN4:CN85,"&gt;0",'Annexe A  Plan RH'!$B4:$B85,"FR")</f>
        <v>10</v>
      </c>
      <c r="CA109" s="261">
        <f>SUMIFS('Annexe A  Plan RH'!$I4:$I85,'Annexe A  Plan RH'!$A4:$A85,"Sales",'Annexe A  Plan RH'!CO4:CO85,"&gt;0",'Annexe A  Plan RH'!$B4:$B85,"FR")</f>
        <v>10</v>
      </c>
      <c r="CB109" s="261">
        <f>SUMIFS('Annexe A  Plan RH'!$I4:$I85,'Annexe A  Plan RH'!$A4:$A85,"Sales",'Annexe A  Plan RH'!CP4:CP85,"&gt;0",'Annexe A  Plan RH'!$B4:$B85,"FR")</f>
        <v>10</v>
      </c>
      <c r="CC109" s="261">
        <f>SUMIFS('Annexe A  Plan RH'!$I4:$I85,'Annexe A  Plan RH'!$A4:$A85,"Sales",'Annexe A  Plan RH'!CQ4:CQ85,"&gt;0",'Annexe A  Plan RH'!$B4:$B85,"FR")</f>
        <v>10</v>
      </c>
      <c r="CD109" s="261"/>
    </row>
    <row r="110" spans="1:82" ht="13">
      <c r="A110" s="301" t="s">
        <v>84</v>
      </c>
      <c r="C110" s="11">
        <f>SUMIFS('Annexe A  Plan RH'!$I4:$I85,'Annexe A  Plan RH'!$A4:$A85,"Sales",'Annexe A  Plan RH'!Q4:Q85,"&gt;0",'Annexe A  Plan RH'!$B4:$B85,"ES")</f>
        <v>0</v>
      </c>
      <c r="D110" s="11">
        <f>SUMIFS('Annexe A  Plan RH'!$I4:$I85,'Annexe A  Plan RH'!$A4:$A85,"Sales",'Annexe A  Plan RH'!R4:R85,"&gt;0",'Annexe A  Plan RH'!$B4:$B85,"ES")</f>
        <v>0</v>
      </c>
      <c r="E110" s="11">
        <f>SUMIFS('Annexe A  Plan RH'!$I4:$I85,'Annexe A  Plan RH'!$A4:$A85,"Sales",'Annexe A  Plan RH'!S4:S85,"&gt;0",'Annexe A  Plan RH'!$B4:$B85,"ES")</f>
        <v>0</v>
      </c>
      <c r="F110" s="11">
        <f>SUMIFS('Annexe A  Plan RH'!$I4:$I85,'Annexe A  Plan RH'!$A4:$A85,"Sales",'Annexe A  Plan RH'!T4:T85,"&gt;0",'Annexe A  Plan RH'!$B4:$B85,"ES")</f>
        <v>0</v>
      </c>
      <c r="G110" s="11">
        <f>SUMIFS('Annexe A  Plan RH'!$I4:$I85,'Annexe A  Plan RH'!$A4:$A85,"Sales",'Annexe A  Plan RH'!U4:U85,"&gt;0",'Annexe A  Plan RH'!$B4:$B85,"ES")</f>
        <v>0</v>
      </c>
      <c r="H110" s="11">
        <f>SUMIFS('Annexe A  Plan RH'!$I4:$I85,'Annexe A  Plan RH'!$A4:$A85,"Sales",'Annexe A  Plan RH'!V4:V85,"&gt;0",'Annexe A  Plan RH'!$B4:$B85,"ES")</f>
        <v>0</v>
      </c>
      <c r="I110" s="11">
        <f>SUMIFS('Annexe A  Plan RH'!$I4:$I85,'Annexe A  Plan RH'!$A4:$A85,"Sales",'Annexe A  Plan RH'!W4:W85,"&gt;0",'Annexe A  Plan RH'!$B4:$B85,"ES")</f>
        <v>0</v>
      </c>
      <c r="J110" s="11">
        <f>SUMIFS('Annexe A  Plan RH'!$I4:$I85,'Annexe A  Plan RH'!$A4:$A85,"Sales",'Annexe A  Plan RH'!X4:X85,"&gt;0",'Annexe A  Plan RH'!$B4:$B85,"ES")</f>
        <v>0</v>
      </c>
      <c r="K110" s="11">
        <f>SUMIFS('Annexe A  Plan RH'!$I4:$I85,'Annexe A  Plan RH'!$A4:$A85,"Sales",'Annexe A  Plan RH'!Y4:Y85,"&gt;0",'Annexe A  Plan RH'!$B4:$B85,"ES")</f>
        <v>0</v>
      </c>
      <c r="L110" s="11">
        <f>SUMIFS('Annexe A  Plan RH'!$I4:$I85,'Annexe A  Plan RH'!$A4:$A85,"Sales",'Annexe A  Plan RH'!Z4:Z85,"&gt;0",'Annexe A  Plan RH'!$B4:$B85,"ES")</f>
        <v>0</v>
      </c>
      <c r="M110" s="11">
        <f>SUMIFS('Annexe A  Plan RH'!$I4:$I85,'Annexe A  Plan RH'!$A4:$A85,"Sales",'Annexe A  Plan RH'!AA4:AA85,"&gt;0",'Annexe A  Plan RH'!$B4:$B85,"ES")</f>
        <v>0</v>
      </c>
      <c r="N110" s="11">
        <f>SUMIFS('Annexe A  Plan RH'!$I4:$I85,'Annexe A  Plan RH'!$A4:$A85,"Sales",'Annexe A  Plan RH'!AB4:AB85,"&gt;0",'Annexe A  Plan RH'!$B4:$B85,"ES")</f>
        <v>0</v>
      </c>
      <c r="O110" s="11">
        <f>SUMIFS('Annexe A  Plan RH'!$I4:$I85,'Annexe A  Plan RH'!$A4:$A85,"Sales",'Annexe A  Plan RH'!AC4:AC85,"&gt;0",'Annexe A  Plan RH'!$B4:$B85,"ES")</f>
        <v>0</v>
      </c>
      <c r="P110" s="11">
        <f>SUMIFS('Annexe A  Plan RH'!$I4:$I85,'Annexe A  Plan RH'!$A4:$A85,"Sales",'Annexe A  Plan RH'!AD4:AD85,"&gt;0",'Annexe A  Plan RH'!$B4:$B85,"ES")</f>
        <v>0</v>
      </c>
      <c r="Q110" s="11">
        <f>SUMIFS('Annexe A  Plan RH'!$I4:$I85,'Annexe A  Plan RH'!$A4:$A85,"Sales",'Annexe A  Plan RH'!AE4:AE85,"&gt;0",'Annexe A  Plan RH'!$B4:$B85,"ES")</f>
        <v>0</v>
      </c>
      <c r="R110" s="11">
        <f>SUMIFS('Annexe A  Plan RH'!$I4:$I85,'Annexe A  Plan RH'!$A4:$A85,"Sales",'Annexe A  Plan RH'!AF4:AF85,"&gt;0",'Annexe A  Plan RH'!$B4:$B85,"ES")</f>
        <v>0</v>
      </c>
      <c r="S110" s="11">
        <f>SUMIFS('Annexe A  Plan RH'!$I4:$I85,'Annexe A  Plan RH'!$A4:$A85,"Sales",'Annexe A  Plan RH'!AG4:AG85,"&gt;0",'Annexe A  Plan RH'!$B4:$B85,"ES")</f>
        <v>0</v>
      </c>
      <c r="T110" s="11">
        <f>SUMIFS('Annexe A  Plan RH'!$I4:$I85,'Annexe A  Plan RH'!$A4:$A85,"Sales",'Annexe A  Plan RH'!AH4:AH85,"&gt;0",'Annexe A  Plan RH'!$B4:$B85,"ES")</f>
        <v>0</v>
      </c>
      <c r="U110" s="11">
        <f>SUMIFS('Annexe A  Plan RH'!$I4:$I85,'Annexe A  Plan RH'!$A4:$A85,"Sales",'Annexe A  Plan RH'!AI4:AI85,"&gt;0",'Annexe A  Plan RH'!$B4:$B85,"ES")</f>
        <v>0</v>
      </c>
      <c r="V110" s="11">
        <f>SUMIFS('Annexe A  Plan RH'!$I4:$I85,'Annexe A  Plan RH'!$A4:$A85,"Sales",'Annexe A  Plan RH'!AJ4:AJ85,"&gt;0",'Annexe A  Plan RH'!$B4:$B85,"ES")</f>
        <v>0</v>
      </c>
      <c r="W110" s="11">
        <f>SUMIFS('Annexe A  Plan RH'!$I4:$I85,'Annexe A  Plan RH'!$A4:$A85,"Sales",'Annexe A  Plan RH'!AK4:AK85,"&gt;0",'Annexe A  Plan RH'!$B4:$B85,"ES")</f>
        <v>0</v>
      </c>
      <c r="X110" s="11">
        <f>SUMIFS('Annexe A  Plan RH'!$I4:$I85,'Annexe A  Plan RH'!$A4:$A85,"Sales",'Annexe A  Plan RH'!AL4:AL85,"&gt;0",'Annexe A  Plan RH'!$B4:$B85,"ES")</f>
        <v>0</v>
      </c>
      <c r="Y110" s="11">
        <f>SUMIFS('Annexe A  Plan RH'!$I4:$I85,'Annexe A  Plan RH'!$A4:$A85,"Sales",'Annexe A  Plan RH'!AM4:AM85,"&gt;0",'Annexe A  Plan RH'!$B4:$B85,"ES")</f>
        <v>0</v>
      </c>
      <c r="Z110" s="11">
        <f>SUMIFS('Annexe A  Plan RH'!$I4:$I85,'Annexe A  Plan RH'!$A4:$A85,"Sales",'Annexe A  Plan RH'!AN4:AN85,"&gt;0",'Annexe A  Plan RH'!$B4:$B85,"ES")</f>
        <v>0</v>
      </c>
      <c r="AA110" s="11">
        <f>SUMIFS('Annexe A  Plan RH'!$I4:$I85,'Annexe A  Plan RH'!$A4:$A85,"Sales",'Annexe A  Plan RH'!AO4:AO85,"&gt;0",'Annexe A  Plan RH'!$B4:$B85,"ES")</f>
        <v>0</v>
      </c>
      <c r="AB110" s="11">
        <f>SUMIFS('Annexe A  Plan RH'!$I4:$I85,'Annexe A  Plan RH'!$A4:$A85,"Sales",'Annexe A  Plan RH'!AP4:AP85,"&gt;0",'Annexe A  Plan RH'!$B4:$B85,"ES")</f>
        <v>0</v>
      </c>
      <c r="AC110" s="11">
        <f>SUMIFS('Annexe A  Plan RH'!$I4:$I85,'Annexe A  Plan RH'!$A4:$A85,"Sales",'Annexe A  Plan RH'!AQ4:AQ85,"&gt;0",'Annexe A  Plan RH'!$B4:$B85,"ES")</f>
        <v>0</v>
      </c>
      <c r="AD110" s="11">
        <f>SUMIFS('Annexe A  Plan RH'!$I4:$I85,'Annexe A  Plan RH'!$A4:$A85,"Sales",'Annexe A  Plan RH'!AR4:AR85,"&gt;0",'Annexe A  Plan RH'!$B4:$B85,"ES")</f>
        <v>0</v>
      </c>
      <c r="AE110" s="11">
        <f>SUMIFS('Annexe A  Plan RH'!$I4:$I85,'Annexe A  Plan RH'!$A4:$A85,"Sales",'Annexe A  Plan RH'!AS4:AS85,"&gt;0",'Annexe A  Plan RH'!$B4:$B85,"ES")</f>
        <v>0</v>
      </c>
      <c r="AF110" s="11">
        <f>SUMIFS('Annexe A  Plan RH'!$I4:$I85,'Annexe A  Plan RH'!$A4:$A85,"Sales",'Annexe A  Plan RH'!AT4:AT85,"&gt;0",'Annexe A  Plan RH'!$B4:$B85,"ES")</f>
        <v>0</v>
      </c>
      <c r="AG110" s="11">
        <f>SUMIFS('Annexe A  Plan RH'!$I4:$I85,'Annexe A  Plan RH'!$A4:$A85,"Sales",'Annexe A  Plan RH'!AU4:AU85,"&gt;0",'Annexe A  Plan RH'!$B4:$B85,"ES")</f>
        <v>0</v>
      </c>
      <c r="AH110" s="11">
        <f>SUMIFS('Annexe A  Plan RH'!$I4:$I85,'Annexe A  Plan RH'!$A4:$A85,"Sales",'Annexe A  Plan RH'!AV4:AV85,"&gt;0",'Annexe A  Plan RH'!$B4:$B85,"ES")</f>
        <v>0</v>
      </c>
      <c r="AI110" s="11">
        <f>SUMIFS('Annexe A  Plan RH'!$I4:$I85,'Annexe A  Plan RH'!$A4:$A85,"Sales",'Annexe A  Plan RH'!AW4:AW85,"&gt;0",'Annexe A  Plan RH'!$B4:$B85,"ES")</f>
        <v>0</v>
      </c>
      <c r="AJ110" s="11">
        <f>SUMIFS('Annexe A  Plan RH'!$I4:$I85,'Annexe A  Plan RH'!$A4:$A85,"Sales",'Annexe A  Plan RH'!AX4:AX85,"&gt;0",'Annexe A  Plan RH'!$B4:$B85,"ES")</f>
        <v>0</v>
      </c>
      <c r="AK110" s="11">
        <f>SUMIFS('Annexe A  Plan RH'!$I4:$I85,'Annexe A  Plan RH'!$A4:$A85,"Sales",'Annexe A  Plan RH'!AY4:AY85,"&gt;0",'Annexe A  Plan RH'!$B4:$B85,"ES")</f>
        <v>0</v>
      </c>
      <c r="AL110" s="11">
        <f>SUMIFS('Annexe A  Plan RH'!$I4:$I85,'Annexe A  Plan RH'!$A4:$A85,"Sales",'Annexe A  Plan RH'!AZ4:AZ85,"&gt;0",'Annexe A  Plan RH'!$B4:$B85,"ES")</f>
        <v>0</v>
      </c>
      <c r="AM110" s="11">
        <f>SUMIFS('Annexe A  Plan RH'!$I4:$I85,'Annexe A  Plan RH'!$A4:$A85,"Sales",'Annexe A  Plan RH'!BA4:BA85,"&gt;0",'Annexe A  Plan RH'!$B4:$B85,"ES")</f>
        <v>0</v>
      </c>
      <c r="AN110" s="11">
        <f>SUMIFS('Annexe A  Plan RH'!$I4:$I85,'Annexe A  Plan RH'!$A4:$A85,"Sales",'Annexe A  Plan RH'!BB4:BB85,"&gt;0",'Annexe A  Plan RH'!$B4:$B85,"ES")</f>
        <v>0</v>
      </c>
      <c r="AO110" s="11">
        <f>SUMIFS('Annexe A  Plan RH'!$I4:$I85,'Annexe A  Plan RH'!$A4:$A85,"Sales",'Annexe A  Plan RH'!BC4:BC85,"&gt;0",'Annexe A  Plan RH'!$B4:$B85,"ES")</f>
        <v>0</v>
      </c>
      <c r="AP110" s="11">
        <f>SUMIFS('Annexe A  Plan RH'!$I4:$I85,'Annexe A  Plan RH'!$A4:$A85,"Sales",'Annexe A  Plan RH'!BD4:BD85,"&gt;0",'Annexe A  Plan RH'!$B4:$B85,"ES")</f>
        <v>0</v>
      </c>
      <c r="AQ110" s="11">
        <f>SUMIFS('Annexe A  Plan RH'!$I4:$I85,'Annexe A  Plan RH'!$A4:$A85,"Sales",'Annexe A  Plan RH'!BE4:BE85,"&gt;0",'Annexe A  Plan RH'!$B4:$B85,"ES")</f>
        <v>0</v>
      </c>
      <c r="AR110" s="11">
        <f>SUMIFS('Annexe A  Plan RH'!$I4:$I85,'Annexe A  Plan RH'!$A4:$A85,"Sales",'Annexe A  Plan RH'!BF4:BF85,"&gt;0",'Annexe A  Plan RH'!$B4:$B85,"ES")</f>
        <v>0</v>
      </c>
      <c r="AS110" s="11">
        <f>SUMIFS('Annexe A  Plan RH'!$I4:$I85,'Annexe A  Plan RH'!$A4:$A85,"Sales",'Annexe A  Plan RH'!BG4:BG85,"&gt;0",'Annexe A  Plan RH'!$B4:$B85,"ES")</f>
        <v>0</v>
      </c>
      <c r="AT110" s="11">
        <f>SUMIFS('Annexe A  Plan RH'!$I4:$I85,'Annexe A  Plan RH'!$A4:$A85,"Sales",'Annexe A  Plan RH'!BH4:BH85,"&gt;0",'Annexe A  Plan RH'!$B4:$B85,"ES")</f>
        <v>0</v>
      </c>
      <c r="AU110" s="11">
        <f>SUMIFS('Annexe A  Plan RH'!$I4:$I85,'Annexe A  Plan RH'!$A4:$A85,"Sales",'Annexe A  Plan RH'!BI4:BI85,"&gt;0",'Annexe A  Plan RH'!$B4:$B85,"ES")</f>
        <v>0</v>
      </c>
      <c r="AV110" s="11">
        <f>SUMIFS('Annexe A  Plan RH'!$I4:$I85,'Annexe A  Plan RH'!$A4:$A85,"Sales",'Annexe A  Plan RH'!BJ4:BJ85,"&gt;0",'Annexe A  Plan RH'!$B4:$B85,"ES")</f>
        <v>0</v>
      </c>
      <c r="AW110" s="11">
        <f>SUMIFS('Annexe A  Plan RH'!$I4:$I85,'Annexe A  Plan RH'!$A4:$A85,"Sales",'Annexe A  Plan RH'!BK4:BK85,"&gt;0",'Annexe A  Plan RH'!$B4:$B85,"ES")</f>
        <v>0</v>
      </c>
      <c r="AX110" s="11">
        <f>SUMIFS('Annexe A  Plan RH'!$I4:$I85,'Annexe A  Plan RH'!$A4:$A85,"Sales",'Annexe A  Plan RH'!BL4:BL85,"&gt;0",'Annexe A  Plan RH'!$B4:$B85,"ES")</f>
        <v>0</v>
      </c>
      <c r="AY110" s="11">
        <f>SUMIFS('Annexe A  Plan RH'!$I4:$I85,'Annexe A  Plan RH'!$A4:$A85,"Sales",'Annexe A  Plan RH'!BM4:BM85,"&gt;0",'Annexe A  Plan RH'!$B4:$B85,"ES")</f>
        <v>0</v>
      </c>
      <c r="AZ110" s="11">
        <f>SUMIFS('Annexe A  Plan RH'!$I4:$I85,'Annexe A  Plan RH'!$A4:$A85,"Sales",'Annexe A  Plan RH'!BN4:BN85,"&gt;0",'Annexe A  Plan RH'!$B4:$B85,"ES")</f>
        <v>0</v>
      </c>
      <c r="BA110" s="11">
        <f>SUMIFS('Annexe A  Plan RH'!$I4:$I85,'Annexe A  Plan RH'!$A4:$A85,"Sales",'Annexe A  Plan RH'!BO4:BO85,"&gt;0",'Annexe A  Plan RH'!$B4:$B85,"ES")</f>
        <v>0</v>
      </c>
      <c r="BB110" s="11">
        <f>SUMIFS('Annexe A  Plan RH'!$I4:$I85,'Annexe A  Plan RH'!$A4:$A85,"Sales",'Annexe A  Plan RH'!BP4:BP85,"&gt;0",'Annexe A  Plan RH'!$B4:$B85,"ES")</f>
        <v>0</v>
      </c>
      <c r="BC110" s="11">
        <f>SUMIFS('Annexe A  Plan RH'!$I4:$I85,'Annexe A  Plan RH'!$A4:$A85,"Sales",'Annexe A  Plan RH'!BQ4:BQ85,"&gt;0",'Annexe A  Plan RH'!$B4:$B85,"ES")</f>
        <v>0</v>
      </c>
      <c r="BD110" s="11">
        <f>SUMIFS('Annexe A  Plan RH'!$I4:$I85,'Annexe A  Plan RH'!$A4:$A85,"Sales",'Annexe A  Plan RH'!BR4:BR85,"&gt;0",'Annexe A  Plan RH'!$B4:$B85,"ES")</f>
        <v>0</v>
      </c>
      <c r="BE110" s="11">
        <f>SUMIFS('Annexe A  Plan RH'!$I4:$I85,'Annexe A  Plan RH'!$A4:$A85,"Sales",'Annexe A  Plan RH'!BS4:BS85,"&gt;0",'Annexe A  Plan RH'!$B4:$B85,"ES")</f>
        <v>0</v>
      </c>
      <c r="BF110" s="11">
        <f>SUMIFS('Annexe A  Plan RH'!$I4:$I85,'Annexe A  Plan RH'!$A4:$A85,"Sales",'Annexe A  Plan RH'!BT4:BT85,"&gt;0",'Annexe A  Plan RH'!$B4:$B85,"ES")</f>
        <v>0</v>
      </c>
      <c r="BG110" s="11">
        <f>SUMIFS('Annexe A  Plan RH'!$I4:$I85,'Annexe A  Plan RH'!$A4:$A85,"Sales",'Annexe A  Plan RH'!BU4:BU85,"&gt;0",'Annexe A  Plan RH'!$B4:$B85,"ES")</f>
        <v>1</v>
      </c>
      <c r="BH110" s="11">
        <f>SUMIFS('Annexe A  Plan RH'!$I4:$I85,'Annexe A  Plan RH'!$A4:$A85,"Sales",'Annexe A  Plan RH'!BV4:BV85,"&gt;0",'Annexe A  Plan RH'!$B4:$B85,"ES")</f>
        <v>1</v>
      </c>
      <c r="BI110" s="11">
        <f>SUMIFS('Annexe A  Plan RH'!$I4:$I85,'Annexe A  Plan RH'!$A4:$A85,"Sales",'Annexe A  Plan RH'!BW4:BW85,"&gt;0",'Annexe A  Plan RH'!$B4:$B85,"ES")</f>
        <v>1</v>
      </c>
      <c r="BJ110" s="11">
        <f>SUMIFS('Annexe A  Plan RH'!$I4:$I85,'Annexe A  Plan RH'!$A4:$A85,"Sales",'Annexe A  Plan RH'!BX4:BX85,"&gt;0",'Annexe A  Plan RH'!$B4:$B85,"ES")</f>
        <v>1</v>
      </c>
      <c r="BK110" s="11">
        <f>SUMIFS('Annexe A  Plan RH'!$I4:$I85,'Annexe A  Plan RH'!$A4:$A85,"Sales",'Annexe A  Plan RH'!BY4:BY85,"&gt;0",'Annexe A  Plan RH'!$B4:$B85,"ES")</f>
        <v>1</v>
      </c>
      <c r="BL110" s="11">
        <f>SUMIFS('Annexe A  Plan RH'!$I4:$I85,'Annexe A  Plan RH'!$A4:$A85,"Sales",'Annexe A  Plan RH'!BZ4:BZ85,"&gt;0",'Annexe A  Plan RH'!$B4:$B85,"ES")</f>
        <v>1</v>
      </c>
      <c r="BM110" s="11">
        <f>SUMIFS('Annexe A  Plan RH'!$I4:$I85,'Annexe A  Plan RH'!$A4:$A85,"Sales",'Annexe A  Plan RH'!CA4:CA85,"&gt;0",'Annexe A  Plan RH'!$B4:$B85,"ES")</f>
        <v>1</v>
      </c>
      <c r="BN110" s="11">
        <f>SUMIFS('Annexe A  Plan RH'!$I4:$I85,'Annexe A  Plan RH'!$A4:$A85,"Sales",'Annexe A  Plan RH'!CB4:CB85,"&gt;0",'Annexe A  Plan RH'!$B4:$B85,"ES")</f>
        <v>1</v>
      </c>
      <c r="BO110" s="11">
        <f>SUMIFS('Annexe A  Plan RH'!$I4:$I85,'Annexe A  Plan RH'!$A4:$A85,"Sales",'Annexe A  Plan RH'!CC4:CC85,"&gt;0",'Annexe A  Plan RH'!$B4:$B85,"ES")</f>
        <v>1</v>
      </c>
      <c r="BP110" s="11">
        <f>SUMIFS('Annexe A  Plan RH'!$I4:$I85,'Annexe A  Plan RH'!$A4:$A85,"Sales",'Annexe A  Plan RH'!CD4:CD85,"&gt;0",'Annexe A  Plan RH'!$B4:$B85,"ES")</f>
        <v>1</v>
      </c>
      <c r="BQ110" s="11">
        <f>SUMIFS('Annexe A  Plan RH'!$I4:$I85,'Annexe A  Plan RH'!$A4:$A85,"Sales",'Annexe A  Plan RH'!CE4:CE85,"&gt;0",'Annexe A  Plan RH'!$B4:$B85,"ES")</f>
        <v>1</v>
      </c>
      <c r="BR110" s="11">
        <f>SUMIFS('Annexe A  Plan RH'!$I4:$I85,'Annexe A  Plan RH'!$A4:$A85,"Sales",'Annexe A  Plan RH'!CF4:CF85,"&gt;0",'Annexe A  Plan RH'!$B4:$B85,"ES")</f>
        <v>2</v>
      </c>
      <c r="BS110" s="11">
        <f>SUMIFS('Annexe A  Plan RH'!$I4:$I85,'Annexe A  Plan RH'!$A4:$A85,"Sales",'Annexe A  Plan RH'!CG4:CG85,"&gt;0",'Annexe A  Plan RH'!$B4:$B85,"ES")</f>
        <v>2</v>
      </c>
      <c r="BT110" s="11">
        <f>SUMIFS('Annexe A  Plan RH'!$I4:$I85,'Annexe A  Plan RH'!$A4:$A85,"Sales",'Annexe A  Plan RH'!CH4:CH85,"&gt;0",'Annexe A  Plan RH'!$B4:$B85,"ES")</f>
        <v>2</v>
      </c>
      <c r="BU110" s="11">
        <f>SUMIFS('Annexe A  Plan RH'!$I4:$I85,'Annexe A  Plan RH'!$A4:$A85,"Sales",'Annexe A  Plan RH'!CI4:CI85,"&gt;0",'Annexe A  Plan RH'!$B4:$B85,"ES")</f>
        <v>2</v>
      </c>
      <c r="BV110" s="11">
        <f>SUMIFS('Annexe A  Plan RH'!$I4:$I85,'Annexe A  Plan RH'!$A4:$A85,"Sales",'Annexe A  Plan RH'!CJ4:CJ85,"&gt;0",'Annexe A  Plan RH'!$B4:$B85,"ES")</f>
        <v>2</v>
      </c>
      <c r="BW110" s="11">
        <f>SUMIFS('Annexe A  Plan RH'!$I4:$I85,'Annexe A  Plan RH'!$A4:$A85,"Sales",'Annexe A  Plan RH'!CK4:CK85,"&gt;0",'Annexe A  Plan RH'!$B4:$B85,"ES")</f>
        <v>4</v>
      </c>
      <c r="BX110" s="11">
        <f>SUMIFS('Annexe A  Plan RH'!$I4:$I85,'Annexe A  Plan RH'!$A4:$A85,"Sales",'Annexe A  Plan RH'!CL4:CL85,"&gt;0",'Annexe A  Plan RH'!$B4:$B85,"ES")</f>
        <v>4</v>
      </c>
      <c r="BY110" s="11">
        <f>SUMIFS('Annexe A  Plan RH'!$I4:$I85,'Annexe A  Plan RH'!$A4:$A85,"Sales",'Annexe A  Plan RH'!CM4:CM85,"&gt;0",'Annexe A  Plan RH'!$B4:$B85,"ES")</f>
        <v>4</v>
      </c>
      <c r="BZ110" s="11">
        <f>SUMIFS('Annexe A  Plan RH'!$I4:$I85,'Annexe A  Plan RH'!$A4:$A85,"Sales",'Annexe A  Plan RH'!CN4:CN85,"&gt;0",'Annexe A  Plan RH'!$B4:$B85,"ES")</f>
        <v>4</v>
      </c>
      <c r="CA110" s="11">
        <f>SUMIFS('Annexe A  Plan RH'!$I4:$I85,'Annexe A  Plan RH'!$A4:$A85,"Sales",'Annexe A  Plan RH'!CO4:CO85,"&gt;0",'Annexe A  Plan RH'!$B4:$B85,"ES")</f>
        <v>6</v>
      </c>
      <c r="CB110" s="11">
        <f>SUMIFS('Annexe A  Plan RH'!$I4:$I85,'Annexe A  Plan RH'!$A4:$A85,"Sales",'Annexe A  Plan RH'!CP4:CP85,"&gt;0",'Annexe A  Plan RH'!$B4:$B85,"ES")</f>
        <v>6</v>
      </c>
      <c r="CC110" s="11">
        <f>SUMIFS('Annexe A  Plan RH'!$I4:$I85,'Annexe A  Plan RH'!$A4:$A85,"Sales",'Annexe A  Plan RH'!CQ4:CQ85,"&gt;0",'Annexe A  Plan RH'!$B4:$B85,"ES")</f>
        <v>6</v>
      </c>
      <c r="CD110" s="302"/>
    </row>
    <row r="111" spans="1:82" ht="13">
      <c r="A111" s="108" t="s">
        <v>85</v>
      </c>
      <c r="C111" s="11">
        <f>SUMIFS('Annexe A  Plan RH'!$I4:$I85,'Annexe A  Plan RH'!$A4:$A85,"Sales",'Annexe A  Plan RH'!Q4:Q85,"&gt;0",'Annexe A  Plan RH'!$B4:$B85,"CH")</f>
        <v>0</v>
      </c>
      <c r="D111" s="11">
        <f>SUMIFS('Annexe A  Plan RH'!$I4:$I85,'Annexe A  Plan RH'!$A4:$A85,"Sales",'Annexe A  Plan RH'!R4:R85,"&gt;0",'Annexe A  Plan RH'!$B4:$B85,"CH")</f>
        <v>0</v>
      </c>
      <c r="E111" s="11">
        <f>SUMIFS('Annexe A  Plan RH'!$I4:$I85,'Annexe A  Plan RH'!$A4:$A85,"Sales",'Annexe A  Plan RH'!S4:S85,"&gt;0",'Annexe A  Plan RH'!$B4:$B85,"CH")</f>
        <v>0</v>
      </c>
      <c r="F111" s="11">
        <f>SUMIFS('Annexe A  Plan RH'!$I4:$I85,'Annexe A  Plan RH'!$A4:$A85,"Sales",'Annexe A  Plan RH'!T4:T85,"&gt;0",'Annexe A  Plan RH'!$B4:$B85,"CH")</f>
        <v>0</v>
      </c>
      <c r="G111" s="11">
        <f>SUMIFS('Annexe A  Plan RH'!$I4:$I85,'Annexe A  Plan RH'!$A4:$A85,"Sales",'Annexe A  Plan RH'!U4:U85,"&gt;0",'Annexe A  Plan RH'!$B4:$B85,"CH")</f>
        <v>0</v>
      </c>
      <c r="H111" s="11">
        <f>SUMIFS('Annexe A  Plan RH'!$I4:$I85,'Annexe A  Plan RH'!$A4:$A85,"Sales",'Annexe A  Plan RH'!V4:V85,"&gt;0",'Annexe A  Plan RH'!$B4:$B85,"CH")</f>
        <v>0</v>
      </c>
      <c r="I111" s="11">
        <f>SUMIFS('Annexe A  Plan RH'!$I4:$I85,'Annexe A  Plan RH'!$A4:$A85,"Sales",'Annexe A  Plan RH'!W4:W85,"&gt;0",'Annexe A  Plan RH'!$B4:$B85,"CH")</f>
        <v>0</v>
      </c>
      <c r="J111" s="11">
        <f>SUMIFS('Annexe A  Plan RH'!$I4:$I85,'Annexe A  Plan RH'!$A4:$A85,"Sales",'Annexe A  Plan RH'!X4:X85,"&gt;0",'Annexe A  Plan RH'!$B4:$B85,"CH")</f>
        <v>0</v>
      </c>
      <c r="K111" s="11">
        <f>SUMIFS('Annexe A  Plan RH'!$I4:$I85,'Annexe A  Plan RH'!$A4:$A85,"Sales",'Annexe A  Plan RH'!Y4:Y85,"&gt;0",'Annexe A  Plan RH'!$B4:$B85,"CH")</f>
        <v>0</v>
      </c>
      <c r="L111" s="11">
        <f>SUMIFS('Annexe A  Plan RH'!$I4:$I85,'Annexe A  Plan RH'!$A4:$A85,"Sales",'Annexe A  Plan RH'!Z4:Z85,"&gt;0",'Annexe A  Plan RH'!$B4:$B85,"CH")</f>
        <v>0</v>
      </c>
      <c r="M111" s="11">
        <f>SUMIFS('Annexe A  Plan RH'!$I4:$I85,'Annexe A  Plan RH'!$A4:$A85,"Sales",'Annexe A  Plan RH'!AA4:AA85,"&gt;0",'Annexe A  Plan RH'!$B4:$B85,"CH")</f>
        <v>0</v>
      </c>
      <c r="N111" s="11">
        <f>SUMIFS('Annexe A  Plan RH'!$I4:$I85,'Annexe A  Plan RH'!$A4:$A85,"Sales",'Annexe A  Plan RH'!AB4:AB85,"&gt;0",'Annexe A  Plan RH'!$B4:$B85,"CH")</f>
        <v>0</v>
      </c>
      <c r="O111" s="11">
        <f>SUMIFS('Annexe A  Plan RH'!$I4:$I85,'Annexe A  Plan RH'!$A4:$A85,"Sales",'Annexe A  Plan RH'!AC4:AC85,"&gt;0",'Annexe A  Plan RH'!$B4:$B85,"CH")</f>
        <v>0</v>
      </c>
      <c r="P111" s="11">
        <f>SUMIFS('Annexe A  Plan RH'!$I4:$I85,'Annexe A  Plan RH'!$A4:$A85,"Sales",'Annexe A  Plan RH'!AD4:AD85,"&gt;0",'Annexe A  Plan RH'!$B4:$B85,"CH")</f>
        <v>0</v>
      </c>
      <c r="Q111" s="11">
        <f>SUMIFS('Annexe A  Plan RH'!$I4:$I85,'Annexe A  Plan RH'!$A4:$A85,"Sales",'Annexe A  Plan RH'!AE4:AE85,"&gt;0",'Annexe A  Plan RH'!$B4:$B85,"CH")</f>
        <v>0</v>
      </c>
      <c r="R111" s="11">
        <f>SUMIFS('Annexe A  Plan RH'!$I4:$I85,'Annexe A  Plan RH'!$A4:$A85,"Sales",'Annexe A  Plan RH'!AF4:AF85,"&gt;0",'Annexe A  Plan RH'!$B4:$B85,"CH")</f>
        <v>0</v>
      </c>
      <c r="S111" s="11">
        <f>SUMIFS('Annexe A  Plan RH'!$I4:$I85,'Annexe A  Plan RH'!$A4:$A85,"Sales",'Annexe A  Plan RH'!AG4:AG85,"&gt;0",'Annexe A  Plan RH'!$B4:$B85,"CH")</f>
        <v>0</v>
      </c>
      <c r="T111" s="11">
        <f>SUMIFS('Annexe A  Plan RH'!$I4:$I85,'Annexe A  Plan RH'!$A4:$A85,"Sales",'Annexe A  Plan RH'!AH4:AH85,"&gt;0",'Annexe A  Plan RH'!$B4:$B85,"CH")</f>
        <v>0</v>
      </c>
      <c r="U111" s="11">
        <f>SUMIFS('Annexe A  Plan RH'!$I4:$I85,'Annexe A  Plan RH'!$A4:$A85,"Sales",'Annexe A  Plan RH'!AI4:AI85,"&gt;0",'Annexe A  Plan RH'!$B4:$B85,"CH")</f>
        <v>0</v>
      </c>
      <c r="V111" s="11">
        <f>SUMIFS('Annexe A  Plan RH'!$I4:$I85,'Annexe A  Plan RH'!$A4:$A85,"Sales",'Annexe A  Plan RH'!AJ4:AJ85,"&gt;0",'Annexe A  Plan RH'!$B4:$B85,"CH")</f>
        <v>0</v>
      </c>
      <c r="W111" s="11">
        <f>SUMIFS('Annexe A  Plan RH'!$I4:$I85,'Annexe A  Plan RH'!$A4:$A85,"Sales",'Annexe A  Plan RH'!AK4:AK85,"&gt;0",'Annexe A  Plan RH'!$B4:$B85,"CH")</f>
        <v>0</v>
      </c>
      <c r="X111" s="11">
        <f>SUMIFS('Annexe A  Plan RH'!$I4:$I85,'Annexe A  Plan RH'!$A4:$A85,"Sales",'Annexe A  Plan RH'!AL4:AL85,"&gt;0",'Annexe A  Plan RH'!$B4:$B85,"CH")</f>
        <v>0</v>
      </c>
      <c r="Y111" s="11">
        <f>SUMIFS('Annexe A  Plan RH'!$I4:$I85,'Annexe A  Plan RH'!$A4:$A85,"Sales",'Annexe A  Plan RH'!AM4:AM85,"&gt;0",'Annexe A  Plan RH'!$B4:$B85,"CH")</f>
        <v>0</v>
      </c>
      <c r="Z111" s="11">
        <f>SUMIFS('Annexe A  Plan RH'!$I4:$I85,'Annexe A  Plan RH'!$A4:$A85,"Sales",'Annexe A  Plan RH'!AN4:AN85,"&gt;0",'Annexe A  Plan RH'!$B4:$B85,"CH")</f>
        <v>0</v>
      </c>
      <c r="AA111" s="11">
        <f>SUMIFS('Annexe A  Plan RH'!$I4:$I85,'Annexe A  Plan RH'!$A4:$A85,"Sales",'Annexe A  Plan RH'!AO4:AO85,"&gt;0",'Annexe A  Plan RH'!$B4:$B85,"CH")</f>
        <v>0</v>
      </c>
      <c r="AB111" s="11">
        <f>SUMIFS('Annexe A  Plan RH'!$I4:$I85,'Annexe A  Plan RH'!$A4:$A85,"Sales",'Annexe A  Plan RH'!AP4:AP85,"&gt;0",'Annexe A  Plan RH'!$B4:$B85,"CH")</f>
        <v>0</v>
      </c>
      <c r="AC111" s="11">
        <f>SUMIFS('Annexe A  Plan RH'!$I4:$I85,'Annexe A  Plan RH'!$A4:$A85,"Sales",'Annexe A  Plan RH'!AQ4:AQ85,"&gt;0",'Annexe A  Plan RH'!$B4:$B85,"CH")</f>
        <v>0</v>
      </c>
      <c r="AD111" s="11">
        <f>SUMIFS('Annexe A  Plan RH'!$I4:$I85,'Annexe A  Plan RH'!$A4:$A85,"Sales",'Annexe A  Plan RH'!AR4:AR85,"&gt;0",'Annexe A  Plan RH'!$B4:$B85,"CH")</f>
        <v>0</v>
      </c>
      <c r="AE111" s="11">
        <f>SUMIFS('Annexe A  Plan RH'!$I4:$I85,'Annexe A  Plan RH'!$A4:$A85,"Sales",'Annexe A  Plan RH'!AS4:AS85,"&gt;0",'Annexe A  Plan RH'!$B4:$B85,"CH")</f>
        <v>0</v>
      </c>
      <c r="AF111" s="11">
        <f>SUMIFS('Annexe A  Plan RH'!$I4:$I85,'Annexe A  Plan RH'!$A4:$A85,"Sales",'Annexe A  Plan RH'!AT4:AT85,"&gt;0",'Annexe A  Plan RH'!$B4:$B85,"CH")</f>
        <v>0</v>
      </c>
      <c r="AG111" s="11">
        <f>SUMIFS('Annexe A  Plan RH'!$I4:$I85,'Annexe A  Plan RH'!$A4:$A85,"Sales",'Annexe A  Plan RH'!AU4:AU85,"&gt;0",'Annexe A  Plan RH'!$B4:$B85,"CH")</f>
        <v>0</v>
      </c>
      <c r="AH111" s="11">
        <f>SUMIFS('Annexe A  Plan RH'!$I4:$I85,'Annexe A  Plan RH'!$A4:$A85,"Sales",'Annexe A  Plan RH'!AV4:AV85,"&gt;0",'Annexe A  Plan RH'!$B4:$B85,"CH")</f>
        <v>0</v>
      </c>
      <c r="AI111" s="11">
        <f>SUMIFS('Annexe A  Plan RH'!$I4:$I85,'Annexe A  Plan RH'!$A4:$A85,"Sales",'Annexe A  Plan RH'!AW4:AW85,"&gt;0",'Annexe A  Plan RH'!$B4:$B85,"CH")</f>
        <v>0</v>
      </c>
      <c r="AJ111" s="11">
        <f>SUMIFS('Annexe A  Plan RH'!$I4:$I85,'Annexe A  Plan RH'!$A4:$A85,"Sales",'Annexe A  Plan RH'!AX4:AX85,"&gt;0",'Annexe A  Plan RH'!$B4:$B85,"CH")</f>
        <v>0</v>
      </c>
      <c r="AK111" s="11">
        <f>SUMIFS('Annexe A  Plan RH'!$I4:$I85,'Annexe A  Plan RH'!$A4:$A85,"Sales",'Annexe A  Plan RH'!AY4:AY85,"&gt;0",'Annexe A  Plan RH'!$B4:$B85,"CH")</f>
        <v>0</v>
      </c>
      <c r="AL111" s="11">
        <f>SUMIFS('Annexe A  Plan RH'!$I4:$I85,'Annexe A  Plan RH'!$A4:$A85,"Sales",'Annexe A  Plan RH'!AZ4:AZ85,"&gt;0",'Annexe A  Plan RH'!$B4:$B85,"CH")</f>
        <v>0</v>
      </c>
      <c r="AM111" s="11">
        <f>SUMIFS('Annexe A  Plan RH'!$I4:$I85,'Annexe A  Plan RH'!$A4:$A85,"Sales",'Annexe A  Plan RH'!BA4:BA85,"&gt;0",'Annexe A  Plan RH'!$B4:$B85,"CH")</f>
        <v>0</v>
      </c>
      <c r="AN111" s="11">
        <f>SUMIFS('Annexe A  Plan RH'!$I4:$I85,'Annexe A  Plan RH'!$A4:$A85,"Sales",'Annexe A  Plan RH'!BB4:BB85,"&gt;0",'Annexe A  Plan RH'!$B4:$B85,"CH")</f>
        <v>0</v>
      </c>
      <c r="AO111" s="11">
        <f>SUMIFS('Annexe A  Plan RH'!$I4:$I85,'Annexe A  Plan RH'!$A4:$A85,"Sales",'Annexe A  Plan RH'!BC4:BC85,"&gt;0",'Annexe A  Plan RH'!$B4:$B85,"CH")</f>
        <v>0</v>
      </c>
      <c r="AP111" s="11">
        <f>SUMIFS('Annexe A  Plan RH'!$I4:$I85,'Annexe A  Plan RH'!$A4:$A85,"Sales",'Annexe A  Plan RH'!BD4:BD85,"&gt;0",'Annexe A  Plan RH'!$B4:$B85,"CH")</f>
        <v>0</v>
      </c>
      <c r="AQ111" s="11">
        <f>SUMIFS('Annexe A  Plan RH'!$I4:$I85,'Annexe A  Plan RH'!$A4:$A85,"Sales",'Annexe A  Plan RH'!BE4:BE85,"&gt;0",'Annexe A  Plan RH'!$B4:$B85,"CH")</f>
        <v>0</v>
      </c>
      <c r="AR111" s="11">
        <f>SUMIFS('Annexe A  Plan RH'!$I4:$I85,'Annexe A  Plan RH'!$A4:$A85,"Sales",'Annexe A  Plan RH'!BF4:BF85,"&gt;0",'Annexe A  Plan RH'!$B4:$B85,"CH")</f>
        <v>0</v>
      </c>
      <c r="AS111" s="11">
        <f>SUMIFS('Annexe A  Plan RH'!$I4:$I85,'Annexe A  Plan RH'!$A4:$A85,"Sales",'Annexe A  Plan RH'!BG4:BG85,"&gt;0",'Annexe A  Plan RH'!$B4:$B85,"CH")</f>
        <v>0</v>
      </c>
      <c r="AT111" s="11">
        <f>SUMIFS('Annexe A  Plan RH'!$I4:$I85,'Annexe A  Plan RH'!$A4:$A85,"Sales",'Annexe A  Plan RH'!BH4:BH85,"&gt;0",'Annexe A  Plan RH'!$B4:$B85,"CH")</f>
        <v>0</v>
      </c>
      <c r="AU111" s="11">
        <f>SUMIFS('Annexe A  Plan RH'!$I4:$I85,'Annexe A  Plan RH'!$A4:$A85,"Sales",'Annexe A  Plan RH'!BI4:BI85,"&gt;0",'Annexe A  Plan RH'!$B4:$B85,"CH")</f>
        <v>0</v>
      </c>
      <c r="AV111" s="11">
        <f>SUMIFS('Annexe A  Plan RH'!$I4:$I85,'Annexe A  Plan RH'!$A4:$A85,"Sales",'Annexe A  Plan RH'!BJ4:BJ85,"&gt;0",'Annexe A  Plan RH'!$B4:$B85,"CH")</f>
        <v>0</v>
      </c>
      <c r="AW111" s="11">
        <f>SUMIFS('Annexe A  Plan RH'!$I4:$I85,'Annexe A  Plan RH'!$A4:$A85,"Sales",'Annexe A  Plan RH'!BK4:BK85,"&gt;0",'Annexe A  Plan RH'!$B4:$B85,"CH")</f>
        <v>0</v>
      </c>
      <c r="AX111" s="11">
        <f>SUMIFS('Annexe A  Plan RH'!$I4:$I85,'Annexe A  Plan RH'!$A4:$A85,"Sales",'Annexe A  Plan RH'!BL4:BL85,"&gt;0",'Annexe A  Plan RH'!$B4:$B85,"CH")</f>
        <v>0</v>
      </c>
      <c r="AY111" s="11">
        <f>SUMIFS('Annexe A  Plan RH'!$I4:$I85,'Annexe A  Plan RH'!$A4:$A85,"Sales",'Annexe A  Plan RH'!BM4:BM85,"&gt;0",'Annexe A  Plan RH'!$B4:$B85,"CH")</f>
        <v>0</v>
      </c>
      <c r="AZ111" s="11">
        <f>SUMIFS('Annexe A  Plan RH'!$I4:$I85,'Annexe A  Plan RH'!$A4:$A85,"Sales",'Annexe A  Plan RH'!BN4:BN85,"&gt;0",'Annexe A  Plan RH'!$B4:$B85,"CH")</f>
        <v>0</v>
      </c>
      <c r="BA111" s="11">
        <f>SUMIFS('Annexe A  Plan RH'!$I4:$I85,'Annexe A  Plan RH'!$A4:$A85,"Sales",'Annexe A  Plan RH'!BO4:BO85,"&gt;0",'Annexe A  Plan RH'!$B4:$B85,"CH")</f>
        <v>0</v>
      </c>
      <c r="BB111" s="11">
        <f>SUMIFS('Annexe A  Plan RH'!$I4:$I85,'Annexe A  Plan RH'!$A4:$A85,"Sales",'Annexe A  Plan RH'!BP4:BP85,"&gt;0",'Annexe A  Plan RH'!$B4:$B85,"CH")</f>
        <v>0</v>
      </c>
      <c r="BC111" s="11">
        <f>SUMIFS('Annexe A  Plan RH'!$I4:$I85,'Annexe A  Plan RH'!$A4:$A85,"Sales",'Annexe A  Plan RH'!BQ4:BQ85,"&gt;0",'Annexe A  Plan RH'!$B4:$B85,"CH")</f>
        <v>0</v>
      </c>
      <c r="BD111" s="11">
        <f>SUMIFS('Annexe A  Plan RH'!$I4:$I85,'Annexe A  Plan RH'!$A4:$A85,"Sales",'Annexe A  Plan RH'!BR4:BR85,"&gt;0",'Annexe A  Plan RH'!$B4:$B85,"CH")</f>
        <v>0</v>
      </c>
      <c r="BE111" s="11">
        <f>SUMIFS('Annexe A  Plan RH'!$I4:$I85,'Annexe A  Plan RH'!$A4:$A85,"Sales",'Annexe A  Plan RH'!BS4:BS85,"&gt;0",'Annexe A  Plan RH'!$B4:$B85,"CH")</f>
        <v>0</v>
      </c>
      <c r="BF111" s="11">
        <f>SUMIFS('Annexe A  Plan RH'!$I4:$I85,'Annexe A  Plan RH'!$A4:$A85,"Sales",'Annexe A  Plan RH'!BT4:BT85,"&gt;0",'Annexe A  Plan RH'!$B4:$B85,"CH")</f>
        <v>0</v>
      </c>
      <c r="BG111" s="11">
        <f>SUMIFS('Annexe A  Plan RH'!$I4:$I85,'Annexe A  Plan RH'!$A4:$A85,"Sales",'Annexe A  Plan RH'!BU4:BU85,"&gt;0",'Annexe A  Plan RH'!$B4:$B85,"CH")</f>
        <v>0</v>
      </c>
      <c r="BH111" s="11">
        <f>SUMIFS('Annexe A  Plan RH'!$I4:$I85,'Annexe A  Plan RH'!$A4:$A85,"Sales",'Annexe A  Plan RH'!BV4:BV85,"&gt;0",'Annexe A  Plan RH'!$B4:$B85,"CH")</f>
        <v>0</v>
      </c>
      <c r="BI111" s="11">
        <f>SUMIFS('Annexe A  Plan RH'!$I4:$I85,'Annexe A  Plan RH'!$A4:$A85,"Sales",'Annexe A  Plan RH'!BW4:BW85,"&gt;0",'Annexe A  Plan RH'!$B4:$B85,"CH")</f>
        <v>0</v>
      </c>
      <c r="BJ111" s="11">
        <f>SUMIFS('Annexe A  Plan RH'!$I4:$I85,'Annexe A  Plan RH'!$A4:$A85,"Sales",'Annexe A  Plan RH'!BX4:BX85,"&gt;0",'Annexe A  Plan RH'!$B4:$B85,"CH")</f>
        <v>0</v>
      </c>
      <c r="BK111" s="11">
        <f>SUMIFS('Annexe A  Plan RH'!$I4:$I85,'Annexe A  Plan RH'!$A4:$A85,"Sales",'Annexe A  Plan RH'!BY4:BY85,"&gt;0",'Annexe A  Plan RH'!$B4:$B85,"CH")</f>
        <v>0</v>
      </c>
      <c r="BL111" s="11">
        <f>SUMIFS('Annexe A  Plan RH'!$I4:$I85,'Annexe A  Plan RH'!$A4:$A85,"Sales",'Annexe A  Plan RH'!BZ4:BZ85,"&gt;0",'Annexe A  Plan RH'!$B4:$B85,"CH")</f>
        <v>0</v>
      </c>
      <c r="BM111" s="11">
        <f>SUMIFS('Annexe A  Plan RH'!$I4:$I85,'Annexe A  Plan RH'!$A4:$A85,"Sales",'Annexe A  Plan RH'!CA4:CA85,"&gt;0",'Annexe A  Plan RH'!$B4:$B85,"CH")</f>
        <v>0</v>
      </c>
      <c r="BN111" s="11">
        <f>SUMIFS('Annexe A  Plan RH'!$I4:$I85,'Annexe A  Plan RH'!$A4:$A85,"Sales",'Annexe A  Plan RH'!CB4:CB85,"&gt;0",'Annexe A  Plan RH'!$B4:$B85,"CH")</f>
        <v>0</v>
      </c>
      <c r="BO111" s="11">
        <f>SUMIFS('Annexe A  Plan RH'!$I4:$I85,'Annexe A  Plan RH'!$A4:$A85,"Sales",'Annexe A  Plan RH'!CC4:CC85,"&gt;0",'Annexe A  Plan RH'!$B4:$B85,"CH")</f>
        <v>0</v>
      </c>
      <c r="BP111" s="11">
        <f>SUMIFS('Annexe A  Plan RH'!$I4:$I85,'Annexe A  Plan RH'!$A4:$A85,"Sales",'Annexe A  Plan RH'!CD4:CD85,"&gt;0",'Annexe A  Plan RH'!$B4:$B85,"CH")</f>
        <v>0</v>
      </c>
      <c r="BQ111" s="11">
        <f>SUMIFS('Annexe A  Plan RH'!$I4:$I85,'Annexe A  Plan RH'!$A4:$A85,"Sales",'Annexe A  Plan RH'!CE4:CE85,"&gt;0",'Annexe A  Plan RH'!$B4:$B85,"CH")</f>
        <v>0</v>
      </c>
      <c r="BR111" s="11">
        <f>SUMIFS('Annexe A  Plan RH'!$I4:$I85,'Annexe A  Plan RH'!$A4:$A85,"Sales",'Annexe A  Plan RH'!CF4:CF85,"&gt;0",'Annexe A  Plan RH'!$B4:$B85,"CH")</f>
        <v>0</v>
      </c>
      <c r="BS111" s="11">
        <f>SUMIFS('Annexe A  Plan RH'!$I4:$I85,'Annexe A  Plan RH'!$A4:$A85,"Sales",'Annexe A  Plan RH'!CG4:CG85,"&gt;0",'Annexe A  Plan RH'!$B4:$B85,"CH")</f>
        <v>0</v>
      </c>
      <c r="BT111" s="11">
        <f>SUMIFS('Annexe A  Plan RH'!$I4:$I85,'Annexe A  Plan RH'!$A4:$A85,"Sales",'Annexe A  Plan RH'!CH4:CH85,"&gt;0",'Annexe A  Plan RH'!$B4:$B85,"CH")</f>
        <v>1</v>
      </c>
      <c r="BU111" s="11">
        <f>SUMIFS('Annexe A  Plan RH'!$I4:$I85,'Annexe A  Plan RH'!$A4:$A85,"Sales",'Annexe A  Plan RH'!CI4:CI85,"&gt;0",'Annexe A  Plan RH'!$B4:$B85,"CH")</f>
        <v>1</v>
      </c>
      <c r="BV111" s="11">
        <f>SUMIFS('Annexe A  Plan RH'!$I4:$I85,'Annexe A  Plan RH'!$A4:$A85,"Sales",'Annexe A  Plan RH'!CJ4:CJ85,"&gt;0",'Annexe A  Plan RH'!$B4:$B85,"CH")</f>
        <v>1</v>
      </c>
      <c r="BW111" s="11">
        <f>SUMIFS('Annexe A  Plan RH'!$I4:$I85,'Annexe A  Plan RH'!$A4:$A85,"Sales",'Annexe A  Plan RH'!CK4:CK85,"&gt;0",'Annexe A  Plan RH'!$B4:$B85,"CH")</f>
        <v>2</v>
      </c>
      <c r="BX111" s="11">
        <f>SUMIFS('Annexe A  Plan RH'!$I4:$I85,'Annexe A  Plan RH'!$A4:$A85,"Sales",'Annexe A  Plan RH'!CL4:CL85,"&gt;0",'Annexe A  Plan RH'!$B4:$B85,"CH")</f>
        <v>2</v>
      </c>
      <c r="BY111" s="11">
        <f>SUMIFS('Annexe A  Plan RH'!$I4:$I85,'Annexe A  Plan RH'!$A4:$A85,"Sales",'Annexe A  Plan RH'!CM4:CM85,"&gt;0",'Annexe A  Plan RH'!$B4:$B85,"CH")</f>
        <v>2</v>
      </c>
      <c r="BZ111" s="11">
        <f>SUMIFS('Annexe A  Plan RH'!$I4:$I85,'Annexe A  Plan RH'!$A4:$A85,"Sales",'Annexe A  Plan RH'!CN4:CN85,"&gt;0",'Annexe A  Plan RH'!$B4:$B85,"CH")</f>
        <v>2</v>
      </c>
      <c r="CA111" s="11">
        <f>SUMIFS('Annexe A  Plan RH'!$I4:$I85,'Annexe A  Plan RH'!$A4:$A85,"Sales",'Annexe A  Plan RH'!CO4:CO85,"&gt;0",'Annexe A  Plan RH'!$B4:$B85,"CH")</f>
        <v>2</v>
      </c>
      <c r="CB111" s="11">
        <f>SUMIFS('Annexe A  Plan RH'!$I4:$I85,'Annexe A  Plan RH'!$A4:$A85,"Sales",'Annexe A  Plan RH'!CP4:CP85,"&gt;0",'Annexe A  Plan RH'!$B4:$B85,"CH")</f>
        <v>2</v>
      </c>
      <c r="CC111" s="11">
        <f>SUMIFS('Annexe A  Plan RH'!$I4:$I85,'Annexe A  Plan RH'!$A4:$A85,"Sales",'Annexe A  Plan RH'!CQ4:CQ85,"&gt;0",'Annexe A  Plan RH'!$B4:$B85,"CH")</f>
        <v>2</v>
      </c>
    </row>
    <row r="112" spans="1:82" ht="13">
      <c r="A112" s="108" t="s">
        <v>86</v>
      </c>
      <c r="C112" s="11">
        <f>SUMIFS('Annexe A  Plan RH'!$I$4:$I$85,'Annexe A  Plan RH'!$A$4:$A$85,"Sales",'Annexe A  Plan RH'!Q$4:Q$85,"&gt;0",'Annexe A  Plan RH'!$B$4:$B$85,"BE")</f>
        <v>0</v>
      </c>
      <c r="D112" s="11">
        <f>SUMIFS('Annexe A  Plan RH'!$I$4:$I$85,'Annexe A  Plan RH'!$A$4:$A$85,"Sales",'Annexe A  Plan RH'!R$4:R$85,"&gt;0",'Annexe A  Plan RH'!$B$4:$B$85,"BE")</f>
        <v>0</v>
      </c>
      <c r="E112" s="11">
        <f>SUMIFS('Annexe A  Plan RH'!$I$4:$I$85,'Annexe A  Plan RH'!$A$4:$A$85,"Sales",'Annexe A  Plan RH'!S$4:S$85,"&gt;0",'Annexe A  Plan RH'!$B$4:$B$85,"BE")</f>
        <v>0</v>
      </c>
      <c r="F112" s="11">
        <f>SUMIFS('Annexe A  Plan RH'!$I$4:$I$85,'Annexe A  Plan RH'!$A$4:$A$85,"Sales",'Annexe A  Plan RH'!T$4:T$85,"&gt;0",'Annexe A  Plan RH'!$B$4:$B$85,"BE")</f>
        <v>0</v>
      </c>
      <c r="G112" s="11">
        <f>SUMIFS('Annexe A  Plan RH'!$I$4:$I$85,'Annexe A  Plan RH'!$A$4:$A$85,"Sales",'Annexe A  Plan RH'!U$4:U$85,"&gt;0",'Annexe A  Plan RH'!$B$4:$B$85,"BE")</f>
        <v>0</v>
      </c>
      <c r="H112" s="11">
        <f>SUMIFS('Annexe A  Plan RH'!$I$4:$I$85,'Annexe A  Plan RH'!$A$4:$A$85,"Sales",'Annexe A  Plan RH'!V$4:V$85,"&gt;0",'Annexe A  Plan RH'!$B$4:$B$85,"BE")</f>
        <v>0</v>
      </c>
      <c r="I112" s="11">
        <f>SUMIFS('Annexe A  Plan RH'!$I$4:$I$85,'Annexe A  Plan RH'!$A$4:$A$85,"Sales",'Annexe A  Plan RH'!W$4:W$85,"&gt;0",'Annexe A  Plan RH'!$B$4:$B$85,"BE")</f>
        <v>0</v>
      </c>
      <c r="J112" s="11">
        <f>SUMIFS('Annexe A  Plan RH'!$I$4:$I$85,'Annexe A  Plan RH'!$A$4:$A$85,"Sales",'Annexe A  Plan RH'!X$4:X$85,"&gt;0",'Annexe A  Plan RH'!$B$4:$B$85,"BE")</f>
        <v>0</v>
      </c>
      <c r="K112" s="11">
        <f>SUMIFS('Annexe A  Plan RH'!$I$4:$I$85,'Annexe A  Plan RH'!$A$4:$A$85,"Sales",'Annexe A  Plan RH'!Y$4:Y$85,"&gt;0",'Annexe A  Plan RH'!$B$4:$B$85,"BE")</f>
        <v>0</v>
      </c>
      <c r="L112" s="11">
        <f>SUMIFS('Annexe A  Plan RH'!$I$4:$I$85,'Annexe A  Plan RH'!$A$4:$A$85,"Sales",'Annexe A  Plan RH'!Z$4:Z$85,"&gt;0",'Annexe A  Plan RH'!$B$4:$B$85,"BE")</f>
        <v>0</v>
      </c>
      <c r="M112" s="11">
        <f>SUMIFS('Annexe A  Plan RH'!$I$4:$I$85,'Annexe A  Plan RH'!$A$4:$A$85,"Sales",'Annexe A  Plan RH'!AA$4:AA$85,"&gt;0",'Annexe A  Plan RH'!$B$4:$B$85,"BE")</f>
        <v>0</v>
      </c>
      <c r="N112" s="11">
        <f>SUMIFS('Annexe A  Plan RH'!$I$4:$I$85,'Annexe A  Plan RH'!$A$4:$A$85,"Sales",'Annexe A  Plan RH'!AB$4:AB$85,"&gt;0",'Annexe A  Plan RH'!$B$4:$B$85,"BE")</f>
        <v>0</v>
      </c>
      <c r="O112" s="11">
        <f>SUMIFS('Annexe A  Plan RH'!$I$4:$I$85,'Annexe A  Plan RH'!$A$4:$A$85,"Sales",'Annexe A  Plan RH'!AC$4:AC$85,"&gt;0",'Annexe A  Plan RH'!$B$4:$B$85,"BE")</f>
        <v>0</v>
      </c>
      <c r="P112" s="11">
        <f>SUMIFS('Annexe A  Plan RH'!$I$4:$I$85,'Annexe A  Plan RH'!$A$4:$A$85,"Sales",'Annexe A  Plan RH'!AD$4:AD$85,"&gt;0",'Annexe A  Plan RH'!$B$4:$B$85,"BE")</f>
        <v>0</v>
      </c>
      <c r="Q112" s="11">
        <f>SUMIFS('Annexe A  Plan RH'!$I$4:$I$85,'Annexe A  Plan RH'!$A$4:$A$85,"Sales",'Annexe A  Plan RH'!AE$4:AE$85,"&gt;0",'Annexe A  Plan RH'!$B$4:$B$85,"BE")</f>
        <v>0</v>
      </c>
      <c r="R112" s="11">
        <f>SUMIFS('Annexe A  Plan RH'!$I$4:$I$85,'Annexe A  Plan RH'!$A$4:$A$85,"Sales",'Annexe A  Plan RH'!AF$4:AF$85,"&gt;0",'Annexe A  Plan RH'!$B$4:$B$85,"BE")</f>
        <v>0</v>
      </c>
      <c r="S112" s="11">
        <f>SUMIFS('Annexe A  Plan RH'!$I$4:$I$85,'Annexe A  Plan RH'!$A$4:$A$85,"Sales",'Annexe A  Plan RH'!AG$4:AG$85,"&gt;0",'Annexe A  Plan RH'!$B$4:$B$85,"BE")</f>
        <v>0</v>
      </c>
      <c r="T112" s="11">
        <f>SUMIFS('Annexe A  Plan RH'!$I$4:$I$85,'Annexe A  Plan RH'!$A$4:$A$85,"Sales",'Annexe A  Plan RH'!AH$4:AH$85,"&gt;0",'Annexe A  Plan RH'!$B$4:$B$85,"BE")</f>
        <v>0</v>
      </c>
      <c r="U112" s="11">
        <f>SUMIFS('Annexe A  Plan RH'!$I$4:$I$85,'Annexe A  Plan RH'!$A$4:$A$85,"Sales",'Annexe A  Plan RH'!AI$4:AI$85,"&gt;0",'Annexe A  Plan RH'!$B$4:$B$85,"BE")</f>
        <v>0</v>
      </c>
      <c r="V112" s="11">
        <f>SUMIFS('Annexe A  Plan RH'!$I$4:$I$85,'Annexe A  Plan RH'!$A$4:$A$85,"Sales",'Annexe A  Plan RH'!AJ$4:AJ$85,"&gt;0",'Annexe A  Plan RH'!$B$4:$B$85,"BE")</f>
        <v>0</v>
      </c>
      <c r="W112" s="11">
        <f>SUMIFS('Annexe A  Plan RH'!$I$4:$I$85,'Annexe A  Plan RH'!$A$4:$A$85,"Sales",'Annexe A  Plan RH'!AK$4:AK$85,"&gt;0",'Annexe A  Plan RH'!$B$4:$B$85,"BE")</f>
        <v>0</v>
      </c>
      <c r="X112" s="11">
        <f>SUMIFS('Annexe A  Plan RH'!$I$4:$I$85,'Annexe A  Plan RH'!$A$4:$A$85,"Sales",'Annexe A  Plan RH'!AL$4:AL$85,"&gt;0",'Annexe A  Plan RH'!$B$4:$B$85,"BE")</f>
        <v>0</v>
      </c>
      <c r="Y112" s="11">
        <f>SUMIFS('Annexe A  Plan RH'!$I$4:$I$85,'Annexe A  Plan RH'!$A$4:$A$85,"Sales",'Annexe A  Plan RH'!AM$4:AM$85,"&gt;0",'Annexe A  Plan RH'!$B$4:$B$85,"BE")</f>
        <v>0</v>
      </c>
      <c r="Z112" s="11">
        <f>SUMIFS('Annexe A  Plan RH'!$I$4:$I$85,'Annexe A  Plan RH'!$A$4:$A$85,"Sales",'Annexe A  Plan RH'!AN$4:AN$85,"&gt;0",'Annexe A  Plan RH'!$B$4:$B$85,"BE")</f>
        <v>0</v>
      </c>
      <c r="AA112" s="11">
        <f>SUMIFS('Annexe A  Plan RH'!$I$4:$I$85,'Annexe A  Plan RH'!$A$4:$A$85,"Sales",'Annexe A  Plan RH'!AO$4:AO$85,"&gt;0",'Annexe A  Plan RH'!$B$4:$B$85,"BE")</f>
        <v>0</v>
      </c>
      <c r="AB112" s="11">
        <f>SUMIFS('Annexe A  Plan RH'!$I$4:$I$85,'Annexe A  Plan RH'!$A$4:$A$85,"Sales",'Annexe A  Plan RH'!AP$4:AP$85,"&gt;0",'Annexe A  Plan RH'!$B$4:$B$85,"BE")</f>
        <v>0</v>
      </c>
      <c r="AC112" s="11">
        <f>SUMIFS('Annexe A  Plan RH'!$I$4:$I$85,'Annexe A  Plan RH'!$A$4:$A$85,"Sales",'Annexe A  Plan RH'!AQ$4:AQ$85,"&gt;0",'Annexe A  Plan RH'!$B$4:$B$85,"BE")</f>
        <v>0</v>
      </c>
      <c r="AD112" s="11">
        <f>SUMIFS('Annexe A  Plan RH'!$I$4:$I$85,'Annexe A  Plan RH'!$A$4:$A$85,"Sales",'Annexe A  Plan RH'!AR$4:AR$85,"&gt;0",'Annexe A  Plan RH'!$B$4:$B$85,"BE")</f>
        <v>0</v>
      </c>
      <c r="AE112" s="11">
        <f>SUMIFS('Annexe A  Plan RH'!$I$4:$I$85,'Annexe A  Plan RH'!$A$4:$A$85,"Sales",'Annexe A  Plan RH'!AS$4:AS$85,"&gt;0",'Annexe A  Plan RH'!$B$4:$B$85,"BE")</f>
        <v>0</v>
      </c>
      <c r="AF112" s="11">
        <f>SUMIFS('Annexe A  Plan RH'!$I$4:$I$85,'Annexe A  Plan RH'!$A$4:$A$85,"Sales",'Annexe A  Plan RH'!AT$4:AT$85,"&gt;0",'Annexe A  Plan RH'!$B$4:$B$85,"BE")</f>
        <v>0</v>
      </c>
      <c r="AG112" s="11">
        <f>SUMIFS('Annexe A  Plan RH'!$I$4:$I$85,'Annexe A  Plan RH'!$A$4:$A$85,"Sales",'Annexe A  Plan RH'!AU$4:AU$85,"&gt;0",'Annexe A  Plan RH'!$B$4:$B$85,"BE")</f>
        <v>0</v>
      </c>
      <c r="AH112" s="11">
        <f>SUMIFS('Annexe A  Plan RH'!$I$4:$I$85,'Annexe A  Plan RH'!$A$4:$A$85,"Sales",'Annexe A  Plan RH'!AV$4:AV$85,"&gt;0",'Annexe A  Plan RH'!$B$4:$B$85,"BE")</f>
        <v>0</v>
      </c>
      <c r="AI112" s="11">
        <f>SUMIFS('Annexe A  Plan RH'!$I$4:$I$85,'Annexe A  Plan RH'!$A$4:$A$85,"Sales",'Annexe A  Plan RH'!AW$4:AW$85,"&gt;0",'Annexe A  Plan RH'!$B$4:$B$85,"BE")</f>
        <v>0</v>
      </c>
      <c r="AJ112" s="11">
        <f>SUMIFS('Annexe A  Plan RH'!$I$4:$I$85,'Annexe A  Plan RH'!$A$4:$A$85,"Sales",'Annexe A  Plan RH'!AX$4:AX$85,"&gt;0",'Annexe A  Plan RH'!$B$4:$B$85,"BE")</f>
        <v>0</v>
      </c>
      <c r="AK112" s="11">
        <f>SUMIFS('Annexe A  Plan RH'!$I$4:$I$85,'Annexe A  Plan RH'!$A$4:$A$85,"Sales",'Annexe A  Plan RH'!AY$4:AY$85,"&gt;0",'Annexe A  Plan RH'!$B$4:$B$85,"BE")</f>
        <v>0</v>
      </c>
      <c r="AL112" s="11">
        <f>SUMIFS('Annexe A  Plan RH'!$I$4:$I$85,'Annexe A  Plan RH'!$A$4:$A$85,"Sales",'Annexe A  Plan RH'!AZ$4:AZ$85,"&gt;0",'Annexe A  Plan RH'!$B$4:$B$85,"BE")</f>
        <v>0</v>
      </c>
      <c r="AM112" s="11">
        <f>SUMIFS('Annexe A  Plan RH'!$I$4:$I$85,'Annexe A  Plan RH'!$A$4:$A$85,"Sales",'Annexe A  Plan RH'!BA$4:BA$85,"&gt;0",'Annexe A  Plan RH'!$B$4:$B$85,"BE")</f>
        <v>0</v>
      </c>
      <c r="AN112" s="11">
        <f>SUMIFS('Annexe A  Plan RH'!$I$4:$I$85,'Annexe A  Plan RH'!$A$4:$A$85,"Sales",'Annexe A  Plan RH'!BB$4:BB$85,"&gt;0",'Annexe A  Plan RH'!$B$4:$B$85,"BE")</f>
        <v>0</v>
      </c>
      <c r="AO112" s="11">
        <f>SUMIFS('Annexe A  Plan RH'!$I$4:$I$85,'Annexe A  Plan RH'!$A$4:$A$85,"Sales",'Annexe A  Plan RH'!BC$4:BC$85,"&gt;0",'Annexe A  Plan RH'!$B$4:$B$85,"BE")</f>
        <v>0</v>
      </c>
      <c r="AP112" s="11">
        <f>SUMIFS('Annexe A  Plan RH'!$I$4:$I$85,'Annexe A  Plan RH'!$A$4:$A$85,"Sales",'Annexe A  Plan RH'!BD$4:BD$85,"&gt;0",'Annexe A  Plan RH'!$B$4:$B$85,"BE")</f>
        <v>0</v>
      </c>
      <c r="AQ112" s="11">
        <f>SUMIFS('Annexe A  Plan RH'!$I$4:$I$85,'Annexe A  Plan RH'!$A$4:$A$85,"Sales",'Annexe A  Plan RH'!BE$4:BE$85,"&gt;0",'Annexe A  Plan RH'!$B$4:$B$85,"BE")</f>
        <v>0</v>
      </c>
      <c r="AR112" s="11">
        <f>SUMIFS('Annexe A  Plan RH'!$I$4:$I$85,'Annexe A  Plan RH'!$A$4:$A$85,"Sales",'Annexe A  Plan RH'!BF$4:BF$85,"&gt;0",'Annexe A  Plan RH'!$B$4:$B$85,"BE")</f>
        <v>0</v>
      </c>
      <c r="AS112" s="11">
        <f>SUMIFS('Annexe A  Plan RH'!$I$4:$I$85,'Annexe A  Plan RH'!$A$4:$A$85,"Sales",'Annexe A  Plan RH'!BG$4:BG$85,"&gt;0",'Annexe A  Plan RH'!$B$4:$B$85,"BE")</f>
        <v>0</v>
      </c>
      <c r="AT112" s="11">
        <f>SUMIFS('Annexe A  Plan RH'!$I$4:$I$85,'Annexe A  Plan RH'!$A$4:$A$85,"Sales",'Annexe A  Plan RH'!BH$4:BH$85,"&gt;0",'Annexe A  Plan RH'!$B$4:$B$85,"BE")</f>
        <v>0</v>
      </c>
      <c r="AU112" s="11">
        <f>SUMIFS('Annexe A  Plan RH'!$I$4:$I$85,'Annexe A  Plan RH'!$A$4:$A$85,"Sales",'Annexe A  Plan RH'!BI$4:BI$85,"&gt;0",'Annexe A  Plan RH'!$B$4:$B$85,"BE")</f>
        <v>0</v>
      </c>
      <c r="AV112" s="11">
        <f>SUMIFS('Annexe A  Plan RH'!$I$4:$I$85,'Annexe A  Plan RH'!$A$4:$A$85,"Sales",'Annexe A  Plan RH'!BJ$4:BJ$85,"&gt;0",'Annexe A  Plan RH'!$B$4:$B$85,"BE")</f>
        <v>0</v>
      </c>
      <c r="AW112" s="11">
        <f>SUMIFS('Annexe A  Plan RH'!$I$4:$I$85,'Annexe A  Plan RH'!$A$4:$A$85,"Sales",'Annexe A  Plan RH'!BK$4:BK$85,"&gt;0",'Annexe A  Plan RH'!$B$4:$B$85,"BE")</f>
        <v>0</v>
      </c>
      <c r="AX112" s="11">
        <f>SUMIFS('Annexe A  Plan RH'!$I$4:$I$85,'Annexe A  Plan RH'!$A$4:$A$85,"Sales",'Annexe A  Plan RH'!BL$4:BL$85,"&gt;0",'Annexe A  Plan RH'!$B$4:$B$85,"BE")</f>
        <v>0</v>
      </c>
      <c r="AY112" s="11">
        <f>SUMIFS('Annexe A  Plan RH'!$I$4:$I$85,'Annexe A  Plan RH'!$A$4:$A$85,"Sales",'Annexe A  Plan RH'!BM$4:BM$85,"&gt;0",'Annexe A  Plan RH'!$B$4:$B$85,"BE")</f>
        <v>0</v>
      </c>
      <c r="AZ112" s="11">
        <f>SUMIFS('Annexe A  Plan RH'!$I$4:$I$85,'Annexe A  Plan RH'!$A$4:$A$85,"Sales",'Annexe A  Plan RH'!BN$4:BN$85,"&gt;0",'Annexe A  Plan RH'!$B$4:$B$85,"BE")</f>
        <v>0</v>
      </c>
      <c r="BA112" s="11">
        <f>SUMIFS('Annexe A  Plan RH'!$I$4:$I$85,'Annexe A  Plan RH'!$A$4:$A$85,"Sales",'Annexe A  Plan RH'!BO$4:BO$85,"&gt;0",'Annexe A  Plan RH'!$B$4:$B$85,"BE")</f>
        <v>0</v>
      </c>
      <c r="BB112" s="11">
        <f>SUMIFS('Annexe A  Plan RH'!$I$4:$I$85,'Annexe A  Plan RH'!$A$4:$A$85,"Sales",'Annexe A  Plan RH'!BP$4:BP$85,"&gt;0",'Annexe A  Plan RH'!$B$4:$B$85,"BE")</f>
        <v>0</v>
      </c>
      <c r="BC112" s="11">
        <f>SUMIFS('Annexe A  Plan RH'!$I$4:$I$85,'Annexe A  Plan RH'!$A$4:$A$85,"Sales",'Annexe A  Plan RH'!BQ$4:BQ$85,"&gt;0",'Annexe A  Plan RH'!$B$4:$B$85,"BE")</f>
        <v>0</v>
      </c>
      <c r="BD112" s="11">
        <f>SUMIFS('Annexe A  Plan RH'!$I$4:$I$85,'Annexe A  Plan RH'!$A$4:$A$85,"Sales",'Annexe A  Plan RH'!BR$4:BR$85,"&gt;0",'Annexe A  Plan RH'!$B$4:$B$85,"BE")</f>
        <v>0</v>
      </c>
      <c r="BE112" s="11">
        <f>SUMIFS('Annexe A  Plan RH'!$I$4:$I$85,'Annexe A  Plan RH'!$A$4:$A$85,"Sales",'Annexe A  Plan RH'!BS$4:BS$85,"&gt;0",'Annexe A  Plan RH'!$B$4:$B$85,"BE")</f>
        <v>0</v>
      </c>
      <c r="BF112" s="11">
        <f>SUMIFS('Annexe A  Plan RH'!$I$4:$I$85,'Annexe A  Plan RH'!$A$4:$A$85,"Sales",'Annexe A  Plan RH'!BT$4:BT$85,"&gt;0",'Annexe A  Plan RH'!$B$4:$B$85,"BE")</f>
        <v>0</v>
      </c>
      <c r="BG112" s="11">
        <f>SUMIFS('Annexe A  Plan RH'!$I$4:$I$85,'Annexe A  Plan RH'!$A$4:$A$85,"Sales",'Annexe A  Plan RH'!BU$4:BU$85,"&gt;0",'Annexe A  Plan RH'!$B$4:$B$85,"BE")</f>
        <v>0</v>
      </c>
      <c r="BH112" s="11">
        <f>SUMIFS('Annexe A  Plan RH'!$I$4:$I$85,'Annexe A  Plan RH'!$A$4:$A$85,"Sales",'Annexe A  Plan RH'!BV$4:BV$85,"&gt;0",'Annexe A  Plan RH'!$B$4:$B$85,"BE")</f>
        <v>0</v>
      </c>
      <c r="BI112" s="11">
        <f>SUMIFS('Annexe A  Plan RH'!$I$4:$I$85,'Annexe A  Plan RH'!$A$4:$A$85,"Sales",'Annexe A  Plan RH'!BW$4:BW$85,"&gt;0",'Annexe A  Plan RH'!$B$4:$B$85,"BE")</f>
        <v>0</v>
      </c>
      <c r="BJ112" s="11">
        <f>SUMIFS('Annexe A  Plan RH'!$I$4:$I$85,'Annexe A  Plan RH'!$A$4:$A$85,"Sales",'Annexe A  Plan RH'!BX$4:BX$85,"&gt;0",'Annexe A  Plan RH'!$B$4:$B$85,"BE")</f>
        <v>0</v>
      </c>
      <c r="BK112" s="11">
        <f>SUMIFS('Annexe A  Plan RH'!$I$4:$I$85,'Annexe A  Plan RH'!$A$4:$A$85,"Sales",'Annexe A  Plan RH'!BY$4:BY$85,"&gt;0",'Annexe A  Plan RH'!$B$4:$B$85,"BE")</f>
        <v>0</v>
      </c>
      <c r="BL112" s="11">
        <f>SUMIFS('Annexe A  Plan RH'!$I$4:$I$85,'Annexe A  Plan RH'!$A$4:$A$85,"Sales",'Annexe A  Plan RH'!BZ$4:BZ$85,"&gt;0",'Annexe A  Plan RH'!$B$4:$B$85,"BE")</f>
        <v>0</v>
      </c>
      <c r="BM112" s="11">
        <f>SUMIFS('Annexe A  Plan RH'!$I$4:$I$85,'Annexe A  Plan RH'!$A$4:$A$85,"Sales",'Annexe A  Plan RH'!CA$4:CA$85,"&gt;0",'Annexe A  Plan RH'!$B$4:$B$85,"BE")</f>
        <v>0</v>
      </c>
      <c r="BN112" s="11">
        <f>SUMIFS('Annexe A  Plan RH'!$I$4:$I$85,'Annexe A  Plan RH'!$A$4:$A$85,"Sales",'Annexe A  Plan RH'!CB$4:CB$85,"&gt;0",'Annexe A  Plan RH'!$B$4:$B$85,"BE")</f>
        <v>0</v>
      </c>
      <c r="BO112" s="11">
        <f>SUMIFS('Annexe A  Plan RH'!$I$4:$I$85,'Annexe A  Plan RH'!$A$4:$A$85,"Sales",'Annexe A  Plan RH'!CC$4:CC$85,"&gt;0",'Annexe A  Plan RH'!$B$4:$B$85,"BE")</f>
        <v>0</v>
      </c>
      <c r="BP112" s="11">
        <f>SUMIFS('Annexe A  Plan RH'!$I$4:$I$85,'Annexe A  Plan RH'!$A$4:$A$85,"Sales",'Annexe A  Plan RH'!CD$4:CD$85,"&gt;0",'Annexe A  Plan RH'!$B$4:$B$85,"BE")</f>
        <v>0</v>
      </c>
      <c r="BQ112" s="11">
        <f>SUMIFS('Annexe A  Plan RH'!$I$4:$I$85,'Annexe A  Plan RH'!$A$4:$A$85,"Sales",'Annexe A  Plan RH'!CE$4:CE$85,"&gt;0",'Annexe A  Plan RH'!$B$4:$B$85,"BE")</f>
        <v>0</v>
      </c>
      <c r="BR112" s="11">
        <f>SUMIFS('Annexe A  Plan RH'!$I$4:$I$85,'Annexe A  Plan RH'!$A$4:$A$85,"Sales",'Annexe A  Plan RH'!CF$4:CF$85,"&gt;0",'Annexe A  Plan RH'!$B$4:$B$85,"BE")</f>
        <v>0</v>
      </c>
      <c r="BS112" s="11">
        <f>SUMIFS('Annexe A  Plan RH'!$I$4:$I$85,'Annexe A  Plan RH'!$A$4:$A$85,"Sales",'Annexe A  Plan RH'!CG$4:CG$85,"&gt;0",'Annexe A  Plan RH'!$B$4:$B$85,"BE")</f>
        <v>0</v>
      </c>
      <c r="BT112" s="11">
        <f>SUMIFS('Annexe A  Plan RH'!$I$4:$I$85,'Annexe A  Plan RH'!$A$4:$A$85,"Sales",'Annexe A  Plan RH'!CH$4:CH$85,"&gt;0",'Annexe A  Plan RH'!$B$4:$B$85,"BE")</f>
        <v>0</v>
      </c>
      <c r="BU112" s="11">
        <f>SUMIFS('Annexe A  Plan RH'!$I$4:$I$85,'Annexe A  Plan RH'!$A$4:$A$85,"Sales",'Annexe A  Plan RH'!CI$4:CI$85,"&gt;0",'Annexe A  Plan RH'!$B$4:$B$85,"BE")</f>
        <v>0</v>
      </c>
      <c r="BV112" s="11">
        <f>SUMIFS('Annexe A  Plan RH'!$I$4:$I$85,'Annexe A  Plan RH'!$A$4:$A$85,"Sales",'Annexe A  Plan RH'!CJ$4:CJ$85,"&gt;0",'Annexe A  Plan RH'!$B$4:$B$85,"BE")</f>
        <v>0</v>
      </c>
      <c r="BW112" s="11">
        <f>SUMIFS('Annexe A  Plan RH'!$I$4:$I$85,'Annexe A  Plan RH'!$A$4:$A$85,"Sales",'Annexe A  Plan RH'!CK$4:CK$85,"&gt;0",'Annexe A  Plan RH'!$B$4:$B$85,"BE")</f>
        <v>0</v>
      </c>
      <c r="BX112" s="11">
        <f>SUMIFS('Annexe A  Plan RH'!$I$4:$I$85,'Annexe A  Plan RH'!$A$4:$A$85,"Sales",'Annexe A  Plan RH'!CL$4:CL$85,"&gt;0",'Annexe A  Plan RH'!$B$4:$B$85,"BE")</f>
        <v>0</v>
      </c>
      <c r="BY112" s="11">
        <f>SUMIFS('Annexe A  Plan RH'!$I$4:$I$85,'Annexe A  Plan RH'!$A$4:$A$85,"Sales",'Annexe A  Plan RH'!CM$4:CM$85,"&gt;0",'Annexe A  Plan RH'!$B$4:$B$85,"BE")</f>
        <v>0</v>
      </c>
      <c r="BZ112" s="11">
        <f>SUMIFS('Annexe A  Plan RH'!$I$4:$I$85,'Annexe A  Plan RH'!$A$4:$A$85,"Sales",'Annexe A  Plan RH'!CN$4:CN$85,"&gt;0",'Annexe A  Plan RH'!$B$4:$B$85,"BE")</f>
        <v>0</v>
      </c>
      <c r="CA112" s="11">
        <f>SUMIFS('Annexe A  Plan RH'!$I$4:$I$85,'Annexe A  Plan RH'!$A$4:$A$85,"Sales",'Annexe A  Plan RH'!CO$4:CO$85,"&gt;0",'Annexe A  Plan RH'!$B$4:$B$85,"BE")</f>
        <v>0</v>
      </c>
      <c r="CB112" s="11">
        <f>SUMIFS('Annexe A  Plan RH'!$I$4:$I$85,'Annexe A  Plan RH'!$A$4:$A$85,"Sales",'Annexe A  Plan RH'!CP$4:CP$85,"&gt;0",'Annexe A  Plan RH'!$B$4:$B$85,"BE")</f>
        <v>0</v>
      </c>
      <c r="CC112" s="11">
        <f>SUMIFS('Annexe A  Plan RH'!$I$4:$I$85,'Annexe A  Plan RH'!$A$4:$A$85,"Sales",'Annexe A  Plan RH'!CQ$4:CQ$85,"&gt;0",'Annexe A  Plan RH'!$B$4:$B$85,"BE")</f>
        <v>0</v>
      </c>
    </row>
    <row r="113" spans="1:81" ht="13">
      <c r="A113" s="108" t="s">
        <v>87</v>
      </c>
      <c r="C113" s="11">
        <f>SUMIFS('Annexe A  Plan RH'!$I$4:$I$85,'Annexe A  Plan RH'!$A$4:$A$85,"Sales",'Annexe A  Plan RH'!Q$4:Q$85,"&gt;0",'Annexe A  Plan RH'!$B$4:$B$85,"DE")</f>
        <v>0</v>
      </c>
      <c r="D113" s="11">
        <f>SUMIFS('Annexe A  Plan RH'!$I$4:$I$85,'Annexe A  Plan RH'!$A$4:$A$85,"Sales",'Annexe A  Plan RH'!R$4:R$85,"&gt;0",'Annexe A  Plan RH'!$B$4:$B$85,"DE")</f>
        <v>0</v>
      </c>
      <c r="E113" s="11">
        <f>SUMIFS('Annexe A  Plan RH'!$I$4:$I$85,'Annexe A  Plan RH'!$A$4:$A$85,"Sales",'Annexe A  Plan RH'!S$4:S$85,"&gt;0",'Annexe A  Plan RH'!$B$4:$B$85,"DE")</f>
        <v>0</v>
      </c>
      <c r="F113" s="11">
        <f>SUMIFS('Annexe A  Plan RH'!$I$4:$I$85,'Annexe A  Plan RH'!$A$4:$A$85,"Sales",'Annexe A  Plan RH'!T$4:T$85,"&gt;0",'Annexe A  Plan RH'!$B$4:$B$85,"DE")</f>
        <v>0</v>
      </c>
      <c r="G113" s="11">
        <f>SUMIFS('Annexe A  Plan RH'!$I$4:$I$85,'Annexe A  Plan RH'!$A$4:$A$85,"Sales",'Annexe A  Plan RH'!U$4:U$85,"&gt;0",'Annexe A  Plan RH'!$B$4:$B$85,"DE")</f>
        <v>0</v>
      </c>
      <c r="H113" s="11">
        <f>SUMIFS('Annexe A  Plan RH'!$I$4:$I$85,'Annexe A  Plan RH'!$A$4:$A$85,"Sales",'Annexe A  Plan RH'!V$4:V$85,"&gt;0",'Annexe A  Plan RH'!$B$4:$B$85,"DE")</f>
        <v>0</v>
      </c>
      <c r="I113" s="11">
        <f>SUMIFS('Annexe A  Plan RH'!$I$4:$I$85,'Annexe A  Plan RH'!$A$4:$A$85,"Sales",'Annexe A  Plan RH'!W$4:W$85,"&gt;0",'Annexe A  Plan RH'!$B$4:$B$85,"DE")</f>
        <v>0</v>
      </c>
      <c r="J113" s="11">
        <f>SUMIFS('Annexe A  Plan RH'!$I$4:$I$85,'Annexe A  Plan RH'!$A$4:$A$85,"Sales",'Annexe A  Plan RH'!X$4:X$85,"&gt;0",'Annexe A  Plan RH'!$B$4:$B$85,"DE")</f>
        <v>0</v>
      </c>
      <c r="K113" s="11">
        <f>SUMIFS('Annexe A  Plan RH'!$I$4:$I$85,'Annexe A  Plan RH'!$A$4:$A$85,"Sales",'Annexe A  Plan RH'!Y$4:Y$85,"&gt;0",'Annexe A  Plan RH'!$B$4:$B$85,"DE")</f>
        <v>0</v>
      </c>
      <c r="L113" s="11">
        <f>SUMIFS('Annexe A  Plan RH'!$I$4:$I$85,'Annexe A  Plan RH'!$A$4:$A$85,"Sales",'Annexe A  Plan RH'!Z$4:Z$85,"&gt;0",'Annexe A  Plan RH'!$B$4:$B$85,"DE")</f>
        <v>0</v>
      </c>
      <c r="M113" s="11">
        <f>SUMIFS('Annexe A  Plan RH'!$I$4:$I$85,'Annexe A  Plan RH'!$A$4:$A$85,"Sales",'Annexe A  Plan RH'!AA$4:AA$85,"&gt;0",'Annexe A  Plan RH'!$B$4:$B$85,"DE")</f>
        <v>0</v>
      </c>
      <c r="N113" s="11">
        <f>SUMIFS('Annexe A  Plan RH'!$I$4:$I$85,'Annexe A  Plan RH'!$A$4:$A$85,"Sales",'Annexe A  Plan RH'!AB$4:AB$85,"&gt;0",'Annexe A  Plan RH'!$B$4:$B$85,"DE")</f>
        <v>0</v>
      </c>
      <c r="O113" s="11">
        <f>SUMIFS('Annexe A  Plan RH'!$I$4:$I$85,'Annexe A  Plan RH'!$A$4:$A$85,"Sales",'Annexe A  Plan RH'!AC$4:AC$85,"&gt;0",'Annexe A  Plan RH'!$B$4:$B$85,"DE")</f>
        <v>0</v>
      </c>
      <c r="P113" s="11">
        <f>SUMIFS('Annexe A  Plan RH'!$I$4:$I$85,'Annexe A  Plan RH'!$A$4:$A$85,"Sales",'Annexe A  Plan RH'!AD$4:AD$85,"&gt;0",'Annexe A  Plan RH'!$B$4:$B$85,"DE")</f>
        <v>0</v>
      </c>
      <c r="Q113" s="11">
        <f>SUMIFS('Annexe A  Plan RH'!$I$4:$I$85,'Annexe A  Plan RH'!$A$4:$A$85,"Sales",'Annexe A  Plan RH'!AE$4:AE$85,"&gt;0",'Annexe A  Plan RH'!$B$4:$B$85,"DE")</f>
        <v>0</v>
      </c>
      <c r="R113" s="11">
        <f>SUMIFS('Annexe A  Plan RH'!$I$4:$I$85,'Annexe A  Plan RH'!$A$4:$A$85,"Sales",'Annexe A  Plan RH'!AF$4:AF$85,"&gt;0",'Annexe A  Plan RH'!$B$4:$B$85,"DE")</f>
        <v>0</v>
      </c>
      <c r="S113" s="11">
        <f>SUMIFS('Annexe A  Plan RH'!$I$4:$I$85,'Annexe A  Plan RH'!$A$4:$A$85,"Sales",'Annexe A  Plan RH'!AG$4:AG$85,"&gt;0",'Annexe A  Plan RH'!$B$4:$B$85,"DE")</f>
        <v>0</v>
      </c>
      <c r="T113" s="11">
        <f>SUMIFS('Annexe A  Plan RH'!$I$4:$I$85,'Annexe A  Plan RH'!$A$4:$A$85,"Sales",'Annexe A  Plan RH'!AH$4:AH$85,"&gt;0",'Annexe A  Plan RH'!$B$4:$B$85,"DE")</f>
        <v>0</v>
      </c>
      <c r="U113" s="11">
        <f>SUMIFS('Annexe A  Plan RH'!$I$4:$I$85,'Annexe A  Plan RH'!$A$4:$A$85,"Sales",'Annexe A  Plan RH'!AI$4:AI$85,"&gt;0",'Annexe A  Plan RH'!$B$4:$B$85,"DE")</f>
        <v>0</v>
      </c>
      <c r="V113" s="11">
        <f>SUMIFS('Annexe A  Plan RH'!$I$4:$I$85,'Annexe A  Plan RH'!$A$4:$A$85,"Sales",'Annexe A  Plan RH'!AJ$4:AJ$85,"&gt;0",'Annexe A  Plan RH'!$B$4:$B$85,"DE")</f>
        <v>0</v>
      </c>
      <c r="W113" s="11">
        <f>SUMIFS('Annexe A  Plan RH'!$I$4:$I$85,'Annexe A  Plan RH'!$A$4:$A$85,"Sales",'Annexe A  Plan RH'!AK$4:AK$85,"&gt;0",'Annexe A  Plan RH'!$B$4:$B$85,"DE")</f>
        <v>0</v>
      </c>
      <c r="X113" s="11">
        <f>SUMIFS('Annexe A  Plan RH'!$I$4:$I$85,'Annexe A  Plan RH'!$A$4:$A$85,"Sales",'Annexe A  Plan RH'!AL$4:AL$85,"&gt;0",'Annexe A  Plan RH'!$B$4:$B$85,"DE")</f>
        <v>0</v>
      </c>
      <c r="Y113" s="11">
        <f>SUMIFS('Annexe A  Plan RH'!$I$4:$I$85,'Annexe A  Plan RH'!$A$4:$A$85,"Sales",'Annexe A  Plan RH'!AM$4:AM$85,"&gt;0",'Annexe A  Plan RH'!$B$4:$B$85,"DE")</f>
        <v>0</v>
      </c>
      <c r="Z113" s="11">
        <f>SUMIFS('Annexe A  Plan RH'!$I$4:$I$85,'Annexe A  Plan RH'!$A$4:$A$85,"Sales",'Annexe A  Plan RH'!AN$4:AN$85,"&gt;0",'Annexe A  Plan RH'!$B$4:$B$85,"DE")</f>
        <v>0</v>
      </c>
      <c r="AA113" s="11">
        <f>SUMIFS('Annexe A  Plan RH'!$I$4:$I$85,'Annexe A  Plan RH'!$A$4:$A$85,"Sales",'Annexe A  Plan RH'!AO$4:AO$85,"&gt;0",'Annexe A  Plan RH'!$B$4:$B$85,"DE")</f>
        <v>0</v>
      </c>
      <c r="AB113" s="11">
        <f>SUMIFS('Annexe A  Plan RH'!$I$4:$I$85,'Annexe A  Plan RH'!$A$4:$A$85,"Sales",'Annexe A  Plan RH'!AP$4:AP$85,"&gt;0",'Annexe A  Plan RH'!$B$4:$B$85,"DE")</f>
        <v>0</v>
      </c>
      <c r="AC113" s="11">
        <f>SUMIFS('Annexe A  Plan RH'!$I$4:$I$85,'Annexe A  Plan RH'!$A$4:$A$85,"Sales",'Annexe A  Plan RH'!AQ$4:AQ$85,"&gt;0",'Annexe A  Plan RH'!$B$4:$B$85,"DE")</f>
        <v>0</v>
      </c>
      <c r="AD113" s="11">
        <f>SUMIFS('Annexe A  Plan RH'!$I$4:$I$85,'Annexe A  Plan RH'!$A$4:$A$85,"Sales",'Annexe A  Plan RH'!AR$4:AR$85,"&gt;0",'Annexe A  Plan RH'!$B$4:$B$85,"DE")</f>
        <v>0</v>
      </c>
      <c r="AE113" s="11">
        <f>SUMIFS('Annexe A  Plan RH'!$I$4:$I$85,'Annexe A  Plan RH'!$A$4:$A$85,"Sales",'Annexe A  Plan RH'!AS$4:AS$85,"&gt;0",'Annexe A  Plan RH'!$B$4:$B$85,"DE")</f>
        <v>0</v>
      </c>
      <c r="AF113" s="11">
        <f>SUMIFS('Annexe A  Plan RH'!$I$4:$I$85,'Annexe A  Plan RH'!$A$4:$A$85,"Sales",'Annexe A  Plan RH'!AT$4:AT$85,"&gt;0",'Annexe A  Plan RH'!$B$4:$B$85,"DE")</f>
        <v>0</v>
      </c>
      <c r="AG113" s="11">
        <f>SUMIFS('Annexe A  Plan RH'!$I$4:$I$85,'Annexe A  Plan RH'!$A$4:$A$85,"Sales",'Annexe A  Plan RH'!AU$4:AU$85,"&gt;0",'Annexe A  Plan RH'!$B$4:$B$85,"DE")</f>
        <v>0</v>
      </c>
      <c r="AH113" s="11">
        <f>SUMIFS('Annexe A  Plan RH'!$I$4:$I$85,'Annexe A  Plan RH'!$A$4:$A$85,"Sales",'Annexe A  Plan RH'!AV$4:AV$85,"&gt;0",'Annexe A  Plan RH'!$B$4:$B$85,"DE")</f>
        <v>0</v>
      </c>
      <c r="AI113" s="11">
        <f>SUMIFS('Annexe A  Plan RH'!$I$4:$I$85,'Annexe A  Plan RH'!$A$4:$A$85,"Sales",'Annexe A  Plan RH'!AW$4:AW$85,"&gt;0",'Annexe A  Plan RH'!$B$4:$B$85,"DE")</f>
        <v>0</v>
      </c>
      <c r="AJ113" s="11">
        <f>SUMIFS('Annexe A  Plan RH'!$I$4:$I$85,'Annexe A  Plan RH'!$A$4:$A$85,"Sales",'Annexe A  Plan RH'!AX$4:AX$85,"&gt;0",'Annexe A  Plan RH'!$B$4:$B$85,"DE")</f>
        <v>0</v>
      </c>
      <c r="AK113" s="11">
        <f>SUMIFS('Annexe A  Plan RH'!$I$4:$I$85,'Annexe A  Plan RH'!$A$4:$A$85,"Sales",'Annexe A  Plan RH'!AY$4:AY$85,"&gt;0",'Annexe A  Plan RH'!$B$4:$B$85,"DE")</f>
        <v>0</v>
      </c>
      <c r="AL113" s="11">
        <f>SUMIFS('Annexe A  Plan RH'!$I$4:$I$85,'Annexe A  Plan RH'!$A$4:$A$85,"Sales",'Annexe A  Plan RH'!AZ$4:AZ$85,"&gt;0",'Annexe A  Plan RH'!$B$4:$B$85,"DE")</f>
        <v>0</v>
      </c>
      <c r="AM113" s="11">
        <f>SUMIFS('Annexe A  Plan RH'!$I$4:$I$85,'Annexe A  Plan RH'!$A$4:$A$85,"Sales",'Annexe A  Plan RH'!BA$4:BA$85,"&gt;0",'Annexe A  Plan RH'!$B$4:$B$85,"DE")</f>
        <v>0</v>
      </c>
      <c r="AN113" s="11">
        <f>SUMIFS('Annexe A  Plan RH'!$I$4:$I$85,'Annexe A  Plan RH'!$A$4:$A$85,"Sales",'Annexe A  Plan RH'!BB$4:BB$85,"&gt;0",'Annexe A  Plan RH'!$B$4:$B$85,"DE")</f>
        <v>0</v>
      </c>
      <c r="AO113" s="11">
        <f>SUMIFS('Annexe A  Plan RH'!$I$4:$I$85,'Annexe A  Plan RH'!$A$4:$A$85,"Sales",'Annexe A  Plan RH'!BC$4:BC$85,"&gt;0",'Annexe A  Plan RH'!$B$4:$B$85,"DE")</f>
        <v>0</v>
      </c>
      <c r="AP113" s="11">
        <f>SUMIFS('Annexe A  Plan RH'!$I$4:$I$85,'Annexe A  Plan RH'!$A$4:$A$85,"Sales",'Annexe A  Plan RH'!BD$4:BD$85,"&gt;0",'Annexe A  Plan RH'!$B$4:$B$85,"DE")</f>
        <v>0</v>
      </c>
      <c r="AQ113" s="11">
        <f>SUMIFS('Annexe A  Plan RH'!$I$4:$I$85,'Annexe A  Plan RH'!$A$4:$A$85,"Sales",'Annexe A  Plan RH'!BE$4:BE$85,"&gt;0",'Annexe A  Plan RH'!$B$4:$B$85,"DE")</f>
        <v>0</v>
      </c>
      <c r="AR113" s="11">
        <f>SUMIFS('Annexe A  Plan RH'!$I$4:$I$85,'Annexe A  Plan RH'!$A$4:$A$85,"Sales",'Annexe A  Plan RH'!BF$4:BF$85,"&gt;0",'Annexe A  Plan RH'!$B$4:$B$85,"DE")</f>
        <v>0</v>
      </c>
      <c r="AS113" s="11">
        <f>SUMIFS('Annexe A  Plan RH'!$I$4:$I$85,'Annexe A  Plan RH'!$A$4:$A$85,"Sales",'Annexe A  Plan RH'!BG$4:BG$85,"&gt;0",'Annexe A  Plan RH'!$B$4:$B$85,"DE")</f>
        <v>0</v>
      </c>
      <c r="AT113" s="11">
        <f>SUMIFS('Annexe A  Plan RH'!$I$4:$I$85,'Annexe A  Plan RH'!$A$4:$A$85,"Sales",'Annexe A  Plan RH'!BH$4:BH$85,"&gt;0",'Annexe A  Plan RH'!$B$4:$B$85,"DE")</f>
        <v>0</v>
      </c>
      <c r="AU113" s="11">
        <f>SUMIFS('Annexe A  Plan RH'!$I$4:$I$85,'Annexe A  Plan RH'!$A$4:$A$85,"Sales",'Annexe A  Plan RH'!BI$4:BI$85,"&gt;0",'Annexe A  Plan RH'!$B$4:$B$85,"DE")</f>
        <v>0</v>
      </c>
      <c r="AV113" s="11">
        <f>SUMIFS('Annexe A  Plan RH'!$I$4:$I$85,'Annexe A  Plan RH'!$A$4:$A$85,"Sales",'Annexe A  Plan RH'!BJ$4:BJ$85,"&gt;0",'Annexe A  Plan RH'!$B$4:$B$85,"DE")</f>
        <v>0</v>
      </c>
      <c r="AW113" s="11">
        <f>SUMIFS('Annexe A  Plan RH'!$I$4:$I$85,'Annexe A  Plan RH'!$A$4:$A$85,"Sales",'Annexe A  Plan RH'!BK$4:BK$85,"&gt;0",'Annexe A  Plan RH'!$B$4:$B$85,"DE")</f>
        <v>0</v>
      </c>
      <c r="AX113" s="11">
        <f>SUMIFS('Annexe A  Plan RH'!$I$4:$I$85,'Annexe A  Plan RH'!$A$4:$A$85,"Sales",'Annexe A  Plan RH'!BL$4:BL$85,"&gt;0",'Annexe A  Plan RH'!$B$4:$B$85,"DE")</f>
        <v>0</v>
      </c>
      <c r="AY113" s="11">
        <f>SUMIFS('Annexe A  Plan RH'!$I$4:$I$85,'Annexe A  Plan RH'!$A$4:$A$85,"Sales",'Annexe A  Plan RH'!BM$4:BM$85,"&gt;0",'Annexe A  Plan RH'!$B$4:$B$85,"DE")</f>
        <v>0</v>
      </c>
      <c r="AZ113" s="11">
        <f>SUMIFS('Annexe A  Plan RH'!$I$4:$I$85,'Annexe A  Plan RH'!$A$4:$A$85,"Sales",'Annexe A  Plan RH'!BN$4:BN$85,"&gt;0",'Annexe A  Plan RH'!$B$4:$B$85,"DE")</f>
        <v>0</v>
      </c>
      <c r="BA113" s="11">
        <f>SUMIFS('Annexe A  Plan RH'!$I$4:$I$85,'Annexe A  Plan RH'!$A$4:$A$85,"Sales",'Annexe A  Plan RH'!BO$4:BO$85,"&gt;0",'Annexe A  Plan RH'!$B$4:$B$85,"DE")</f>
        <v>0</v>
      </c>
      <c r="BB113" s="11">
        <f>SUMIFS('Annexe A  Plan RH'!$I$4:$I$85,'Annexe A  Plan RH'!$A$4:$A$85,"Sales",'Annexe A  Plan RH'!BP$4:BP$85,"&gt;0",'Annexe A  Plan RH'!$B$4:$B$85,"DE")</f>
        <v>0</v>
      </c>
      <c r="BC113" s="11">
        <f>SUMIFS('Annexe A  Plan RH'!$I$4:$I$85,'Annexe A  Plan RH'!$A$4:$A$85,"Sales",'Annexe A  Plan RH'!BQ$4:BQ$85,"&gt;0",'Annexe A  Plan RH'!$B$4:$B$85,"DE")</f>
        <v>0</v>
      </c>
      <c r="BD113" s="11">
        <f>SUMIFS('Annexe A  Plan RH'!$I$4:$I$85,'Annexe A  Plan RH'!$A$4:$A$85,"Sales",'Annexe A  Plan RH'!BR$4:BR$85,"&gt;0",'Annexe A  Plan RH'!$B$4:$B$85,"DE")</f>
        <v>0</v>
      </c>
      <c r="BE113" s="11">
        <f>SUMIFS('Annexe A  Plan RH'!$I$4:$I$85,'Annexe A  Plan RH'!$A$4:$A$85,"Sales",'Annexe A  Plan RH'!BS$4:BS$85,"&gt;0",'Annexe A  Plan RH'!$B$4:$B$85,"DE")</f>
        <v>0</v>
      </c>
      <c r="BF113" s="11">
        <f>SUMIFS('Annexe A  Plan RH'!$I$4:$I$85,'Annexe A  Plan RH'!$A$4:$A$85,"Sales",'Annexe A  Plan RH'!BT$4:BT$85,"&gt;0",'Annexe A  Plan RH'!$B$4:$B$85,"DE")</f>
        <v>0</v>
      </c>
      <c r="BG113" s="11">
        <f>SUMIFS('Annexe A  Plan RH'!$I$4:$I$85,'Annexe A  Plan RH'!$A$4:$A$85,"Sales",'Annexe A  Plan RH'!BU$4:BU$85,"&gt;0",'Annexe A  Plan RH'!$B$4:$B$85,"DE")</f>
        <v>0</v>
      </c>
      <c r="BH113" s="11">
        <f>SUMIFS('Annexe A  Plan RH'!$I$4:$I$85,'Annexe A  Plan RH'!$A$4:$A$85,"Sales",'Annexe A  Plan RH'!BV$4:BV$85,"&gt;0",'Annexe A  Plan RH'!$B$4:$B$85,"DE")</f>
        <v>0</v>
      </c>
      <c r="BI113" s="11">
        <f>SUMIFS('Annexe A  Plan RH'!$I$4:$I$85,'Annexe A  Plan RH'!$A$4:$A$85,"Sales",'Annexe A  Plan RH'!BW$4:BW$85,"&gt;0",'Annexe A  Plan RH'!$B$4:$B$85,"DE")</f>
        <v>0</v>
      </c>
      <c r="BJ113" s="11">
        <f>SUMIFS('Annexe A  Plan RH'!$I$4:$I$85,'Annexe A  Plan RH'!$A$4:$A$85,"Sales",'Annexe A  Plan RH'!BX$4:BX$85,"&gt;0",'Annexe A  Plan RH'!$B$4:$B$85,"DE")</f>
        <v>0</v>
      </c>
      <c r="BK113" s="11">
        <f>SUMIFS('Annexe A  Plan RH'!$I$4:$I$85,'Annexe A  Plan RH'!$A$4:$A$85,"Sales",'Annexe A  Plan RH'!BY$4:BY$85,"&gt;0",'Annexe A  Plan RH'!$B$4:$B$85,"DE")</f>
        <v>0</v>
      </c>
      <c r="BL113" s="11">
        <f>SUMIFS('Annexe A  Plan RH'!$I$4:$I$85,'Annexe A  Plan RH'!$A$4:$A$85,"Sales",'Annexe A  Plan RH'!BZ$4:BZ$85,"&gt;0",'Annexe A  Plan RH'!$B$4:$B$85,"DE")</f>
        <v>0</v>
      </c>
      <c r="BM113" s="11">
        <f>SUMIFS('Annexe A  Plan RH'!$I$4:$I$85,'Annexe A  Plan RH'!$A$4:$A$85,"Sales",'Annexe A  Plan RH'!CA$4:CA$85,"&gt;0",'Annexe A  Plan RH'!$B$4:$B$85,"DE")</f>
        <v>0</v>
      </c>
      <c r="BN113" s="11">
        <f>SUMIFS('Annexe A  Plan RH'!$I$4:$I$85,'Annexe A  Plan RH'!$A$4:$A$85,"Sales",'Annexe A  Plan RH'!CB$4:CB$85,"&gt;0",'Annexe A  Plan RH'!$B$4:$B$85,"DE")</f>
        <v>0</v>
      </c>
      <c r="BO113" s="11">
        <f>SUMIFS('Annexe A  Plan RH'!$I$4:$I$85,'Annexe A  Plan RH'!$A$4:$A$85,"Sales",'Annexe A  Plan RH'!CC$4:CC$85,"&gt;0",'Annexe A  Plan RH'!$B$4:$B$85,"DE")</f>
        <v>0</v>
      </c>
      <c r="BP113" s="11">
        <f>SUMIFS('Annexe A  Plan RH'!$I$4:$I$85,'Annexe A  Plan RH'!$A$4:$A$85,"Sales",'Annexe A  Plan RH'!CD$4:CD$85,"&gt;0",'Annexe A  Plan RH'!$B$4:$B$85,"DE")</f>
        <v>0</v>
      </c>
      <c r="BQ113" s="11">
        <f>SUMIFS('Annexe A  Plan RH'!$I$4:$I$85,'Annexe A  Plan RH'!$A$4:$A$85,"Sales",'Annexe A  Plan RH'!CE$4:CE$85,"&gt;0",'Annexe A  Plan RH'!$B$4:$B$85,"DE")</f>
        <v>0</v>
      </c>
      <c r="BR113" s="11">
        <f>SUMIFS('Annexe A  Plan RH'!$I$4:$I$85,'Annexe A  Plan RH'!$A$4:$A$85,"Sales",'Annexe A  Plan RH'!CF$4:CF$85,"&gt;0",'Annexe A  Plan RH'!$B$4:$B$85,"DE")</f>
        <v>0</v>
      </c>
      <c r="BS113" s="11">
        <f>SUMIFS('Annexe A  Plan RH'!$I$4:$I$85,'Annexe A  Plan RH'!$A$4:$A$85,"Sales",'Annexe A  Plan RH'!CG$4:CG$85,"&gt;0",'Annexe A  Plan RH'!$B$4:$B$85,"DE")</f>
        <v>0</v>
      </c>
      <c r="BT113" s="11">
        <f>SUMIFS('Annexe A  Plan RH'!$I$4:$I$85,'Annexe A  Plan RH'!$A$4:$A$85,"Sales",'Annexe A  Plan RH'!CH$4:CH$85,"&gt;0",'Annexe A  Plan RH'!$B$4:$B$85,"DE")</f>
        <v>0</v>
      </c>
      <c r="BU113" s="11">
        <f>SUMIFS('Annexe A  Plan RH'!$I$4:$I$85,'Annexe A  Plan RH'!$A$4:$A$85,"Sales",'Annexe A  Plan RH'!CI$4:CI$85,"&gt;0",'Annexe A  Plan RH'!$B$4:$B$85,"DE")</f>
        <v>0</v>
      </c>
      <c r="BV113" s="11">
        <f>SUMIFS('Annexe A  Plan RH'!$I$4:$I$85,'Annexe A  Plan RH'!$A$4:$A$85,"Sales",'Annexe A  Plan RH'!CJ$4:CJ$85,"&gt;0",'Annexe A  Plan RH'!$B$4:$B$85,"DE")</f>
        <v>0</v>
      </c>
      <c r="BW113" s="11">
        <f>SUMIFS('Annexe A  Plan RH'!$I$4:$I$85,'Annexe A  Plan RH'!$A$4:$A$85,"Sales",'Annexe A  Plan RH'!CK$4:CK$85,"&gt;0",'Annexe A  Plan RH'!$B$4:$B$85,"DE")</f>
        <v>0</v>
      </c>
      <c r="BX113" s="11">
        <f>SUMIFS('Annexe A  Plan RH'!$I$4:$I$85,'Annexe A  Plan RH'!$A$4:$A$85,"Sales",'Annexe A  Plan RH'!CL$4:CL$85,"&gt;0",'Annexe A  Plan RH'!$B$4:$B$85,"DE")</f>
        <v>0</v>
      </c>
      <c r="BY113" s="11">
        <f>SUMIFS('Annexe A  Plan RH'!$I$4:$I$85,'Annexe A  Plan RH'!$A$4:$A$85,"Sales",'Annexe A  Plan RH'!CM$4:CM$85,"&gt;0",'Annexe A  Plan RH'!$B$4:$B$85,"DE")</f>
        <v>0</v>
      </c>
      <c r="BZ113" s="11">
        <f>SUMIFS('Annexe A  Plan RH'!$I$4:$I$85,'Annexe A  Plan RH'!$A$4:$A$85,"Sales",'Annexe A  Plan RH'!CN$4:CN$85,"&gt;0",'Annexe A  Plan RH'!$B$4:$B$85,"DE")</f>
        <v>0</v>
      </c>
      <c r="CA113" s="11">
        <f>SUMIFS('Annexe A  Plan RH'!$I$4:$I$85,'Annexe A  Plan RH'!$A$4:$A$85,"Sales",'Annexe A  Plan RH'!CO$4:CO$85,"&gt;0",'Annexe A  Plan RH'!$B$4:$B$85,"DE")</f>
        <v>0</v>
      </c>
      <c r="CB113" s="11">
        <f>SUMIFS('Annexe A  Plan RH'!$I$4:$I$85,'Annexe A  Plan RH'!$A$4:$A$85,"Sales",'Annexe A  Plan RH'!CP$4:CP$85,"&gt;0",'Annexe A  Plan RH'!$B$4:$B$85,"DE")</f>
        <v>0</v>
      </c>
      <c r="CC113" s="11">
        <f>SUMIFS('Annexe A  Plan RH'!$I$4:$I$85,'Annexe A  Plan RH'!$A$4:$A$85,"Sales",'Annexe A  Plan RH'!CQ$4:CQ$85,"&gt;0",'Annexe A  Plan RH'!$B$4:$B$85,"DE")</f>
        <v>0</v>
      </c>
    </row>
    <row r="114" spans="1:81" ht="13">
      <c r="A114" s="11"/>
    </row>
    <row r="120" spans="1:81" ht="14">
      <c r="A120" s="11" t="s">
        <v>160</v>
      </c>
      <c r="B120" s="303" t="s">
        <v>161</v>
      </c>
    </row>
  </sheetData>
  <mergeCells count="6">
    <mergeCell ref="BF1:BQ1"/>
    <mergeCell ref="C1:I1"/>
    <mergeCell ref="J1:U1"/>
    <mergeCell ref="V1:AG1"/>
    <mergeCell ref="AH1:AS1"/>
    <mergeCell ref="AT1:B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C34"/>
  <sheetViews>
    <sheetView topLeftCell="A4" workbookViewId="0"/>
  </sheetViews>
  <sheetFormatPr baseColWidth="10" defaultColWidth="12.6640625" defaultRowHeight="15.75" customHeight="1"/>
  <cols>
    <col min="1" max="1" width="38.6640625" customWidth="1"/>
  </cols>
  <sheetData>
    <row r="1" spans="1:81" ht="15.75" customHeight="1">
      <c r="A1" s="167"/>
      <c r="B1" s="167"/>
      <c r="C1" s="168">
        <v>45809</v>
      </c>
      <c r="D1" s="169">
        <v>45839</v>
      </c>
      <c r="E1" s="169">
        <v>45870</v>
      </c>
      <c r="F1" s="169">
        <v>45901</v>
      </c>
      <c r="G1" s="169">
        <v>45931</v>
      </c>
      <c r="H1" s="169">
        <v>45962</v>
      </c>
      <c r="I1" s="170">
        <v>45992</v>
      </c>
      <c r="J1" s="169">
        <v>46023</v>
      </c>
      <c r="K1" s="169">
        <v>46054</v>
      </c>
      <c r="L1" s="169">
        <v>46082</v>
      </c>
      <c r="M1" s="169">
        <v>46113</v>
      </c>
      <c r="N1" s="169">
        <v>46143</v>
      </c>
      <c r="O1" s="169">
        <v>46174</v>
      </c>
      <c r="P1" s="169">
        <v>46204</v>
      </c>
      <c r="Q1" s="169">
        <v>46235</v>
      </c>
      <c r="R1" s="169">
        <v>46266</v>
      </c>
      <c r="S1" s="169">
        <v>46296</v>
      </c>
      <c r="T1" s="169">
        <v>46327</v>
      </c>
      <c r="U1" s="169">
        <v>46357</v>
      </c>
      <c r="V1" s="168">
        <v>46388</v>
      </c>
      <c r="W1" s="169">
        <v>46419</v>
      </c>
      <c r="X1" s="169">
        <v>46447</v>
      </c>
      <c r="Y1" s="169">
        <v>46478</v>
      </c>
      <c r="Z1" s="169">
        <v>46508</v>
      </c>
      <c r="AA1" s="169">
        <v>46539</v>
      </c>
      <c r="AB1" s="169">
        <v>46569</v>
      </c>
      <c r="AC1" s="169">
        <v>46600</v>
      </c>
      <c r="AD1" s="169">
        <v>46631</v>
      </c>
      <c r="AE1" s="169">
        <v>46661</v>
      </c>
      <c r="AF1" s="169">
        <v>46692</v>
      </c>
      <c r="AG1" s="170">
        <v>46722</v>
      </c>
      <c r="AH1" s="169">
        <v>46753</v>
      </c>
      <c r="AI1" s="169">
        <v>46784</v>
      </c>
      <c r="AJ1" s="169">
        <v>46813</v>
      </c>
      <c r="AK1" s="169">
        <v>46844</v>
      </c>
      <c r="AL1" s="169">
        <v>46874</v>
      </c>
      <c r="AM1" s="169">
        <v>46905</v>
      </c>
      <c r="AN1" s="169">
        <v>46935</v>
      </c>
      <c r="AO1" s="169">
        <v>46966</v>
      </c>
      <c r="AP1" s="169">
        <v>46997</v>
      </c>
      <c r="AQ1" s="169">
        <v>47027</v>
      </c>
      <c r="AR1" s="169">
        <v>47058</v>
      </c>
      <c r="AS1" s="169">
        <v>47088</v>
      </c>
      <c r="AT1" s="168">
        <v>47119</v>
      </c>
      <c r="AU1" s="169">
        <v>47150</v>
      </c>
      <c r="AV1" s="169">
        <v>47178</v>
      </c>
      <c r="AW1" s="169">
        <v>47209</v>
      </c>
      <c r="AX1" s="169">
        <v>47239</v>
      </c>
      <c r="AY1" s="169">
        <v>47270</v>
      </c>
      <c r="AZ1" s="169">
        <v>47300</v>
      </c>
      <c r="BA1" s="169">
        <v>47331</v>
      </c>
      <c r="BB1" s="169">
        <v>47362</v>
      </c>
      <c r="BC1" s="169">
        <v>47392</v>
      </c>
      <c r="BD1" s="169">
        <v>47423</v>
      </c>
      <c r="BE1" s="170">
        <v>47453</v>
      </c>
      <c r="BF1" s="169">
        <v>47484</v>
      </c>
      <c r="BG1" s="169">
        <v>47515</v>
      </c>
      <c r="BH1" s="169">
        <v>47543</v>
      </c>
      <c r="BI1" s="169">
        <v>47574</v>
      </c>
      <c r="BJ1" s="169">
        <v>47604</v>
      </c>
      <c r="BK1" s="169">
        <v>47635</v>
      </c>
      <c r="BL1" s="169">
        <v>47665</v>
      </c>
      <c r="BM1" s="169">
        <v>47696</v>
      </c>
      <c r="BN1" s="169">
        <v>47727</v>
      </c>
      <c r="BO1" s="169">
        <v>47757</v>
      </c>
      <c r="BP1" s="169">
        <v>47788</v>
      </c>
      <c r="BQ1" s="169">
        <v>47818</v>
      </c>
      <c r="BR1" s="168">
        <v>47849</v>
      </c>
      <c r="BS1" s="169">
        <v>47880</v>
      </c>
      <c r="BT1" s="169">
        <v>47908</v>
      </c>
      <c r="BU1" s="169">
        <v>47939</v>
      </c>
      <c r="BV1" s="169">
        <v>47969</v>
      </c>
      <c r="BW1" s="169">
        <v>48000</v>
      </c>
      <c r="BX1" s="169">
        <v>48030</v>
      </c>
      <c r="BY1" s="169">
        <v>48061</v>
      </c>
      <c r="BZ1" s="169">
        <v>48092</v>
      </c>
      <c r="CA1" s="169">
        <v>48122</v>
      </c>
      <c r="CB1" s="169">
        <v>48153</v>
      </c>
      <c r="CC1" s="170">
        <v>48183</v>
      </c>
    </row>
    <row r="2" spans="1:81" ht="15.75" customHeight="1">
      <c r="A2" s="207" t="s">
        <v>162</v>
      </c>
      <c r="B2" s="167"/>
      <c r="C2" s="40"/>
      <c r="I2" s="10"/>
      <c r="V2" s="40"/>
      <c r="AG2" s="10"/>
      <c r="AT2" s="40"/>
      <c r="BE2" s="10"/>
      <c r="BR2" s="40"/>
      <c r="CC2" s="10"/>
    </row>
    <row r="3" spans="1:81" ht="15">
      <c r="A3" s="286" t="s">
        <v>163</v>
      </c>
      <c r="B3" s="304"/>
      <c r="C3" s="186">
        <f t="shared" ref="C3:CC3" si="0">SUM(C4:C13)</f>
        <v>-2667.6966161631913</v>
      </c>
      <c r="D3" s="187">
        <f t="shared" si="0"/>
        <v>-2724.0872487780907</v>
      </c>
      <c r="E3" s="187">
        <f t="shared" si="0"/>
        <v>-2779.4852739267481</v>
      </c>
      <c r="F3" s="187">
        <f t="shared" si="0"/>
        <v>-2833.9135095459806</v>
      </c>
      <c r="G3" s="187">
        <f t="shared" si="0"/>
        <v>-2887.3941459749108</v>
      </c>
      <c r="H3" s="187">
        <f t="shared" si="0"/>
        <v>-6359.0077590387264</v>
      </c>
      <c r="I3" s="188">
        <f t="shared" si="0"/>
        <v>-8210.8742649511078</v>
      </c>
      <c r="J3" s="187">
        <f t="shared" ca="1" si="0"/>
        <v>-8825.7818319879607</v>
      </c>
      <c r="K3" s="187">
        <f t="shared" ca="1" si="0"/>
        <v>-8943.450375019931</v>
      </c>
      <c r="L3" s="187">
        <f t="shared" ca="1" si="0"/>
        <v>-9797.7384619881304</v>
      </c>
      <c r="M3" s="187">
        <f t="shared" ca="1" si="0"/>
        <v>-10365.666515977025</v>
      </c>
      <c r="N3" s="187">
        <f t="shared" ca="1" si="0"/>
        <v>-10942.83415638396</v>
      </c>
      <c r="O3" s="187">
        <f t="shared" ca="1" si="0"/>
        <v>-11529.025896185593</v>
      </c>
      <c r="P3" s="187">
        <f t="shared" ca="1" si="0"/>
        <v>-12404.824871768524</v>
      </c>
      <c r="Q3" s="187">
        <f t="shared" ca="1" si="0"/>
        <v>-13098.244026500215</v>
      </c>
      <c r="R3" s="187">
        <f t="shared" ca="1" si="0"/>
        <v>-13802.720836464399</v>
      </c>
      <c r="S3" s="187">
        <f t="shared" ca="1" si="0"/>
        <v>-14517.980198040357</v>
      </c>
      <c r="T3" s="187">
        <f t="shared" ca="1" si="0"/>
        <v>-15243.754284543566</v>
      </c>
      <c r="U3" s="187">
        <f t="shared" ca="1" si="0"/>
        <v>-17122.254804742399</v>
      </c>
      <c r="V3" s="186">
        <f t="shared" ca="1" si="0"/>
        <v>-18290.684605308772</v>
      </c>
      <c r="W3" s="187">
        <f t="shared" ca="1" si="0"/>
        <v>-19288.505271375616</v>
      </c>
      <c r="X3" s="187">
        <f t="shared" ca="1" si="0"/>
        <v>-20304.084955702921</v>
      </c>
      <c r="Y3" s="187">
        <f t="shared" ca="1" si="0"/>
        <v>-21337.11330551529</v>
      </c>
      <c r="Z3" s="187">
        <f t="shared" ca="1" si="0"/>
        <v>-22387.285735467056</v>
      </c>
      <c r="AA3" s="187">
        <f t="shared" ca="1" si="0"/>
        <v>-23454.303309965064</v>
      </c>
      <c r="AB3" s="187">
        <f t="shared" ca="1" si="0"/>
        <v>-24806.96635196366</v>
      </c>
      <c r="AC3" s="187">
        <f t="shared" ca="1" si="0"/>
        <v>-25974.164392295806</v>
      </c>
      <c r="AD3" s="187">
        <f t="shared" ca="1" si="0"/>
        <v>-27159.287587056057</v>
      </c>
      <c r="AE3" s="187">
        <f t="shared" ca="1" si="0"/>
        <v>-28362.012900473896</v>
      </c>
      <c r="AF3" s="187">
        <f t="shared" ca="1" si="0"/>
        <v>-29582.023692425515</v>
      </c>
      <c r="AG3" s="188">
        <f t="shared" ca="1" si="0"/>
        <v>-29804.367820758282</v>
      </c>
      <c r="AH3" s="187">
        <f t="shared" ca="1" si="0"/>
        <v>-31292.823327105489</v>
      </c>
      <c r="AI3" s="187">
        <f t="shared" ca="1" si="0"/>
        <v>-32422.818570690091</v>
      </c>
      <c r="AJ3" s="187">
        <f t="shared" ca="1" si="0"/>
        <v>-33567.143005081147</v>
      </c>
      <c r="AK3" s="187">
        <f t="shared" ca="1" si="0"/>
        <v>-34725.598402734002</v>
      </c>
      <c r="AL3" s="187">
        <f t="shared" ca="1" si="0"/>
        <v>-35897.989198882235</v>
      </c>
      <c r="AM3" s="187">
        <f t="shared" ca="1" si="0"/>
        <v>-37084.122462145649</v>
      </c>
      <c r="AN3" s="187">
        <f t="shared" ca="1" si="0"/>
        <v>-38283.807865147028</v>
      </c>
      <c r="AO3" s="187">
        <f t="shared" ca="1" si="0"/>
        <v>-39496.857655150976</v>
      </c>
      <c r="AP3" s="187">
        <f t="shared" ca="1" si="0"/>
        <v>-40723.086624744217</v>
      </c>
      <c r="AQ3" s="187">
        <f t="shared" ca="1" si="0"/>
        <v>-41962.312082568635</v>
      </c>
      <c r="AR3" s="187">
        <f t="shared" ca="1" si="0"/>
        <v>-43214.353824123966</v>
      </c>
      <c r="AS3" s="187">
        <f t="shared" ca="1" si="0"/>
        <v>-41527.273143379498</v>
      </c>
      <c r="AT3" s="186">
        <f t="shared" ca="1" si="0"/>
        <v>-43056.007194100588</v>
      </c>
      <c r="AU3" s="187">
        <f t="shared" ca="1" si="0"/>
        <v>-43864.884025834734</v>
      </c>
      <c r="AV3" s="187">
        <f t="shared" ca="1" si="0"/>
        <v>-44676.339090851558</v>
      </c>
      <c r="AW3" s="187">
        <f t="shared" ca="1" si="0"/>
        <v>-45490.31909520195</v>
      </c>
      <c r="AX3" s="187">
        <f t="shared" ca="1" si="0"/>
        <v>-46306.771662967381</v>
      </c>
      <c r="AY3" s="187">
        <f t="shared" ca="1" si="0"/>
        <v>-47125.645322695775</v>
      </c>
      <c r="AZ3" s="187">
        <f t="shared" ca="1" si="0"/>
        <v>-49058.36357033797</v>
      </c>
      <c r="BA3" s="187">
        <f t="shared" ca="1" si="0"/>
        <v>-50072.264874262262</v>
      </c>
      <c r="BB3" s="187">
        <f t="shared" ca="1" si="0"/>
        <v>-51088.395446543094</v>
      </c>
      <c r="BC3" s="187">
        <f t="shared" ca="1" si="0"/>
        <v>-52106.706536733174</v>
      </c>
      <c r="BD3" s="187">
        <f t="shared" ca="1" si="0"/>
        <v>-53127.150231217362</v>
      </c>
      <c r="BE3" s="188">
        <f t="shared" ca="1" si="0"/>
        <v>-52556.254788084887</v>
      </c>
      <c r="BF3" s="187">
        <f t="shared" ca="1" si="0"/>
        <v>-54806.324554392188</v>
      </c>
      <c r="BG3" s="187">
        <f t="shared" ca="1" si="0"/>
        <v>-59667.379242732131</v>
      </c>
      <c r="BH3" s="187">
        <f t="shared" ca="1" si="0"/>
        <v>-61098.345112256895</v>
      </c>
      <c r="BI3" s="187">
        <f t="shared" ca="1" si="0"/>
        <v>-66612.286259667046</v>
      </c>
      <c r="BJ3" s="187">
        <f t="shared" ca="1" si="0"/>
        <v>-72785.409087595894</v>
      </c>
      <c r="BK3" s="187">
        <f t="shared" ca="1" si="0"/>
        <v>-75516.419318815926</v>
      </c>
      <c r="BL3" s="187">
        <f t="shared" ca="1" si="0"/>
        <v>-96984.474548270548</v>
      </c>
      <c r="BM3" s="187">
        <f t="shared" ca="1" si="0"/>
        <v>-102929.17541097473</v>
      </c>
      <c r="BN3" s="187">
        <f t="shared" ca="1" si="0"/>
        <v>-108817.824286509</v>
      </c>
      <c r="BO3" s="187">
        <f t="shared" ca="1" si="0"/>
        <v>-114651.13576215976</v>
      </c>
      <c r="BP3" s="187">
        <f t="shared" ca="1" si="0"/>
        <v>-120429.81231211142</v>
      </c>
      <c r="BQ3" s="187">
        <f t="shared" ca="1" si="0"/>
        <v>-126095.80049253233</v>
      </c>
      <c r="BR3" s="186">
        <f t="shared" ca="1" si="0"/>
        <v>-136624.42333670962</v>
      </c>
      <c r="BS3" s="187">
        <f t="shared" ca="1" si="0"/>
        <v>-142736.86650048228</v>
      </c>
      <c r="BT3" s="187">
        <f t="shared" ca="1" si="0"/>
        <v>-150838.57700614256</v>
      </c>
      <c r="BU3" s="187">
        <f t="shared" ca="1" si="0"/>
        <v>-157178.62334990726</v>
      </c>
      <c r="BV3" s="187">
        <f t="shared" ca="1" si="0"/>
        <v>-163458.40699451874</v>
      </c>
      <c r="BW3" s="187">
        <f t="shared" ca="1" si="0"/>
        <v>-175821.15502019331</v>
      </c>
      <c r="BX3" s="187">
        <f t="shared" ca="1" si="0"/>
        <v>-239309.75607953026</v>
      </c>
      <c r="BY3" s="187">
        <f t="shared" ca="1" si="0"/>
        <v>-258326.34598339765</v>
      </c>
      <c r="BZ3" s="187">
        <f t="shared" ca="1" si="0"/>
        <v>-275476.3635332156</v>
      </c>
      <c r="CA3" s="187">
        <f t="shared" ca="1" si="0"/>
        <v>-296555.25822863722</v>
      </c>
      <c r="CB3" s="187">
        <f t="shared" ca="1" si="0"/>
        <v>-314065.07841853658</v>
      </c>
      <c r="CC3" s="188">
        <f t="shared" ca="1" si="0"/>
        <v>-332383.6573004942</v>
      </c>
    </row>
    <row r="4" spans="1:81" ht="15.75" customHeight="1">
      <c r="A4" s="305" t="s">
        <v>164</v>
      </c>
      <c r="B4" s="61"/>
      <c r="C4" s="129">
        <f>-$B$27*Ventes!C4</f>
        <v>-1048.4803661631915</v>
      </c>
      <c r="D4" s="130">
        <f>-$B$27*Ventes!D4</f>
        <v>-1069.9924598822049</v>
      </c>
      <c r="E4" s="130">
        <f>-$B$27*Ventes!E4</f>
        <v>-1091.088759205926</v>
      </c>
      <c r="F4" s="130">
        <f>-$B$27*Ventes!F4</f>
        <v>-1111.7789734615208</v>
      </c>
      <c r="G4" s="130">
        <f>-$B$27*Ventes!G4</f>
        <v>-1132.0725423386571</v>
      </c>
      <c r="H4" s="130">
        <f>-$B$27*Ventes!H4</f>
        <v>-1151.9786444974266</v>
      </c>
      <c r="I4" s="131">
        <f>-$B$27*Ventes!I4</f>
        <v>-1171.5062058735302</v>
      </c>
      <c r="J4" s="130">
        <f ca="1">-$B$27*Ventes!J4</f>
        <v>-1219.5081217881714</v>
      </c>
      <c r="K4" s="130">
        <f ca="1">-$B$27*Ventes!K4</f>
        <v>-1245.6107970742687</v>
      </c>
      <c r="L4" s="130">
        <f ca="1">-$B$27*Ventes!L4</f>
        <v>-1251.1112348919708</v>
      </c>
      <c r="M4" s="130">
        <f ca="1">-$B$27*Ventes!M4</f>
        <v>-1276.8311358847016</v>
      </c>
      <c r="N4" s="130">
        <f ca="1">-$B$27*Ventes!N4</f>
        <v>-1302.1606751007846</v>
      </c>
      <c r="O4" s="130">
        <f ca="1">-$B$27*Ventes!O4</f>
        <v>-1327.1069730817269</v>
      </c>
      <c r="P4" s="130">
        <f ca="1">-$B$27*Ventes!P4</f>
        <v>-1351.6769958301918</v>
      </c>
      <c r="Q4" s="130">
        <f ca="1">-$B$27*Ventes!Q4</f>
        <v>-1384.8842244824148</v>
      </c>
      <c r="R4" s="130">
        <f ca="1">-$B$27*Ventes!R4</f>
        <v>-1417.5507802802433</v>
      </c>
      <c r="S4" s="130">
        <f ca="1">-$B$27*Ventes!S4</f>
        <v>-1449.6876301953866</v>
      </c>
      <c r="T4" s="130">
        <f ca="1">-$B$27*Ventes!T4</f>
        <v>-1481.3054713982417</v>
      </c>
      <c r="U4" s="130">
        <f ca="1">-$B$27*Ventes!U4</f>
        <v>-1512.4147389726081</v>
      </c>
      <c r="V4" s="129">
        <f ca="1">-$B$27*Ventes!V4</f>
        <v>-1670.0152820503049</v>
      </c>
      <c r="W4" s="130">
        <f ca="1">-$B$27*Ventes!W4</f>
        <v>-1706.2950006294104</v>
      </c>
      <c r="X4" s="130">
        <f ca="1">-$B$27*Ventes!X4</f>
        <v>-1742.1583242742772</v>
      </c>
      <c r="Y4" s="130">
        <f ca="1">-$B$27*Ventes!Y4</f>
        <v>-1777.611101714366</v>
      </c>
      <c r="Z4" s="130">
        <f ca="1">-$B$27*Ventes!Z4</f>
        <v>-1812.6590837646052</v>
      </c>
      <c r="AA4" s="130">
        <f ca="1">-$B$27*Ventes!AA4</f>
        <v>-1847.3079252824814</v>
      </c>
      <c r="AB4" s="130">
        <f ca="1">-$B$27*Ventes!AB4</f>
        <v>-1881.5631870783127</v>
      </c>
      <c r="AC4" s="130">
        <f ca="1">-$B$27*Ventes!AC4</f>
        <v>-1920.2936553052973</v>
      </c>
      <c r="AD4" s="130">
        <f ca="1">-$B$27*Ventes!AD4</f>
        <v>-1958.5630912920149</v>
      </c>
      <c r="AE4" s="130">
        <f ca="1">-$B$27*Ventes!AE4</f>
        <v>-1996.3785087661358</v>
      </c>
      <c r="AF4" s="130">
        <f ca="1">-$B$27*Ventes!AF4</f>
        <v>-2033.7467878549978</v>
      </c>
      <c r="AG4" s="131">
        <f ca="1">-$B$27*Ventes!AG4</f>
        <v>-2070.6746782053433</v>
      </c>
      <c r="AH4" s="130">
        <f ca="1">-$B$27*Ventes!AH4</f>
        <v>-2173.0600909118016</v>
      </c>
      <c r="AI4" s="130">
        <f ca="1">-$B$27*Ventes!AI4</f>
        <v>-2214.1702417120555</v>
      </c>
      <c r="AJ4" s="130">
        <f ca="1">-$B$27*Ventes!AJ4</f>
        <v>-2254.9297572056203</v>
      </c>
      <c r="AK4" s="130">
        <f ca="1">-$B$27*Ventes!AK4</f>
        <v>-2295.3418005754452</v>
      </c>
      <c r="AL4" s="130">
        <f ca="1">-$B$27*Ventes!AL4</f>
        <v>-2335.4095156173594</v>
      </c>
      <c r="AM4" s="130">
        <f ca="1">-$B$27*Ventes!AM4</f>
        <v>-2375.1360264259038</v>
      </c>
      <c r="AN4" s="130">
        <f ca="1">-$B$27*Ventes!AN4</f>
        <v>-2414.5244371012682</v>
      </c>
      <c r="AO4" s="130">
        <f ca="1">-$B$27*Ventes!AO4</f>
        <v>-2453.5778314765253</v>
      </c>
      <c r="AP4" s="130">
        <f ca="1">-$B$27*Ventes!AP4</f>
        <v>-2492.2992728643908</v>
      </c>
      <c r="AQ4" s="130">
        <f ca="1">-$B$27*Ventes!AQ4</f>
        <v>-2530.6918038227645</v>
      </c>
      <c r="AR4" s="130">
        <f ca="1">-$B$27*Ventes!AR4</f>
        <v>-2568.7584459383302</v>
      </c>
      <c r="AS4" s="130">
        <f ca="1">-$B$27*Ventes!AS4</f>
        <v>-2606.5021996275182</v>
      </c>
      <c r="AT4" s="129">
        <f ca="1">-$B$27*Ventes!AT4</f>
        <v>-2721.6722592184037</v>
      </c>
      <c r="AU4" s="130">
        <f ca="1">-$B$27*Ventes!AU4</f>
        <v>-2761.5995035867818</v>
      </c>
      <c r="AV4" s="130">
        <f ca="1">-$B$27*Ventes!AV4</f>
        <v>-2801.2822164333184</v>
      </c>
      <c r="AW4" s="130">
        <f ca="1">-$B$27*Ventes!AW4</f>
        <v>-2840.7204276568928</v>
      </c>
      <c r="AX4" s="130">
        <f ca="1">-$B$27*Ventes!AX4</f>
        <v>-2879.9142332650667</v>
      </c>
      <c r="AY4" s="130">
        <f ca="1">-$B$27*Ventes!AY4</f>
        <v>-2918.8637926900888</v>
      </c>
      <c r="AZ4" s="130">
        <f ca="1">-$B$27*Ventes!AZ4</f>
        <v>-2957.5693261933116</v>
      </c>
      <c r="BA4" s="130">
        <f ca="1">-$B$27*Ventes!BA4</f>
        <v>-3008.907245927528</v>
      </c>
      <c r="BB4" s="130">
        <f ca="1">-$B$27*Ventes!BB4</f>
        <v>-3059.8601153240197</v>
      </c>
      <c r="BC4" s="130">
        <f ca="1">-$B$27*Ventes!BC4</f>
        <v>-3110.4305370963907</v>
      </c>
      <c r="BD4" s="130">
        <f ca="1">-$B$27*Ventes!BD4</f>
        <v>-3160.6211187011395</v>
      </c>
      <c r="BE4" s="131">
        <f ca="1">-$B$27*Ventes!BE4</f>
        <v>-3210.4344713242917</v>
      </c>
      <c r="BF4" s="130">
        <f ca="1">-$B$27*Ventes!BF4</f>
        <v>-3477.4205849768791</v>
      </c>
      <c r="BG4" s="130">
        <f ca="1">-$B$27*Ventes!BG4</f>
        <v>-3532.8067615896161</v>
      </c>
      <c r="BH4" s="130">
        <f ca="1">-$B$27*Ventes!BH4</f>
        <v>-3637.0532762374291</v>
      </c>
      <c r="BI4" s="130">
        <f ca="1">-$B$27*Ventes!BI4</f>
        <v>-3740.4094605784808</v>
      </c>
      <c r="BJ4" s="130">
        <f ca="1">-$B$27*Ventes!BJ4</f>
        <v>-3892.1490899955943</v>
      </c>
      <c r="BK4" s="130">
        <f ca="1">-$B$27*Ventes!BK4</f>
        <v>-4091.7992001064599</v>
      </c>
      <c r="BL4" s="130">
        <f ca="1">-$B$27*Ventes!BL4</f>
        <v>-4289.6294417401159</v>
      </c>
      <c r="BM4" s="130">
        <f ca="1">-$B$27*Ventes!BM4</f>
        <v>-4798.4110081555682</v>
      </c>
      <c r="BN4" s="130">
        <f ca="1">-$B$27*Ventes!BN4</f>
        <v>-5302.261092287421</v>
      </c>
      <c r="BO4" s="130">
        <f ca="1">-$B$27*Ventes!BO4</f>
        <v>-5801.2446502405728</v>
      </c>
      <c r="BP4" s="130">
        <f ca="1">-$B$27*Ventes!BP4</f>
        <v>-6295.4255051340406</v>
      </c>
      <c r="BQ4" s="130">
        <f ca="1">-$B$27*Ventes!BQ4</f>
        <v>-6784.8663711440468</v>
      </c>
      <c r="BR4" s="129">
        <f ca="1">-$B$27*Ventes!BR4</f>
        <v>-7309.9371068061564</v>
      </c>
      <c r="BS4" s="130">
        <f ca="1">-$B$27*Ventes!BS4</f>
        <v>-7816.7178247596603</v>
      </c>
      <c r="BT4" s="130">
        <f ca="1">-$B$27*Ventes!BT4</f>
        <v>-8318.5714954696268</v>
      </c>
      <c r="BU4" s="130">
        <f ca="1">-$B$27*Ventes!BU4</f>
        <v>-8839.5867554022789</v>
      </c>
      <c r="BV4" s="130">
        <f ca="1">-$B$27*Ventes!BV4</f>
        <v>-9355.5591878706055</v>
      </c>
      <c r="BW4" s="130">
        <f ca="1">-$B$27*Ventes!BW4</f>
        <v>-9866.5505984755146</v>
      </c>
      <c r="BX4" s="130">
        <f ca="1">-$B$27*Ventes!BX4</f>
        <v>-10446.191904424084</v>
      </c>
      <c r="BY4" s="130">
        <f ca="1">-$B$27*Ventes!BY4</f>
        <v>-11859.926890391171</v>
      </c>
      <c r="BZ4" s="130">
        <f ca="1">-$B$27*Ventes!BZ4</f>
        <v>-13284.712365898189</v>
      </c>
      <c r="CA4" s="130">
        <f ca="1">-$B$27*Ventes!CA4</f>
        <v>-14695.699916546982</v>
      </c>
      <c r="CB4" s="130">
        <f ca="1">-$B$27*Ventes!CB4</f>
        <v>-16142.598948223354</v>
      </c>
      <c r="CC4" s="131">
        <f ca="1">-$B$27*Ventes!CC4</f>
        <v>-17575.526916491799</v>
      </c>
    </row>
    <row r="5" spans="1:81" ht="15.75" customHeight="1">
      <c r="A5" s="305" t="s">
        <v>165</v>
      </c>
      <c r="B5" s="61"/>
      <c r="C5" s="129">
        <f>-$B$28*Ventes!C8</f>
        <v>-29.216250000000002</v>
      </c>
      <c r="D5" s="130">
        <f>-$B$28*Ventes!D8</f>
        <v>-31.4721188706969</v>
      </c>
      <c r="E5" s="130">
        <f>-$B$28*Ventes!E8</f>
        <v>-33.781718751049532</v>
      </c>
      <c r="F5" s="130">
        <f>-$B$28*Ventes!F8</f>
        <v>-36.14343424566907</v>
      </c>
      <c r="G5" s="130">
        <f>-$B$28*Ventes!G8</f>
        <v>-38.555700898974727</v>
      </c>
      <c r="H5" s="130">
        <f>-$B$28*Ventes!H8</f>
        <v>-41.017003414591109</v>
      </c>
      <c r="I5" s="131">
        <f>-$B$28*Ventes!I8</f>
        <v>-43.525873943451892</v>
      </c>
      <c r="J5" s="130">
        <f>-$B$28*Ventes!J8</f>
        <v>-59.506625917115471</v>
      </c>
      <c r="K5" s="130">
        <f ca="1">-$B$28*Ventes!K8</f>
        <v>-67.533690578946008</v>
      </c>
      <c r="L5" s="130">
        <f ca="1">-$B$28*Ventes!L8</f>
        <v>-74.615100589240924</v>
      </c>
      <c r="M5" s="130">
        <f ca="1">-$B$28*Ventes!M8</f>
        <v>-83.071648757322279</v>
      </c>
      <c r="N5" s="130">
        <f ca="1">-$B$28*Ventes!N8</f>
        <v>-91.77957610816199</v>
      </c>
      <c r="O5" s="130">
        <f ca="1">-$B$28*Ventes!O8</f>
        <v>-100.73307380931995</v>
      </c>
      <c r="P5" s="130">
        <f ca="1">-$B$28*Ventes!P8</f>
        <v>-109.92647488302808</v>
      </c>
      <c r="Q5" s="130">
        <f ca="1">-$B$28*Ventes!Q8</f>
        <v>-120.13555813554183</v>
      </c>
      <c r="R5" s="130">
        <f ca="1">-$B$28*Ventes!R8</f>
        <v>-130.65488931247472</v>
      </c>
      <c r="S5" s="130">
        <f ca="1">-$B$28*Ventes!S8</f>
        <v>-141.47674454224085</v>
      </c>
      <c r="T5" s="130">
        <f ca="1">-$B$28*Ventes!T8</f>
        <v>-152.59361000019769</v>
      </c>
      <c r="U5" s="130">
        <f ca="1">-$B$28*Ventes!U8</f>
        <v>-163.9981754312355</v>
      </c>
      <c r="V5" s="129">
        <f ca="1">-$B$28*Ventes!V8</f>
        <v>-252.79199068484746</v>
      </c>
      <c r="W5" s="130">
        <f ca="1">-$B$28*Ventes!W8</f>
        <v>-274.42642094334514</v>
      </c>
      <c r="X5" s="130">
        <f ca="1">-$B$28*Ventes!X8</f>
        <v>-296.67640474126654</v>
      </c>
      <c r="Y5" s="130">
        <f ca="1">-$B$28*Ventes!Y8</f>
        <v>-319.53117525402035</v>
      </c>
      <c r="Z5" s="130">
        <f ca="1">-$B$28*Ventes!Z8</f>
        <v>-342.98016846233219</v>
      </c>
      <c r="AA5" s="130">
        <f ca="1">-$B$28*Ventes!AA8</f>
        <v>-367.01301890937327</v>
      </c>
      <c r="AB5" s="130">
        <f ca="1">-$B$28*Ventes!AB8</f>
        <v>-391.61955555923612</v>
      </c>
      <c r="AC5" s="130">
        <f ca="1">-$B$28*Ventes!AC8</f>
        <v>-417.84803573200844</v>
      </c>
      <c r="AD5" s="130">
        <f ca="1">-$B$28*Ventes!AD8</f>
        <v>-444.70466951810499</v>
      </c>
      <c r="AE5" s="130">
        <f ca="1">-$B$28*Ventes!AE8</f>
        <v>-472.17803073395476</v>
      </c>
      <c r="AF5" s="130">
        <f ca="1">-$B$28*Ventes!AF8</f>
        <v>-500.25692575210252</v>
      </c>
      <c r="AG5" s="131">
        <f ca="1">-$B$28*Ventes!AG8</f>
        <v>-528.93038797835277</v>
      </c>
      <c r="AH5" s="130">
        <f ca="1">-$B$28*Ventes!AH8</f>
        <v>-881.17401280641411</v>
      </c>
      <c r="AI5" s="130">
        <f ca="1">-$B$28*Ventes!AI8</f>
        <v>-922.110201823392</v>
      </c>
      <c r="AJ5" s="130">
        <f ca="1">-$B$28*Ventes!AJ8</f>
        <v>-963.7976111581595</v>
      </c>
      <c r="AK5" s="130">
        <f ca="1">-$B$28*Ventes!AK8</f>
        <v>-1006.2260991827816</v>
      </c>
      <c r="AL5" s="130">
        <f ca="1">-$B$28*Ventes!AL8</f>
        <v>-1049.3856542247829</v>
      </c>
      <c r="AM5" s="130">
        <f ca="1">-$B$28*Ventes!AM8</f>
        <v>-1093.2663933601805</v>
      </c>
      <c r="AN5" s="130">
        <f ca="1">-$B$28*Ventes!AN8</f>
        <v>-1137.8585611957999</v>
      </c>
      <c r="AO5" s="130">
        <f ca="1">-$B$28*Ventes!AO8</f>
        <v>-1183.152528642109</v>
      </c>
      <c r="AP5" s="130">
        <f ca="1">-$B$28*Ventes!AP8</f>
        <v>-1229.1387916777442</v>
      </c>
      <c r="AQ5" s="130">
        <f ca="1">-$B$28*Ventes!AQ8</f>
        <v>-1275.8079701068577</v>
      </c>
      <c r="AR5" s="130">
        <f ca="1">-$B$28*Ventes!AR8</f>
        <v>-1323.1508063103436</v>
      </c>
      <c r="AS5" s="130">
        <f ca="1">-$B$28*Ventes!AS8</f>
        <v>-1371.1581639919675</v>
      </c>
      <c r="AT5" s="129">
        <f ca="1">-$B$28*Ventes!AT8</f>
        <v>-2063.1194513505902</v>
      </c>
      <c r="AU5" s="130">
        <f ca="1">-$B$28*Ventes!AU8</f>
        <v>-2107.8227928722185</v>
      </c>
      <c r="AV5" s="130">
        <f ca="1">-$B$28*Ventes!AV8</f>
        <v>-2152.7556793274921</v>
      </c>
      <c r="AW5" s="130">
        <f ca="1">-$B$28*Ventes!AW8</f>
        <v>-2197.9142987500627</v>
      </c>
      <c r="AX5" s="130">
        <f ca="1">-$B$28*Ventes!AX8</f>
        <v>-2243.2948912938386</v>
      </c>
      <c r="AY5" s="130">
        <f ca="1">-$B$28*Ventes!AY8</f>
        <v>-2288.8937488562851</v>
      </c>
      <c r="AZ5" s="130">
        <f ca="1">-$B$28*Ventes!AZ8</f>
        <v>-2334.7072146873343</v>
      </c>
      <c r="BA5" s="130">
        <f ca="1">-$B$28*Ventes!BA8</f>
        <v>-2390.9634255804795</v>
      </c>
      <c r="BB5" s="130">
        <f ca="1">-$B$28*Ventes!BB8</f>
        <v>-2447.4484222378737</v>
      </c>
      <c r="BC5" s="130">
        <f ca="1">-$B$28*Ventes!BC8</f>
        <v>-2504.1582611424956</v>
      </c>
      <c r="BD5" s="130">
        <f ca="1">-$B$28*Ventes!BD8</f>
        <v>-2561.0890570466054</v>
      </c>
      <c r="BE5" s="131">
        <f ca="1">-$B$28*Ventes!BE8</f>
        <v>-2618.2369822692854</v>
      </c>
      <c r="BF5" s="130">
        <f ca="1">-$B$28*Ventes!BF8</f>
        <v>-3948.8199684780079</v>
      </c>
      <c r="BG5" s="130">
        <f ca="1">-$B$28*Ventes!BG8</f>
        <v>-4011.7142991583091</v>
      </c>
      <c r="BH5" s="130">
        <f ca="1">-$B$28*Ventes!BH8</f>
        <v>-4130.0924787963804</v>
      </c>
      <c r="BI5" s="130">
        <f ca="1">-$B$28*Ventes!BI8</f>
        <v>-4247.4596348875521</v>
      </c>
      <c r="BJ5" s="130">
        <f ca="1">-$B$28*Ventes!BJ8</f>
        <v>-4419.7690993338092</v>
      </c>
      <c r="BK5" s="130">
        <f ca="1">-$B$28*Ventes!BK8</f>
        <v>-4646.4837926673054</v>
      </c>
      <c r="BL5" s="130">
        <f ca="1">-$B$28*Ventes!BL8</f>
        <v>-4871.1319160225084</v>
      </c>
      <c r="BM5" s="130">
        <f ca="1">-$B$28*Ventes!BM8</f>
        <v>-5350.0401448173543</v>
      </c>
      <c r="BN5" s="130">
        <f ca="1">-$B$28*Ventes!BN8</f>
        <v>-5824.3467016493869</v>
      </c>
      <c r="BO5" s="130">
        <f ca="1">-$B$28*Ventes!BO8</f>
        <v>-6294.1116977485226</v>
      </c>
      <c r="BP5" s="130">
        <f ca="1">-$B$28*Ventes!BP8</f>
        <v>-6759.3942022217416</v>
      </c>
      <c r="BQ5" s="130">
        <f ca="1">-$B$28*Ventes!BQ8</f>
        <v>-7220.2522640902607</v>
      </c>
      <c r="BR5" s="129">
        <f ca="1">-$B$28*Ventes!BR8</f>
        <v>-10461.210240636467</v>
      </c>
      <c r="BS5" s="130">
        <f ca="1">-$B$28*Ventes!BS8</f>
        <v>-11114.374315578038</v>
      </c>
      <c r="BT5" s="130">
        <f ca="1">-$B$28*Ventes!BT8</f>
        <v>-11761.228797126276</v>
      </c>
      <c r="BU5" s="130">
        <f ca="1">-$B$28*Ventes!BU8</f>
        <v>-12439.971570181107</v>
      </c>
      <c r="BV5" s="130">
        <f ca="1">-$B$28*Ventes!BV8</f>
        <v>-13112.169578866324</v>
      </c>
      <c r="BW5" s="130">
        <f ca="1">-$B$28*Ventes!BW8</f>
        <v>-13777.902928737441</v>
      </c>
      <c r="BX5" s="130">
        <f ca="1">-$B$28*Ventes!BX8</f>
        <v>-14551.611999837885</v>
      </c>
      <c r="BY5" s="130">
        <f ca="1">-$B$28*Ventes!BY8</f>
        <v>-16365.928043334525</v>
      </c>
      <c r="BZ5" s="130">
        <f ca="1">-$B$28*Ventes!BZ8</f>
        <v>-18200.410159254647</v>
      </c>
      <c r="CA5" s="130">
        <f ca="1">-$B$28*Ventes!CA8</f>
        <v>-20016.787215349916</v>
      </c>
      <c r="CB5" s="130">
        <f ca="1">-$B$28*Ventes!CB8</f>
        <v>-21891.526392945671</v>
      </c>
      <c r="CC5" s="130">
        <f ca="1">-$B$28*Ventes!CC8</f>
        <v>-23747.83189047112</v>
      </c>
    </row>
    <row r="6" spans="1:81" ht="15.75" customHeight="1">
      <c r="A6" s="305" t="s">
        <v>166</v>
      </c>
      <c r="B6" s="306"/>
      <c r="C6" s="307">
        <v>0</v>
      </c>
      <c r="D6" s="308">
        <v>0</v>
      </c>
      <c r="E6" s="308">
        <v>0</v>
      </c>
      <c r="F6" s="308">
        <v>0</v>
      </c>
      <c r="G6" s="308">
        <v>0</v>
      </c>
      <c r="H6" s="130">
        <f>-(Ventes!I42-Ventes!H42)*$B$29</f>
        <v>-1075.2302266546235</v>
      </c>
      <c r="I6" s="131">
        <f>-(Ventes!J42-Ventes!I42)*$B$29</f>
        <v>-2732.083104959248</v>
      </c>
      <c r="J6" s="130">
        <f ca="1">-(Ventes!K42-Ventes!J42)*$B$29</f>
        <v>-2884.8390518708056</v>
      </c>
      <c r="K6" s="130">
        <f ca="1">-(Ventes!L42-Ventes!K42)*$B$29</f>
        <v>-2544.981135775352</v>
      </c>
      <c r="L6" s="130">
        <f ca="1">-(Ventes!M42-Ventes!L42)*$B$29</f>
        <v>-3039.1907162915963</v>
      </c>
      <c r="M6" s="130">
        <f ca="1">-(Ventes!N42-Ventes!M42)*$B$29</f>
        <v>-3129.5336391157953</v>
      </c>
      <c r="N6" s="130">
        <f ca="1">-(Ventes!O42-Ventes!N42)*$B$29</f>
        <v>-3217.7889312337643</v>
      </c>
      <c r="O6" s="130">
        <f ca="1">-(Ventes!P42-Ventes!O42)*$B$29</f>
        <v>-3304.0075736597032</v>
      </c>
      <c r="P6" s="130">
        <f ca="1">-(Ventes!Q42-Ventes!P42)*$B$29</f>
        <v>-3669.0326154586719</v>
      </c>
      <c r="Q6" s="130">
        <f ca="1">-(Ventes!R42-Ventes!Q42)*$B$29</f>
        <v>-3780.5323187539661</v>
      </c>
      <c r="R6" s="130">
        <f ca="1">-(Ventes!S42-Ventes!R42)*$B$29</f>
        <v>-3889.2561472654561</v>
      </c>
      <c r="S6" s="130">
        <f ca="1">-(Ventes!T42-Ventes!S42)*$B$29</f>
        <v>-3995.2795895621912</v>
      </c>
      <c r="T6" s="130">
        <f ca="1">-(Ventes!U42-Ventes!T42)*$B$29</f>
        <v>-4098.6758063029074</v>
      </c>
      <c r="U6" s="130">
        <f ca="1">-(Ventes!V42-Ventes!U42)*$B$29</f>
        <v>-5341.9881864503477</v>
      </c>
      <c r="V6" s="129">
        <f ca="1">-(Ventes!W42-Ventes!V42)*$B$29</f>
        <v>-5501.3045462283617</v>
      </c>
      <c r="W6" s="130">
        <f ca="1">-(Ventes!X42-Ventes!W42)*$B$29</f>
        <v>-5657.83039157844</v>
      </c>
      <c r="X6" s="130">
        <f ca="1">-(Ventes!Y42-Ventes!X42)*$B$29</f>
        <v>-5811.6183981980821</v>
      </c>
      <c r="Y6" s="130">
        <f ca="1">-(Ventes!Z42-Ventes!Y42)*$B$29</f>
        <v>-5962.7201363759032</v>
      </c>
      <c r="Z6" s="130">
        <f ca="1">-(Ventes!AA42-Ventes!Z42)*$B$29</f>
        <v>-6111.1860975031968</v>
      </c>
      <c r="AA6" s="130">
        <f ca="1">-(Ventes!AB42-Ventes!AA42)*$B$29</f>
        <v>-6257.0657198450908</v>
      </c>
      <c r="AB6" s="130">
        <f ca="1">-(Ventes!AC42-Ventes!AB42)*$B$29</f>
        <v>-6669.5011373575499</v>
      </c>
      <c r="AC6" s="130">
        <f ca="1">-(Ventes!AD42-Ventes!AC42)*$B$29</f>
        <v>-6829.2309886834773</v>
      </c>
      <c r="AD6" s="130">
        <f ca="1">-(Ventes!AE42-Ventes!AD42)*$B$29</f>
        <v>-6986.0553363804383</v>
      </c>
      <c r="AE6" s="130">
        <f ca="1">-(Ventes!AF42-Ventes!AE42)*$B$29</f>
        <v>-7140.0333159100601</v>
      </c>
      <c r="AF6" s="130">
        <f ca="1">-(Ventes!AG42-Ventes!AF42)*$B$29</f>
        <v>-7291.2226583558495</v>
      </c>
      <c r="AG6" s="131">
        <f ca="1">-(Ventes!AH42-Ventes!AG42)*$B$29</f>
        <v>-6425.0379781124921</v>
      </c>
      <c r="AH6" s="130">
        <f ca="1">-(Ventes!AI42-Ventes!AH42)*$B$29</f>
        <v>-6546.8216519066264</v>
      </c>
      <c r="AI6" s="130">
        <f ca="1">-(Ventes!AJ42-Ventes!AI42)*$B$29</f>
        <v>-6666.9624261202853</v>
      </c>
      <c r="AJ6" s="130">
        <f ca="1">-(Ventes!AK42-Ventes!AJ42)*$B$29</f>
        <v>-6785.4812753100477</v>
      </c>
      <c r="AK6" s="130">
        <f ca="1">-(Ventes!AL42-Ventes!AK42)*$B$29</f>
        <v>-6902.3989829253696</v>
      </c>
      <c r="AL6" s="130">
        <f ca="1">-(Ventes!AM42-Ventes!AL42)*$B$29</f>
        <v>-7017.7361393886313</v>
      </c>
      <c r="AM6" s="130">
        <f ca="1">-(Ventes!AN42-Ventes!AM42)*$B$29</f>
        <v>-7131.5131403807118</v>
      </c>
      <c r="AN6" s="130">
        <f ca="1">-(Ventes!AO42-Ventes!AN42)*$B$29</f>
        <v>-7243.7501853253962</v>
      </c>
      <c r="AO6" s="130">
        <f ca="1">-(Ventes!AP42-Ventes!AO42)*$B$29</f>
        <v>-7354.4672760599924</v>
      </c>
      <c r="AP6" s="130">
        <f ca="1">-(Ventes!AQ42-Ventes!AP42)*$B$29</f>
        <v>-7463.6842156874227</v>
      </c>
      <c r="AQ6" s="130">
        <f ca="1">-(Ventes!AR42-Ventes!AQ42)*$B$29</f>
        <v>-7571.4206075973607</v>
      </c>
      <c r="AR6" s="130">
        <f ca="1">-(Ventes!AS42-Ventes!AR42)*$B$29</f>
        <v>-7677.6958546515034</v>
      </c>
      <c r="AS6" s="130">
        <f ca="1">-(Ventes!AT42-Ventes!AS42)*$B$29</f>
        <v>-4830.7681992510679</v>
      </c>
      <c r="AT6" s="129">
        <f ca="1">-(Ventes!AU42-Ventes!AT42)*$B$29</f>
        <v>-4856.1234575790168</v>
      </c>
      <c r="AU6" s="130">
        <f ca="1">-(Ventes!AV42-Ventes!AU42)*$B$29</f>
        <v>-4881.0589209895024</v>
      </c>
      <c r="AV6" s="130">
        <f ca="1">-(Ventes!AW42-Ventes!AV42)*$B$29</f>
        <v>-4905.5802905411383</v>
      </c>
      <c r="AW6" s="130">
        <f ca="1">-(Ventes!AX42-Ventes!AW42)*$B$29</f>
        <v>-4929.6932280564652</v>
      </c>
      <c r="AX6" s="130">
        <f ca="1">-(Ventes!AY42-Ventes!AX42)*$B$29</f>
        <v>-4953.4033544374979</v>
      </c>
      <c r="AY6" s="130">
        <f ca="1">-(Ventes!AZ42-Ventes!AY42)*$B$29</f>
        <v>-4976.7162481022642</v>
      </c>
      <c r="AZ6" s="130">
        <f ca="1">-(Ventes!BA42-Ventes!AZ42)*$B$29</f>
        <v>-6111.1115199417154</v>
      </c>
      <c r="BA6" s="130">
        <f ca="1">-(Ventes!BB42-Ventes!BA42)*$B$29</f>
        <v>-6135.964514789961</v>
      </c>
      <c r="BB6" s="130">
        <f ca="1">-(Ventes!BC42-Ventes!BB42)*$B$29</f>
        <v>-6160.3891254307828</v>
      </c>
      <c r="BC6" s="130">
        <f ca="1">-(Ventes!BD42-Ventes!BC42)*$B$29</f>
        <v>-6184.3916816560804</v>
      </c>
      <c r="BD6" s="130">
        <f ca="1">-(Ventes!BE42-Ventes!BD42)*$B$29</f>
        <v>-6207.9784369488352</v>
      </c>
      <c r="BE6" s="131">
        <f ca="1">-(Ventes!BF42-Ventes!BE42)*$B$29</f>
        <v>-4637.7309165613096</v>
      </c>
      <c r="BF6" s="130">
        <f ca="1">-(Ventes!BG42-Ventes!BF42)*$B$29</f>
        <v>-4603.9153594575737</v>
      </c>
      <c r="BG6" s="130">
        <f ca="1">-(Ventes!BH42-Ventes!BG42)*$B$29</f>
        <v>-8665.3775239400511</v>
      </c>
      <c r="BH6" s="130">
        <f ca="1">-(Ventes!BI42-Ventes!BH42)*$B$29</f>
        <v>-8591.3697908742542</v>
      </c>
      <c r="BI6" s="130">
        <f ca="1">-(Ventes!BJ42-Ventes!BI42)*$B$29</f>
        <v>-12613.19074967885</v>
      </c>
      <c r="BJ6" s="130">
        <f ca="1">-(Ventes!BK42-Ventes!BJ42)*$B$29</f>
        <v>-16595.697061447539</v>
      </c>
      <c r="BK6" s="130">
        <f ca="1">-(Ventes!BL42-Ventes!BK42)*$B$29</f>
        <v>-16444.422484525461</v>
      </c>
      <c r="BL6" s="130">
        <f ca="1">-(Ventes!BM42-Ventes!BL42)*$B$29</f>
        <v>-35056.465765200657</v>
      </c>
      <c r="BM6" s="130">
        <f ca="1">-(Ventes!BN42-Ventes!BM42)*$B$29</f>
        <v>-34719.619693390596</v>
      </c>
      <c r="BN6" s="130">
        <f ca="1">-(Ventes!BO42-Ventes!BN42)*$B$29</f>
        <v>-34387.173811735775</v>
      </c>
      <c r="BO6" s="130">
        <f ca="1">-(Ventes!BP42-Ventes!BO42)*$B$29</f>
        <v>-34059.051836003251</v>
      </c>
      <c r="BP6" s="130">
        <f ca="1">-(Ventes!BQ42-Ventes!BP42)*$B$29</f>
        <v>-33735.179095098487</v>
      </c>
      <c r="BQ6" s="130">
        <f ca="1">-(Ventes!BR42-Ventes!BQ42)*$B$29</f>
        <v>-33356.738435703082</v>
      </c>
      <c r="BR6" s="129">
        <f ca="1">-(Ventes!BS42-Ventes!BR42)*$B$29</f>
        <v>-35082.278039359349</v>
      </c>
      <c r="BS6" s="130">
        <f ca="1">-(Ventes!BT42-Ventes!BS42)*$B$29</f>
        <v>-34743.381706519671</v>
      </c>
      <c r="BT6" s="130">
        <f ca="1">-(Ventes!BU42-Ventes!BT42)*$B$29</f>
        <v>-36456.142637124685</v>
      </c>
      <c r="BU6" s="130">
        <f ca="1">-(Ventes!BV42-Ventes!BU42)*$B$29</f>
        <v>-36104.614970301242</v>
      </c>
      <c r="BV6" s="130">
        <f ca="1">-(Ventes!BW42-Ventes!BV42)*$B$29</f>
        <v>-35757.38987534152</v>
      </c>
      <c r="BW6" s="130">
        <f ca="1">-(Ventes!BX42-Ventes!BW42)*$B$29</f>
        <v>-41556.903992841937</v>
      </c>
      <c r="BX6" s="130">
        <f ca="1">-(Ventes!BY42-Ventes!BX42)*$B$29</f>
        <v>-97449.235699182173</v>
      </c>
      <c r="BY6" s="130">
        <f ca="1">-(Ventes!BZ42-Ventes!BY42)*$B$29</f>
        <v>-98532.381246931269</v>
      </c>
      <c r="BZ6" s="130">
        <f ca="1">-(Ventes!CA42-Ventes!BZ42)*$B$29</f>
        <v>-97559.935322449295</v>
      </c>
      <c r="CA6" s="130">
        <f ca="1">-(Ventes!CB42-Ventes!CA42)*$B$29</f>
        <v>-100694.63952924445</v>
      </c>
      <c r="CB6" s="130">
        <f ca="1">-(Ventes!CC42-Ventes!CB42)*$B$29</f>
        <v>-99704.542990985778</v>
      </c>
      <c r="CC6" s="130">
        <f ca="1">CB6</f>
        <v>-99704.542990985778</v>
      </c>
    </row>
    <row r="7" spans="1:81" ht="15.75" customHeight="1">
      <c r="A7" s="194" t="s">
        <v>167</v>
      </c>
      <c r="B7" s="61"/>
      <c r="C7" s="307">
        <v>0</v>
      </c>
      <c r="D7" s="308">
        <v>0</v>
      </c>
      <c r="E7" s="308">
        <v>0</v>
      </c>
      <c r="F7" s="308">
        <v>0</v>
      </c>
      <c r="G7" s="308">
        <v>0</v>
      </c>
      <c r="H7" s="130">
        <f>-Ventes!H42*$B$30</f>
        <v>-2343.828766548063</v>
      </c>
      <c r="I7" s="131">
        <f>-Ventes!I42*$B$30</f>
        <v>-2487.1927967686793</v>
      </c>
      <c r="J7" s="130">
        <f>-Ventes!J42*$B$30</f>
        <v>-2851.470544096579</v>
      </c>
      <c r="K7" s="130">
        <f ca="1">-Ventes!K42*$B$30</f>
        <v>-3236.1157510126864</v>
      </c>
      <c r="L7" s="130">
        <f ca="1">-Ventes!L42*$B$30</f>
        <v>-3575.4465691160667</v>
      </c>
      <c r="M7" s="130">
        <f ca="1">-Ventes!M42*$B$30</f>
        <v>-3980.6719979549462</v>
      </c>
      <c r="N7" s="130">
        <f ca="1">-Ventes!N42*$B$30</f>
        <v>-4397.9431498370523</v>
      </c>
      <c r="O7" s="130">
        <f ca="1">-Ventes!O42*$B$30</f>
        <v>-4826.981674001554</v>
      </c>
      <c r="P7" s="130">
        <f ca="1">-Ventes!P42*$B$30</f>
        <v>-5267.5160171561811</v>
      </c>
      <c r="Q7" s="130">
        <f ca="1">-Ventes!Q42*$B$30</f>
        <v>-5756.7203658840044</v>
      </c>
      <c r="R7" s="130">
        <f ca="1">-Ventes!R42*$B$30</f>
        <v>-6260.7913417178661</v>
      </c>
      <c r="S7" s="130">
        <f ca="1">-Ventes!S42*$B$30</f>
        <v>-6779.3588280199274</v>
      </c>
      <c r="T7" s="130">
        <f ca="1">-Ventes!T42*$B$30</f>
        <v>-7312.062773294886</v>
      </c>
      <c r="U7" s="130">
        <f ca="1">-Ventes!U42*$B$30</f>
        <v>-7858.5528808019408</v>
      </c>
      <c r="V7" s="129">
        <f ca="1">-Ventes!V42*$B$30</f>
        <v>-8570.8179723286539</v>
      </c>
      <c r="W7" s="130">
        <f ca="1">-Ventes!W42*$B$30</f>
        <v>-9304.3252451591015</v>
      </c>
      <c r="X7" s="130">
        <f ca="1">-Ventes!X42*$B$30</f>
        <v>-10058.702630702894</v>
      </c>
      <c r="Y7" s="130">
        <f ca="1">-Ventes!Y42*$B$30</f>
        <v>-10833.585083795972</v>
      </c>
      <c r="Z7" s="130">
        <f ca="1">-Ventes!Z42*$B$30</f>
        <v>-11628.614435312758</v>
      </c>
      <c r="AA7" s="130">
        <f ca="1">-Ventes!AA42*$B$30</f>
        <v>-12443.439248313185</v>
      </c>
      <c r="AB7" s="130">
        <f ca="1">-Ventes!AB42*$B$30</f>
        <v>-13277.714677625863</v>
      </c>
      <c r="AC7" s="130">
        <f ca="1">-Ventes!AC42*$B$30</f>
        <v>-14166.981495940203</v>
      </c>
      <c r="AD7" s="130">
        <f ca="1">-Ventes!AD42*$B$30</f>
        <v>-15077.545627764666</v>
      </c>
      <c r="AE7" s="130">
        <f ca="1">-Ventes!AE42*$B$30</f>
        <v>-16009.019672615392</v>
      </c>
      <c r="AF7" s="130">
        <f ca="1">-Ventes!AF42*$B$30</f>
        <v>-16961.024114736734</v>
      </c>
      <c r="AG7" s="131">
        <f ca="1">-Ventes!AG42*$B$30</f>
        <v>-17933.187135850847</v>
      </c>
      <c r="AH7" s="130">
        <f ca="1">-Ventes!AH42*$B$30</f>
        <v>-18789.858866265844</v>
      </c>
      <c r="AI7" s="130">
        <f ca="1">-Ventes!AI42*$B$30</f>
        <v>-19662.768419853397</v>
      </c>
      <c r="AJ7" s="130">
        <f ca="1">-Ventes!AJ42*$B$30</f>
        <v>-20551.696743336099</v>
      </c>
      <c r="AK7" s="130">
        <f ca="1">-Ventes!AK42*$B$30</f>
        <v>-21456.427580044106</v>
      </c>
      <c r="AL7" s="130">
        <f ca="1">-Ventes!AL42*$B$30</f>
        <v>-22376.747444434157</v>
      </c>
      <c r="AM7" s="130">
        <f ca="1">-Ventes!AM42*$B$30</f>
        <v>-23312.445596352642</v>
      </c>
      <c r="AN7" s="130">
        <f ca="1">-Ventes!AN42*$B$30</f>
        <v>-24263.314015070067</v>
      </c>
      <c r="AO7" s="130">
        <f ca="1">-Ventes!AO42*$B$30</f>
        <v>-25229.147373113454</v>
      </c>
      <c r="AP7" s="130">
        <f ca="1">-Ventes!AP42*$B$30</f>
        <v>-26209.743009921454</v>
      </c>
      <c r="AQ7" s="130">
        <f ca="1">-Ventes!AQ42*$B$30</f>
        <v>-27204.900905346443</v>
      </c>
      <c r="AR7" s="130">
        <f ca="1">-Ventes!AR42*$B$30</f>
        <v>-28214.42365302609</v>
      </c>
      <c r="AS7" s="130">
        <f ca="1">-Ventes!AS42*$B$30</f>
        <v>-29238.11643364629</v>
      </c>
      <c r="AT7" s="129">
        <f ca="1">-Ventes!AT42*$B$30</f>
        <v>-29882.218860213099</v>
      </c>
      <c r="AU7" s="130">
        <f ca="1">-Ventes!AU42*$B$30</f>
        <v>-30529.701987890301</v>
      </c>
      <c r="AV7" s="130">
        <f ca="1">-Ventes!AV42*$B$30</f>
        <v>-31180.509844022235</v>
      </c>
      <c r="AW7" s="130">
        <f ca="1">-Ventes!AW42*$B$30</f>
        <v>-31834.587216094387</v>
      </c>
      <c r="AX7" s="130">
        <f ca="1">-Ventes!AX42*$B$30</f>
        <v>-32491.879646501919</v>
      </c>
      <c r="AY7" s="130">
        <f ca="1">-Ventes!AY42*$B$30</f>
        <v>-33152.333427093581</v>
      </c>
      <c r="AZ7" s="130">
        <f ca="1">-Ventes!AZ42*$B$30</f>
        <v>-33815.895593507215</v>
      </c>
      <c r="BA7" s="130">
        <f ca="1">-Ventes!BA42*$B$30</f>
        <v>-34630.71046283278</v>
      </c>
      <c r="BB7" s="130">
        <f ca="1">-Ventes!BB42*$B$30</f>
        <v>-35448.839064804779</v>
      </c>
      <c r="BC7" s="130">
        <f ca="1">-Ventes!BC42*$B$30</f>
        <v>-36270.224281528877</v>
      </c>
      <c r="BD7" s="130">
        <f ca="1">-Ventes!BD42*$B$30</f>
        <v>-37094.809839083027</v>
      </c>
      <c r="BE7" s="131">
        <f ca="1">-Ventes!BE42*$B$30</f>
        <v>-37922.540297342872</v>
      </c>
      <c r="BF7" s="130">
        <f ca="1">-Ventes!BF42*$B$30</f>
        <v>-38540.904419551043</v>
      </c>
      <c r="BG7" s="130">
        <f ca="1">-Ventes!BG42*$B$30</f>
        <v>-39154.759800812055</v>
      </c>
      <c r="BH7" s="130">
        <f ca="1">-Ventes!BH42*$B$30</f>
        <v>-40310.14347067073</v>
      </c>
      <c r="BI7" s="130">
        <f ca="1">-Ventes!BI42*$B$30</f>
        <v>-41455.659442787291</v>
      </c>
      <c r="BJ7" s="130">
        <f ca="1">-Ventes!BJ42*$B$30</f>
        <v>-43137.418209411138</v>
      </c>
      <c r="BK7" s="130">
        <f ca="1">-Ventes!BK42*$B$30</f>
        <v>-45350.177817604148</v>
      </c>
      <c r="BL7" s="130">
        <f ca="1">-Ventes!BL42*$B$30</f>
        <v>-47542.767482207542</v>
      </c>
      <c r="BM7" s="130">
        <f ca="1">-Ventes!BM42*$B$30</f>
        <v>-52216.962917567631</v>
      </c>
      <c r="BN7" s="130">
        <f ca="1">-Ventes!BN42*$B$30</f>
        <v>-56846.245543353041</v>
      </c>
      <c r="BO7" s="130">
        <f ca="1">-Ventes!BO42*$B$30</f>
        <v>-61431.202051584478</v>
      </c>
      <c r="BP7" s="130">
        <f ca="1">-Ventes!BP42*$B$30</f>
        <v>-65972.408963051581</v>
      </c>
      <c r="BQ7" s="130">
        <f ca="1">-Ventes!BQ42*$B$30</f>
        <v>-70470.432842398048</v>
      </c>
      <c r="BR7" s="129">
        <f ca="1">-Ventes!BR42*$B$30</f>
        <v>-74917.997967158459</v>
      </c>
      <c r="BS7" s="130">
        <f ca="1">-Ventes!BS42*$B$30</f>
        <v>-79595.635039073037</v>
      </c>
      <c r="BT7" s="130">
        <f ca="1">-Ventes!BT42*$B$30</f>
        <v>-84228.085933275652</v>
      </c>
      <c r="BU7" s="130">
        <f ca="1">-Ventes!BU42*$B$30</f>
        <v>-89088.904951558943</v>
      </c>
      <c r="BV7" s="130">
        <f ca="1">-Ventes!BV42*$B$30</f>
        <v>-93902.853614265783</v>
      </c>
      <c r="BW7" s="130">
        <f ca="1">-Ventes!BW42*$B$30</f>
        <v>-98670.505597644646</v>
      </c>
      <c r="BX7" s="130">
        <f ca="1">-Ventes!BX42*$B$30</f>
        <v>-104211.42613002358</v>
      </c>
      <c r="BY7" s="130">
        <f ca="1">-Ventes!BY42*$B$30</f>
        <v>-117204.65755658119</v>
      </c>
      <c r="BZ7" s="130">
        <f ca="1">-Ventes!BZ42*$B$30</f>
        <v>-130342.30838950537</v>
      </c>
      <c r="CA7" s="130">
        <f ca="1">-Ventes!CA42*$B$30</f>
        <v>-143350.29976583194</v>
      </c>
      <c r="CB7" s="130">
        <f ca="1">-Ventes!CB42*$B$30</f>
        <v>-156776.25170306454</v>
      </c>
      <c r="CC7" s="131">
        <f ca="1">-Ventes!CC42*$B$30</f>
        <v>-170070.19076852931</v>
      </c>
    </row>
    <row r="8" spans="1:81" ht="15.75" customHeight="1">
      <c r="A8" s="305" t="s">
        <v>168</v>
      </c>
      <c r="B8" s="61"/>
      <c r="C8" s="129">
        <f>-Ventes!C43*Hypothèses!$B12/12*Hypothèses!$B$72*Hypothèses!$B$48*$B$32*Hypothèses!$B42+$B$33</f>
        <v>0</v>
      </c>
      <c r="D8" s="130">
        <f>-Ventes!D43*Hypothèses!$B12/12*Hypothèses!$B$72*Hypothèses!$B$48*$B$32*Hypothèses!$B42+$B$33</f>
        <v>0</v>
      </c>
      <c r="E8" s="130">
        <f>-Ventes!E43*Hypothèses!$B12/12*Hypothèses!$B$72*Hypothèses!$B$48*$B$32*Hypothèses!$B42+$B$33</f>
        <v>0</v>
      </c>
      <c r="F8" s="130">
        <f>-Ventes!F43*Hypothèses!$B12/12*Hypothèses!$B$72*Hypothèses!$B$48*$B$32*Hypothèses!$B42+$B$33</f>
        <v>0</v>
      </c>
      <c r="G8" s="130">
        <f>-Ventes!G43*Hypothèses!$B12/12*Hypothèses!$B$72*Hypothèses!$B$48*$B$32*Hypothèses!$B42+$B$33</f>
        <v>0</v>
      </c>
      <c r="H8" s="130">
        <f>-Ventes!H43*Hypothèses!$B12/12*Hypothèses!$B$72*Hypothèses!$B$48*$B$32*Hypothèses!$B42+$B$33</f>
        <v>0</v>
      </c>
      <c r="I8" s="131">
        <f>-Ventes!I43*Hypothèses!$B12/12*Hypothèses!$B$72*Hypothèses!$B$48*$B$32*Hypothèses!$B42+$B$33</f>
        <v>0</v>
      </c>
      <c r="J8" s="130">
        <f>-Ventes!J43*Hypothèses!$C12/12*Hypothèses!$C$72*Hypothèses!$B$48*$B$32*Hypothèses!$C42+$B$33</f>
        <v>0</v>
      </c>
      <c r="K8" s="130">
        <f ca="1">-Ventes!K43*Hypothèses!$C12/12*Hypothèses!$C$72*Hypothèses!$B$48*$B$32*Hypothèses!$C42+$B$33</f>
        <v>0</v>
      </c>
      <c r="L8" s="130">
        <f ca="1">-Ventes!L43*Hypothèses!$C12/12*Hypothèses!$C$72*Hypothèses!$B$48*$B$32*Hypothèses!$C42+$B$33</f>
        <v>0</v>
      </c>
      <c r="M8" s="130">
        <f ca="1">-Ventes!M43*Hypothèses!$C12/12*Hypothèses!$C$72*Hypothèses!$B$48*$B$32*Hypothèses!$C42+$B$33</f>
        <v>0</v>
      </c>
      <c r="N8" s="130">
        <f ca="1">-Ventes!N43*Hypothèses!$C12/12*Hypothèses!$C$72*Hypothèses!$B$48*$B$32*Hypothèses!$C42+$B$33</f>
        <v>0</v>
      </c>
      <c r="O8" s="130">
        <f ca="1">-Ventes!O43*Hypothèses!$C12/12*Hypothèses!$C$72*Hypothèses!$B$48*$B$32*Hypothèses!$C42+$B$33</f>
        <v>0</v>
      </c>
      <c r="P8" s="130">
        <f ca="1">-Ventes!P43*Hypothèses!$C12/12*Hypothèses!$C$72*Hypothèses!$B$48*$B$32*Hypothèses!$C42+$B$33</f>
        <v>0</v>
      </c>
      <c r="Q8" s="130">
        <f ca="1">-Ventes!Q43*Hypothèses!$C12/12*Hypothèses!$C$72*Hypothèses!$B$48*$B$32*Hypothèses!$C42+$B$33</f>
        <v>0</v>
      </c>
      <c r="R8" s="130">
        <f ca="1">-Ventes!R43*Hypothèses!$C12/12*Hypothèses!$C$72*Hypothèses!$B$48*$B$32*Hypothèses!$C42+$B$33</f>
        <v>0</v>
      </c>
      <c r="S8" s="130">
        <f ca="1">-Ventes!S43*Hypothèses!$C12/12*Hypothèses!$C$72*Hypothèses!$B$48*$B$32*Hypothèses!$C42+$B$33</f>
        <v>0</v>
      </c>
      <c r="T8" s="130">
        <f ca="1">-Ventes!T43*Hypothèses!$C12/12*Hypothèses!$C$72*Hypothèses!$B$48*$B$32*Hypothèses!$C42+$B$33</f>
        <v>0</v>
      </c>
      <c r="U8" s="130">
        <f ca="1">-Ventes!U43*Hypothèses!$C12/12*Hypothèses!$C$72*Hypothèses!$B$48*$B$32*Hypothèses!$C42+$B$33</f>
        <v>0</v>
      </c>
      <c r="V8" s="129">
        <f ca="1">-Ventes!V43*Hypothèses!$D12/12*Hypothèses!$D$72*Hypothèses!$B$48*$B$32*Hypothèses!$D42+$B$33</f>
        <v>0</v>
      </c>
      <c r="W8" s="130">
        <f ca="1">-Ventes!W43*Hypothèses!$D12/12*Hypothèses!$D$72*Hypothèses!$B$48*$B$32*Hypothèses!$D42+$B$33</f>
        <v>0</v>
      </c>
      <c r="X8" s="130">
        <f ca="1">-Ventes!X43*Hypothèses!$D12/12*Hypothèses!$D$72*Hypothèses!$B$48*$B$32*Hypothèses!$D42+$B$33</f>
        <v>0</v>
      </c>
      <c r="Y8" s="130">
        <f ca="1">-Ventes!Y43*Hypothèses!$D12/12*Hypothèses!$D$72*Hypothèses!$B$48*$B$32*Hypothèses!$D42+$B$33</f>
        <v>0</v>
      </c>
      <c r="Z8" s="130">
        <f ca="1">-Ventes!Z43*Hypothèses!$D12/12*Hypothèses!$D$72*Hypothèses!$B$48*$B$32*Hypothèses!$D42+$B$33</f>
        <v>0</v>
      </c>
      <c r="AA8" s="130">
        <f ca="1">-Ventes!AA43*Hypothèses!$D12/12*Hypothèses!$D$72*Hypothèses!$B$48*$B$32*Hypothèses!$D42+$B$33</f>
        <v>0</v>
      </c>
      <c r="AB8" s="130">
        <f ca="1">-Ventes!AB43*Hypothèses!$D12/12*Hypothèses!$D$72*Hypothèses!$B$48*$B$32*Hypothèses!$D42+$B$33</f>
        <v>0</v>
      </c>
      <c r="AC8" s="130">
        <f ca="1">-Ventes!AC43*Hypothèses!$D12/12*Hypothèses!$D$72*Hypothèses!$B$48*$B$32*Hypothèses!$D42+$B$33</f>
        <v>0</v>
      </c>
      <c r="AD8" s="130">
        <f ca="1">-Ventes!AD43*Hypothèses!$D12/12*Hypothèses!$D$72*Hypothèses!$B$48*$B$32*Hypothèses!$D42+$B$33</f>
        <v>0</v>
      </c>
      <c r="AE8" s="130">
        <f ca="1">-Ventes!AE43*Hypothèses!$D12/12*Hypothèses!$D$72*Hypothèses!$B$48*$B$32*Hypothèses!$D42+$B$33</f>
        <v>0</v>
      </c>
      <c r="AF8" s="130">
        <f ca="1">-Ventes!AF43*Hypothèses!$D12/12*Hypothèses!$D$72*Hypothèses!$B$48*$B$32*Hypothèses!$D42+$B$33</f>
        <v>0</v>
      </c>
      <c r="AG8" s="131">
        <f ca="1">-Ventes!AG43*Hypothèses!$D12/12*Hypothèses!$D$72*Hypothèses!$B$48*$B$32*Hypothèses!$D42+$B$33</f>
        <v>0</v>
      </c>
      <c r="AH8" s="130">
        <f ca="1">-Ventes!AH43*Hypothèses!$E12/12*Hypothèses!$E$72*Hypothèses!$B$48*$B$32*Hypothèses!$E42+$B$33</f>
        <v>0</v>
      </c>
      <c r="AI8" s="130">
        <f ca="1">-Ventes!AI43*Hypothèses!$E12/12*Hypothèses!$E$72*Hypothèses!$B$48*$B$32*Hypothèses!$E42+$B$33</f>
        <v>0</v>
      </c>
      <c r="AJ8" s="130">
        <f ca="1">-Ventes!AJ43*Hypothèses!$E12/12*Hypothèses!$E$72*Hypothèses!$B$48*$B$32*Hypothèses!$E42+$B$33</f>
        <v>0</v>
      </c>
      <c r="AK8" s="130">
        <f ca="1">-Ventes!AK43*Hypothèses!$E12/12*Hypothèses!$E$72*Hypothèses!$B$48*$B$32*Hypothèses!$E42+$B$33</f>
        <v>0</v>
      </c>
      <c r="AL8" s="130">
        <f ca="1">-Ventes!AL43*Hypothèses!$E12/12*Hypothèses!$E$72*Hypothèses!$B$48*$B$32*Hypothèses!$E42+$B$33</f>
        <v>0</v>
      </c>
      <c r="AM8" s="130">
        <f ca="1">-Ventes!AM43*Hypothèses!$E12/12*Hypothèses!$E$72*Hypothèses!$B$48*$B$32*Hypothèses!$E42+$B$33</f>
        <v>0</v>
      </c>
      <c r="AN8" s="130">
        <f ca="1">-Ventes!AN43*Hypothèses!$E12/12*Hypothèses!$E$72*Hypothèses!$B$48*$B$32*Hypothèses!$E42+$B$33</f>
        <v>0</v>
      </c>
      <c r="AO8" s="130">
        <f ca="1">-Ventes!AO43*Hypothèses!$E12/12*Hypothèses!$E$72*Hypothèses!$B$48*$B$32*Hypothèses!$E42+$B$33</f>
        <v>0</v>
      </c>
      <c r="AP8" s="130">
        <f ca="1">-Ventes!AP43*Hypothèses!$E12/12*Hypothèses!$E$72*Hypothèses!$B$48*$B$32*Hypothèses!$E42+$B$33</f>
        <v>0</v>
      </c>
      <c r="AQ8" s="130">
        <f ca="1">-Ventes!AQ43*Hypothèses!$E12/12*Hypothèses!$E$72*Hypothèses!$B$48*$B$32*Hypothèses!$E42+$B$33</f>
        <v>0</v>
      </c>
      <c r="AR8" s="130">
        <f ca="1">-Ventes!AR43*Hypothèses!$E12/12*Hypothèses!$E$72*Hypothèses!$B$48*$B$32*Hypothèses!$E42+$B$33</f>
        <v>0</v>
      </c>
      <c r="AS8" s="130">
        <f ca="1">-Ventes!AS43*Hypothèses!$E12/12*Hypothèses!$E$72*Hypothèses!$B$48*$B$32*Hypothèses!$E42+$B$33</f>
        <v>0</v>
      </c>
      <c r="AT8" s="129">
        <f ca="1">-Ventes!AT43*Hypothèses!$F12/12*Hypothèses!$F$72*Hypothèses!$B$48*$B$32*Hypothèses!$F42+$B$33</f>
        <v>0</v>
      </c>
      <c r="AU8" s="130">
        <f ca="1">-Ventes!AU43*Hypothèses!$F12/12*Hypothèses!$F$72*Hypothèses!$B$48*$B$32*Hypothèses!$F42+$B$33</f>
        <v>0</v>
      </c>
      <c r="AV8" s="130">
        <f ca="1">-Ventes!AV43*Hypothèses!$F12/12*Hypothèses!$F$72*Hypothèses!$B$48*$B$32*Hypothèses!$F42+$B$33</f>
        <v>0</v>
      </c>
      <c r="AW8" s="130">
        <f ca="1">-Ventes!AW43*Hypothèses!$F12/12*Hypothèses!$F$72*Hypothèses!$B$48*$B$32*Hypothèses!$F42+$B$33</f>
        <v>0</v>
      </c>
      <c r="AX8" s="130">
        <f ca="1">-Ventes!AX43*Hypothèses!$F12/12*Hypothèses!$F$72*Hypothèses!$B$48*$B$32*Hypothèses!$F42+$B$33</f>
        <v>0</v>
      </c>
      <c r="AY8" s="130">
        <f ca="1">-Ventes!AY43*Hypothèses!$F12/12*Hypothèses!$F$72*Hypothèses!$B$48*$B$32*Hypothèses!$F42+$B$33</f>
        <v>0</v>
      </c>
      <c r="AZ8" s="130">
        <f ca="1">-Ventes!AZ43*Hypothèses!$F12/12*Hypothèses!$F$72*Hypothèses!$B$48*$B$32*Hypothèses!$F42+$B$33</f>
        <v>0</v>
      </c>
      <c r="BA8" s="130">
        <f ca="1">-Ventes!BA43*Hypothèses!$F12/12*Hypothèses!$F$72*Hypothèses!$B$48*$B$32*Hypothèses!$F42+$B$33</f>
        <v>0</v>
      </c>
      <c r="BB8" s="130">
        <f ca="1">-Ventes!BB43*Hypothèses!$F12/12*Hypothèses!$F$72*Hypothèses!$B$48*$B$32*Hypothèses!$F42+$B$33</f>
        <v>0</v>
      </c>
      <c r="BC8" s="130">
        <f ca="1">-Ventes!BC43*Hypothèses!$F12/12*Hypothèses!$F$72*Hypothèses!$B$48*$B$32*Hypothèses!$F42+$B$33</f>
        <v>0</v>
      </c>
      <c r="BD8" s="130">
        <f ca="1">-Ventes!BD43*Hypothèses!$F12/12*Hypothèses!$F$72*Hypothèses!$B$48*$B$32*Hypothèses!$F42+$B$33</f>
        <v>0</v>
      </c>
      <c r="BE8" s="131">
        <f ca="1">-Ventes!BE43*Hypothèses!$F12/12*Hypothèses!$F$72*Hypothèses!$B$48*$B$32*Hypothèses!$F42+$B$33</f>
        <v>0</v>
      </c>
      <c r="BF8" s="130">
        <f ca="1">-Ventes!BF43*Hypothèses!$G12/12*Hypothèses!$G$72*Hypothèses!$B$48*$B$32*Hypothèses!$G42+$B$33</f>
        <v>0</v>
      </c>
      <c r="BG8" s="130">
        <f ca="1">-Ventes!BG43*Hypothèses!$G12/12*Hypothèses!$G$72*Hypothèses!$B$48*$B$32*Hypothèses!$G42+$B$33</f>
        <v>0</v>
      </c>
      <c r="BH8" s="130">
        <f ca="1">-Ventes!BH43*Hypothèses!$G12/12*Hypothèses!$G$72*Hypothèses!$B$48*$B$32*Hypothèses!$G42+$B$33</f>
        <v>0</v>
      </c>
      <c r="BI8" s="130">
        <f ca="1">-Ventes!BI43*Hypothèses!$G12/12*Hypothèses!$G$72*Hypothèses!$B$48*$B$32*Hypothèses!$G42+$B$33</f>
        <v>0</v>
      </c>
      <c r="BJ8" s="130">
        <f ca="1">-Ventes!BJ43*Hypothèses!$G12/12*Hypothèses!$G$72*Hypothèses!$B$48*$B$32*Hypothèses!$G42+$B$33</f>
        <v>0</v>
      </c>
      <c r="BK8" s="130">
        <f ca="1">-Ventes!BK43*Hypothèses!$G12/12*Hypothèses!$G$72*Hypothèses!$B$48*$B$32*Hypothèses!$G42+$B$33</f>
        <v>0</v>
      </c>
      <c r="BL8" s="130">
        <f ca="1">-Ventes!BL43*Hypothèses!$G12/12*Hypothèses!$G$72*Hypothèses!$B$48*$B$32*Hypothèses!$G42+$B$33</f>
        <v>0</v>
      </c>
      <c r="BM8" s="130">
        <f ca="1">-Ventes!BM43*Hypothèses!$G12/12*Hypothèses!$G$72*Hypothèses!$B$48*$B$32*Hypothèses!$G42+$B$33</f>
        <v>0</v>
      </c>
      <c r="BN8" s="130">
        <f ca="1">-Ventes!BN43*Hypothèses!$G12/12*Hypothèses!$G$72*Hypothèses!$B$48*$B$32*Hypothèses!$G42+$B$33</f>
        <v>0</v>
      </c>
      <c r="BO8" s="130">
        <f ca="1">-Ventes!BO43*Hypothèses!$G12/12*Hypothèses!$G$72*Hypothèses!$B$48*$B$32*Hypothèses!$G42+$B$33</f>
        <v>0</v>
      </c>
      <c r="BP8" s="130">
        <f ca="1">-Ventes!BP43*Hypothèses!$G12/12*Hypothèses!$G$72*Hypothèses!$B$48*$B$32*Hypothèses!$G42+$B$33</f>
        <v>0</v>
      </c>
      <c r="BQ8" s="130">
        <f ca="1">-Ventes!BQ43*Hypothèses!$G12/12*Hypothèses!$G$72*Hypothèses!$B$48*$B$32*Hypothèses!$G42+$B$33</f>
        <v>0</v>
      </c>
      <c r="BR8" s="129">
        <f ca="1">-Ventes!BR43*Hypothèses!$H12/12*Hypothèses!$H$72*Hypothèses!$B$48*$B$32*Hypothèses!$H42+$B$33</f>
        <v>0</v>
      </c>
      <c r="BS8" s="130">
        <f ca="1">-Ventes!BS43*Hypothèses!$H12/12*Hypothèses!$H$72*Hypothèses!$B$48*$B$32*Hypothèses!$H42+$B$33</f>
        <v>0</v>
      </c>
      <c r="BT8" s="130">
        <f ca="1">-Ventes!BT43*Hypothèses!$H12/12*Hypothèses!$H$72*Hypothèses!$B$48*$B$32*Hypothèses!$H42+$B$33</f>
        <v>0</v>
      </c>
      <c r="BU8" s="130">
        <f ca="1">-Ventes!BU43*Hypothèses!$H12/12*Hypothèses!$H$72*Hypothèses!$B$48*$B$32*Hypothèses!$H42+$B$33</f>
        <v>0</v>
      </c>
      <c r="BV8" s="130">
        <f ca="1">-Ventes!BV43*Hypothèses!$H12/12*Hypothèses!$H$72*Hypothèses!$B$48*$B$32*Hypothèses!$H42+$B$33</f>
        <v>0</v>
      </c>
      <c r="BW8" s="130">
        <f ca="1">-Ventes!BW43*Hypothèses!$H12/12*Hypothèses!$H$72*Hypothèses!$B$48*$B$32*Hypothèses!$H42+$B$33</f>
        <v>0</v>
      </c>
      <c r="BX8" s="130">
        <f ca="1">-Ventes!BX43*Hypothèses!$H12/12*Hypothèses!$H$72*Hypothèses!$B$48*$B$32*Hypothèses!$H42+$B$33</f>
        <v>0</v>
      </c>
      <c r="BY8" s="130">
        <f ca="1">-Ventes!BY43*Hypothèses!$H12/12*Hypothèses!$H$72*Hypothèses!$B$48*$B$32*Hypothèses!$H42+$B$33</f>
        <v>0</v>
      </c>
      <c r="BZ8" s="130">
        <f ca="1">-Ventes!BZ43*Hypothèses!$H12/12*Hypothèses!$H$72*Hypothèses!$B$48*$B$32*Hypothèses!$H42+$B$33</f>
        <v>0</v>
      </c>
      <c r="CA8" s="130">
        <f ca="1">-Ventes!CA43*Hypothèses!$H12/12*Hypothèses!$H$72*Hypothèses!$B$48*$B$32*Hypothèses!$H42+$B$33</f>
        <v>0</v>
      </c>
      <c r="CB8" s="130">
        <f ca="1">-Ventes!CB43*Hypothèses!$H12/12*Hypothèses!$H$72*Hypothèses!$B$48*$B$32*Hypothèses!$H42+$B$33</f>
        <v>0</v>
      </c>
      <c r="CC8" s="131">
        <f ca="1">-Ventes!CC43*Hypothèses!$H12/12*Hypothèses!$H$72*Hypothèses!$B$48*$B$32*Hypothèses!$H42+$B$33</f>
        <v>0</v>
      </c>
    </row>
    <row r="9" spans="1:81" ht="15.75" customHeight="1">
      <c r="A9" s="305" t="s">
        <v>169</v>
      </c>
      <c r="B9" s="61"/>
      <c r="C9" s="129">
        <f>-Ventes!C44*Hypothèses!$B13/12*Hypothèses!$B$72*Hypothèses!$B$48*$B$32*Hypothèses!$B43+$B$33</f>
        <v>0</v>
      </c>
      <c r="D9" s="130">
        <f>-Ventes!D44*Hypothèses!$B13/12*Hypothèses!$B$72*Hypothèses!$B$48*$B$32*Hypothèses!$B43+$B$33</f>
        <v>0</v>
      </c>
      <c r="E9" s="130">
        <f>-Ventes!E44*Hypothèses!$B13/12*Hypothèses!$B$72*Hypothèses!$B$48*$B$32*Hypothèses!$B43+$B$33</f>
        <v>0</v>
      </c>
      <c r="F9" s="130">
        <f>-Ventes!F44*Hypothèses!$B13/12*Hypothèses!$B$72*Hypothèses!$B$48*$B$32*Hypothèses!$B43+$B$33</f>
        <v>0</v>
      </c>
      <c r="G9" s="130">
        <f>-Ventes!G44*Hypothèses!$B13/12*Hypothèses!$B$72*Hypothèses!$B$48*$B$32*Hypothèses!$B43+$B$33</f>
        <v>0</v>
      </c>
      <c r="H9" s="130">
        <f>-Ventes!H44*Hypothèses!$B13/12*Hypothèses!$B$72*Hypothèses!$B$48*$B$32*Hypothèses!$B43+$B$33</f>
        <v>0</v>
      </c>
      <c r="I9" s="131">
        <f>-Ventes!I44*Hypothèses!$B13/12*Hypothèses!$B$72*Hypothèses!$B$48*$B$32*Hypothèses!$B43+$B$33</f>
        <v>0</v>
      </c>
      <c r="J9" s="130">
        <f>-Ventes!J44*Hypothèses!$C13/12*Hypothèses!$C$72*Hypothèses!$B$48*$B$32*Hypothèses!$C43+$B$33</f>
        <v>0</v>
      </c>
      <c r="K9" s="130">
        <f ca="1">-Ventes!K44*Hypothèses!$C13/12*Hypothèses!$C$72*Hypothèses!$B$48*$B$32*Hypothèses!$C43+$B$33</f>
        <v>0</v>
      </c>
      <c r="L9" s="130">
        <f ca="1">-Ventes!L44*Hypothèses!$C13/12*Hypothèses!$C$72*Hypothèses!$B$48*$B$32*Hypothèses!$C43+$B$33</f>
        <v>0</v>
      </c>
      <c r="M9" s="130">
        <f ca="1">-Ventes!M44*Hypothèses!$C13/12*Hypothèses!$C$72*Hypothèses!$B$48*$B$32*Hypothèses!$C43+$B$33</f>
        <v>0</v>
      </c>
      <c r="N9" s="130">
        <f ca="1">-Ventes!N44*Hypothèses!$C13/12*Hypothèses!$C$72*Hypothèses!$B$48*$B$32*Hypothèses!$C43+$B$33</f>
        <v>0</v>
      </c>
      <c r="O9" s="130">
        <f ca="1">-Ventes!O44*Hypothèses!$C13/12*Hypothèses!$C$72*Hypothèses!$B$48*$B$32*Hypothèses!$C43+$B$33</f>
        <v>0</v>
      </c>
      <c r="P9" s="130">
        <f ca="1">-Ventes!P44*Hypothèses!$C13/12*Hypothèses!$C$72*Hypothèses!$B$48*$B$32*Hypothèses!$C43+$B$33</f>
        <v>0</v>
      </c>
      <c r="Q9" s="130">
        <f ca="1">-Ventes!Q44*Hypothèses!$C13/12*Hypothèses!$C$72*Hypothèses!$B$48*$B$32*Hypothèses!$C43+$B$33</f>
        <v>0</v>
      </c>
      <c r="R9" s="130">
        <f ca="1">-Ventes!R44*Hypothèses!$C13/12*Hypothèses!$C$72*Hypothèses!$B$48*$B$32*Hypothèses!$C43+$B$33</f>
        <v>0</v>
      </c>
      <c r="S9" s="130">
        <f ca="1">-Ventes!S44*Hypothèses!$C13/12*Hypothèses!$C$72*Hypothèses!$B$48*$B$32*Hypothèses!$C43+$B$33</f>
        <v>0</v>
      </c>
      <c r="T9" s="130">
        <f ca="1">-Ventes!T44*Hypothèses!$C13/12*Hypothèses!$C$72*Hypothèses!$B$48*$B$32*Hypothèses!$C43+$B$33</f>
        <v>0</v>
      </c>
      <c r="U9" s="130">
        <f ca="1">-Ventes!U44*Hypothèses!$C13/12*Hypothèses!$C$72*Hypothèses!$B$48*$B$32*Hypothèses!$C43+$B$33</f>
        <v>0</v>
      </c>
      <c r="V9" s="129">
        <f ca="1">-Ventes!V44*Hypothèses!$D13/12*Hypothèses!$D$72*Hypothèses!$B$48*$B$32*Hypothèses!$D43+$B$33</f>
        <v>0</v>
      </c>
      <c r="W9" s="130">
        <f ca="1">-Ventes!W44*Hypothèses!$D13/12*Hypothèses!$D$72*Hypothèses!$B$48*$B$32*Hypothèses!$D43+$B$33</f>
        <v>0</v>
      </c>
      <c r="X9" s="130">
        <f ca="1">-Ventes!X44*Hypothèses!$D13/12*Hypothèses!$D$72*Hypothèses!$B$48*$B$32*Hypothèses!$D43+$B$33</f>
        <v>0</v>
      </c>
      <c r="Y9" s="130">
        <f ca="1">-Ventes!Y44*Hypothèses!$D13/12*Hypothèses!$D$72*Hypothèses!$B$48*$B$32*Hypothèses!$D43+$B$33</f>
        <v>0</v>
      </c>
      <c r="Z9" s="130">
        <f ca="1">-Ventes!Z44*Hypothèses!$D13/12*Hypothèses!$D$72*Hypothèses!$B$48*$B$32*Hypothèses!$D43+$B$33</f>
        <v>0</v>
      </c>
      <c r="AA9" s="130">
        <f ca="1">-Ventes!AA44*Hypothèses!$D13/12*Hypothèses!$D$72*Hypothèses!$B$48*$B$32*Hypothèses!$D43+$B$33</f>
        <v>0</v>
      </c>
      <c r="AB9" s="130">
        <f ca="1">-Ventes!AB44*Hypothèses!$D13/12*Hypothèses!$D$72*Hypothèses!$B$48*$B$32*Hypothèses!$D43+$B$33</f>
        <v>0</v>
      </c>
      <c r="AC9" s="130">
        <f ca="1">-Ventes!AC44*Hypothèses!$D13/12*Hypothèses!$D$72*Hypothèses!$B$48*$B$32*Hypothèses!$D43+$B$33</f>
        <v>0</v>
      </c>
      <c r="AD9" s="130">
        <f ca="1">-Ventes!AD44*Hypothèses!$D13/12*Hypothèses!$D$72*Hypothèses!$B$48*$B$32*Hypothèses!$D43+$B$33</f>
        <v>0</v>
      </c>
      <c r="AE9" s="130">
        <f ca="1">-Ventes!AE44*Hypothèses!$D13/12*Hypothèses!$D$72*Hypothèses!$B$48*$B$32*Hypothèses!$D43+$B$33</f>
        <v>0</v>
      </c>
      <c r="AF9" s="130">
        <f ca="1">-Ventes!AF44*Hypothèses!$D13/12*Hypothèses!$D$72*Hypothèses!$B$48*$B$32*Hypothèses!$D43+$B$33</f>
        <v>0</v>
      </c>
      <c r="AG9" s="131">
        <f ca="1">-Ventes!AG44*Hypothèses!$D13/12*Hypothèses!$D$72*Hypothèses!$B$48*$B$32*Hypothèses!$D43+$B$33</f>
        <v>0</v>
      </c>
      <c r="AH9" s="130">
        <f ca="1">-Ventes!AH44*Hypothèses!$E13/12*Hypothèses!$E$72*Hypothèses!$B$48*$B$32*Hypothèses!$E43+$B$33</f>
        <v>0</v>
      </c>
      <c r="AI9" s="130">
        <f ca="1">-Ventes!AI44*Hypothèses!$E13/12*Hypothèses!$E$72*Hypothèses!$B$48*$B$32*Hypothèses!$E43+$B$33</f>
        <v>0</v>
      </c>
      <c r="AJ9" s="130">
        <f ca="1">-Ventes!AJ44*Hypothèses!$E13/12*Hypothèses!$E$72*Hypothèses!$B$48*$B$32*Hypothèses!$E43+$B$33</f>
        <v>0</v>
      </c>
      <c r="AK9" s="130">
        <f ca="1">-Ventes!AK44*Hypothèses!$E13/12*Hypothèses!$E$72*Hypothèses!$B$48*$B$32*Hypothèses!$E43+$B$33</f>
        <v>0</v>
      </c>
      <c r="AL9" s="130">
        <f ca="1">-Ventes!AL44*Hypothèses!$E13/12*Hypothèses!$E$72*Hypothèses!$B$48*$B$32*Hypothèses!$E43+$B$33</f>
        <v>0</v>
      </c>
      <c r="AM9" s="130">
        <f ca="1">-Ventes!AM44*Hypothèses!$E13/12*Hypothèses!$E$72*Hypothèses!$B$48*$B$32*Hypothèses!$E43+$B$33</f>
        <v>0</v>
      </c>
      <c r="AN9" s="130">
        <f ca="1">-Ventes!AN44*Hypothèses!$E13/12*Hypothèses!$E$72*Hypothèses!$B$48*$B$32*Hypothèses!$E43+$B$33</f>
        <v>0</v>
      </c>
      <c r="AO9" s="130">
        <f ca="1">-Ventes!AO44*Hypothèses!$E13/12*Hypothèses!$E$72*Hypothèses!$B$48*$B$32*Hypothèses!$E43+$B$33</f>
        <v>0</v>
      </c>
      <c r="AP9" s="130">
        <f ca="1">-Ventes!AP44*Hypothèses!$E13/12*Hypothèses!$E$72*Hypothèses!$B$48*$B$32*Hypothèses!$E43+$B$33</f>
        <v>0</v>
      </c>
      <c r="AQ9" s="130">
        <f ca="1">-Ventes!AQ44*Hypothèses!$E13/12*Hypothèses!$E$72*Hypothèses!$B$48*$B$32*Hypothèses!$E43+$B$33</f>
        <v>0</v>
      </c>
      <c r="AR9" s="130">
        <f ca="1">-Ventes!AR44*Hypothèses!$E13/12*Hypothèses!$E$72*Hypothèses!$B$48*$B$32*Hypothèses!$E43+$B$33</f>
        <v>0</v>
      </c>
      <c r="AS9" s="130">
        <f ca="1">-Ventes!AS44*Hypothèses!$E13/12*Hypothèses!$E$72*Hypothèses!$B$48*$B$32*Hypothèses!$E43+$B$33</f>
        <v>0</v>
      </c>
      <c r="AT9" s="129">
        <f ca="1">-Ventes!AT44*Hypothèses!$F13/12*Hypothèses!$F$72*Hypothèses!$B$48*$B$32*Hypothèses!$F43+$B$33</f>
        <v>0</v>
      </c>
      <c r="AU9" s="130">
        <f ca="1">-Ventes!AU44*Hypothèses!$F13/12*Hypothèses!$F$72*Hypothèses!$B$48*$B$32*Hypothèses!$F43+$B$33</f>
        <v>0</v>
      </c>
      <c r="AV9" s="130">
        <f ca="1">-Ventes!AV44*Hypothèses!$F13/12*Hypothèses!$F$72*Hypothèses!$B$48*$B$32*Hypothèses!$F43+$B$33</f>
        <v>0</v>
      </c>
      <c r="AW9" s="130">
        <f ca="1">-Ventes!AW44*Hypothèses!$F13/12*Hypothèses!$F$72*Hypothèses!$B$48*$B$32*Hypothèses!$F43+$B$33</f>
        <v>0</v>
      </c>
      <c r="AX9" s="130">
        <f ca="1">-Ventes!AX44*Hypothèses!$F13/12*Hypothèses!$F$72*Hypothèses!$B$48*$B$32*Hypothèses!$F43+$B$33</f>
        <v>0</v>
      </c>
      <c r="AY9" s="130">
        <f ca="1">-Ventes!AY44*Hypothèses!$F13/12*Hypothèses!$F$72*Hypothèses!$B$48*$B$32*Hypothèses!$F43+$B$33</f>
        <v>0</v>
      </c>
      <c r="AZ9" s="130">
        <f ca="1">-Ventes!AZ44*Hypothèses!$F13/12*Hypothèses!$F$72*Hypothèses!$B$48*$B$32*Hypothèses!$F43+$B$33</f>
        <v>0</v>
      </c>
      <c r="BA9" s="130">
        <f ca="1">-Ventes!BA44*Hypothèses!$F13/12*Hypothèses!$F$72*Hypothèses!$B$48*$B$32*Hypothèses!$F43+$B$33</f>
        <v>0</v>
      </c>
      <c r="BB9" s="130">
        <f ca="1">-Ventes!BB44*Hypothèses!$F13/12*Hypothèses!$F$72*Hypothèses!$B$48*$B$32*Hypothèses!$F43+$B$33</f>
        <v>0</v>
      </c>
      <c r="BC9" s="130">
        <f ca="1">-Ventes!BC44*Hypothèses!$F13/12*Hypothèses!$F$72*Hypothèses!$B$48*$B$32*Hypothèses!$F43+$B$33</f>
        <v>0</v>
      </c>
      <c r="BD9" s="130">
        <f ca="1">-Ventes!BD44*Hypothèses!$F13/12*Hypothèses!$F$72*Hypothèses!$B$48*$B$32*Hypothèses!$F43+$B$33</f>
        <v>0</v>
      </c>
      <c r="BE9" s="131">
        <f ca="1">-Ventes!BE44*Hypothèses!$F13/12*Hypothèses!$F$72*Hypothèses!$B$48*$B$32*Hypothèses!$F43+$B$33</f>
        <v>0</v>
      </c>
      <c r="BF9" s="130">
        <f ca="1">-Ventes!BF44*Hypothèses!$G13/12*Hypothèses!$G$72*Hypothèses!$B$48*$B$32*Hypothèses!$G43+$B$33</f>
        <v>0</v>
      </c>
      <c r="BG9" s="130">
        <f ca="1">-Ventes!BG44*Hypothèses!$G13/12*Hypothèses!$G$72*Hypothèses!$B$48*$B$32*Hypothèses!$G43+$B$33</f>
        <v>0</v>
      </c>
      <c r="BH9" s="130">
        <f ca="1">-Ventes!BH44*Hypothèses!$G13/12*Hypothèses!$G$72*Hypothèses!$B$48*$B$32*Hypothèses!$G43+$B$33</f>
        <v>0</v>
      </c>
      <c r="BI9" s="130">
        <f ca="1">-Ventes!BI44*Hypothèses!$G13/12*Hypothèses!$G$72*Hypothèses!$B$48*$B$32*Hypothèses!$G43+$B$33</f>
        <v>0</v>
      </c>
      <c r="BJ9" s="130">
        <f ca="1">-Ventes!BJ44*Hypothèses!$G13/12*Hypothèses!$G$72*Hypothèses!$B$48*$B$32*Hypothèses!$G43+$B$33</f>
        <v>0</v>
      </c>
      <c r="BK9" s="130">
        <f ca="1">-Ventes!BK44*Hypothèses!$G13/12*Hypothèses!$G$72*Hypothèses!$B$48*$B$32*Hypothèses!$G43+$B$33</f>
        <v>0</v>
      </c>
      <c r="BL9" s="130">
        <f ca="1">-Ventes!BL44*Hypothèses!$G13/12*Hypothèses!$G$72*Hypothèses!$B$48*$B$32*Hypothèses!$G43+$B$33</f>
        <v>0</v>
      </c>
      <c r="BM9" s="130">
        <f ca="1">-Ventes!BM44*Hypothèses!$G13/12*Hypothèses!$G$72*Hypothèses!$B$48*$B$32*Hypothèses!$G43+$B$33</f>
        <v>0</v>
      </c>
      <c r="BN9" s="130">
        <f ca="1">-Ventes!BN44*Hypothèses!$G13/12*Hypothèses!$G$72*Hypothèses!$B$48*$B$32*Hypothèses!$G43+$B$33</f>
        <v>0</v>
      </c>
      <c r="BO9" s="130">
        <f ca="1">-Ventes!BO44*Hypothèses!$G13/12*Hypothèses!$G$72*Hypothèses!$B$48*$B$32*Hypothèses!$G43+$B$33</f>
        <v>0</v>
      </c>
      <c r="BP9" s="130">
        <f ca="1">-Ventes!BP44*Hypothèses!$G13/12*Hypothèses!$G$72*Hypothèses!$B$48*$B$32*Hypothèses!$G43+$B$33</f>
        <v>0</v>
      </c>
      <c r="BQ9" s="130">
        <f ca="1">-Ventes!BQ44*Hypothèses!$G13/12*Hypothèses!$G$72*Hypothèses!$B$48*$B$32*Hypothèses!$G43+$B$33</f>
        <v>0</v>
      </c>
      <c r="BR9" s="129">
        <f ca="1">-Ventes!BR44*Hypothèses!$H13/12*Hypothèses!$H$72*Hypothèses!$B$48*$B$32*Hypothèses!$H43+$B$33</f>
        <v>0</v>
      </c>
      <c r="BS9" s="130">
        <f ca="1">-Ventes!BS44*Hypothèses!$H13/12*Hypothèses!$H$72*Hypothèses!$B$48*$B$32*Hypothèses!$H43+$B$33</f>
        <v>0</v>
      </c>
      <c r="BT9" s="130">
        <f ca="1">-Ventes!BT44*Hypothèses!$H13/12*Hypothèses!$H$72*Hypothèses!$B$48*$B$32*Hypothèses!$H43+$B$33</f>
        <v>0</v>
      </c>
      <c r="BU9" s="130">
        <f ca="1">-Ventes!BU44*Hypothèses!$H13/12*Hypothèses!$H$72*Hypothèses!$B$48*$B$32*Hypothèses!$H43+$B$33</f>
        <v>0</v>
      </c>
      <c r="BV9" s="130">
        <f ca="1">-Ventes!BV44*Hypothèses!$H13/12*Hypothèses!$H$72*Hypothèses!$B$48*$B$32*Hypothèses!$H43+$B$33</f>
        <v>0</v>
      </c>
      <c r="BW9" s="130">
        <f ca="1">-Ventes!BW44*Hypothèses!$H13/12*Hypothèses!$H$72*Hypothèses!$B$48*$B$32*Hypothèses!$H43+$B$33</f>
        <v>0</v>
      </c>
      <c r="BX9" s="130">
        <f ca="1">-Ventes!BX44*Hypothèses!$H13/12*Hypothèses!$H$72*Hypothèses!$B$48*$B$32*Hypothèses!$H43+$B$33</f>
        <v>0</v>
      </c>
      <c r="BY9" s="130">
        <f ca="1">-Ventes!BY44*Hypothèses!$H13/12*Hypothèses!$H$72*Hypothèses!$B$48*$B$32*Hypothèses!$H43+$B$33</f>
        <v>0</v>
      </c>
      <c r="BZ9" s="130">
        <f ca="1">-Ventes!BZ44*Hypothèses!$H13/12*Hypothèses!$H$72*Hypothèses!$B$48*$B$32*Hypothèses!$H43+$B$33</f>
        <v>0</v>
      </c>
      <c r="CA9" s="130">
        <f ca="1">-Ventes!CA44*Hypothèses!$H13/12*Hypothèses!$H$72*Hypothèses!$B$48*$B$32*Hypothèses!$H43+$B$33</f>
        <v>0</v>
      </c>
      <c r="CB9" s="130">
        <f ca="1">-Ventes!CB44*Hypothèses!$H13/12*Hypothèses!$H$72*Hypothèses!$B$48*$B$32*Hypothèses!$H43+$B$33</f>
        <v>0</v>
      </c>
      <c r="CC9" s="131">
        <f ca="1">-Ventes!CC44*Hypothèses!$H13/12*Hypothèses!$H$72*Hypothèses!$B$48*$B$32*Hypothèses!$H43+$B$33</f>
        <v>0</v>
      </c>
    </row>
    <row r="10" spans="1:81" ht="15.75" customHeight="1">
      <c r="A10" s="305" t="s">
        <v>170</v>
      </c>
      <c r="B10" s="61"/>
      <c r="C10" s="129">
        <f>-Ventes!C45*Hypothèses!$B14/12*Hypothèses!$B$72*Hypothèses!$B$48*$B$32*Hypothèses!$B44+$B$33</f>
        <v>0</v>
      </c>
      <c r="D10" s="130">
        <f>-Ventes!D45*Hypothèses!$B14/12*Hypothèses!$B$72*Hypothèses!$B$48*$B$32*Hypothèses!$B44+$B$33</f>
        <v>0</v>
      </c>
      <c r="E10" s="130">
        <f>-Ventes!E45*Hypothèses!$B14/12*Hypothèses!$B$72*Hypothèses!$B$48*$B$32*Hypothèses!$B44+$B$33</f>
        <v>0</v>
      </c>
      <c r="F10" s="130">
        <f>-Ventes!F45*Hypothèses!$B14/12*Hypothèses!$B$72*Hypothèses!$B$48*$B$32*Hypothèses!$B44+$B$33</f>
        <v>0</v>
      </c>
      <c r="G10" s="130">
        <f>-Ventes!G45*Hypothèses!$B14/12*Hypothèses!$B$72*Hypothèses!$B$48*$B$32*Hypothèses!$B44+$B$33</f>
        <v>0</v>
      </c>
      <c r="H10" s="130">
        <f>-Ventes!H45*Hypothèses!$B14/12*Hypothèses!$B$72*Hypothèses!$B$48*$B$32*Hypothèses!$B44+$B$33</f>
        <v>0</v>
      </c>
      <c r="I10" s="131">
        <f>-Ventes!I45*Hypothèses!$B14/12*Hypothèses!$B$72*Hypothèses!$B$48*$B$32*Hypothèses!$B44+$B$33</f>
        <v>0</v>
      </c>
      <c r="J10" s="130">
        <f>-Ventes!J45*Hypothèses!$C14/12*Hypothèses!$C$72*Hypothèses!$B$48*$B$32*Hypothèses!$C44+$B$33</f>
        <v>0</v>
      </c>
      <c r="K10" s="130">
        <f ca="1">-Ventes!K45*Hypothèses!$C14/12*Hypothèses!$C$72*Hypothèses!$B$48*$B$32*Hypothèses!$C44+$B$33</f>
        <v>0</v>
      </c>
      <c r="L10" s="130">
        <f ca="1">-Ventes!L45*Hypothèses!$C14/12*Hypothèses!$C$72*Hypothèses!$B$48*$B$32*Hypothèses!$C44+$B$33</f>
        <v>0</v>
      </c>
      <c r="M10" s="130">
        <f ca="1">-Ventes!M45*Hypothèses!$C14/12*Hypothèses!$C$72*Hypothèses!$B$48*$B$32*Hypothèses!$C44+$B$33</f>
        <v>0</v>
      </c>
      <c r="N10" s="130">
        <f ca="1">-Ventes!N45*Hypothèses!$C14/12*Hypothèses!$C$72*Hypothèses!$B$48*$B$32*Hypothèses!$C44+$B$33</f>
        <v>0</v>
      </c>
      <c r="O10" s="130">
        <f ca="1">-Ventes!O45*Hypothèses!$C14/12*Hypothèses!$C$72*Hypothèses!$B$48*$B$32*Hypothèses!$C44+$B$33</f>
        <v>0</v>
      </c>
      <c r="P10" s="130">
        <f ca="1">-Ventes!P45*Hypothèses!$C14/12*Hypothèses!$C$72*Hypothèses!$B$48*$B$32*Hypothèses!$C44+$B$33</f>
        <v>0</v>
      </c>
      <c r="Q10" s="130">
        <f ca="1">-Ventes!Q45*Hypothèses!$C14/12*Hypothèses!$C$72*Hypothèses!$B$48*$B$32*Hypothèses!$C44+$B$33</f>
        <v>0</v>
      </c>
      <c r="R10" s="130">
        <f ca="1">-Ventes!R45*Hypothèses!$C14/12*Hypothèses!$C$72*Hypothèses!$B$48*$B$32*Hypothèses!$C44+$B$33</f>
        <v>0</v>
      </c>
      <c r="S10" s="130">
        <f ca="1">-Ventes!S45*Hypothèses!$C14/12*Hypothèses!$C$72*Hypothèses!$B$48*$B$32*Hypothèses!$C44+$B$33</f>
        <v>0</v>
      </c>
      <c r="T10" s="130">
        <f ca="1">-Ventes!T45*Hypothèses!$C14/12*Hypothèses!$C$72*Hypothèses!$B$48*$B$32*Hypothèses!$C44+$B$33</f>
        <v>0</v>
      </c>
      <c r="U10" s="130">
        <f ca="1">-Ventes!U45*Hypothèses!$C14/12*Hypothèses!$C$72*Hypothèses!$B$48*$B$32*Hypothèses!$C44+$B$33</f>
        <v>0</v>
      </c>
      <c r="V10" s="129">
        <f ca="1">-Ventes!V45*Hypothèses!$D14/12*Hypothèses!$D$72*Hypothèses!$B$48*$B$32*Hypothèses!$D44+$B$33</f>
        <v>0</v>
      </c>
      <c r="W10" s="130">
        <f ca="1">-Ventes!W45*Hypothèses!$D14/12*Hypothèses!$D$72*Hypothèses!$B$48*$B$32*Hypothèses!$D44+$B$33</f>
        <v>0</v>
      </c>
      <c r="X10" s="130">
        <f ca="1">-Ventes!X45*Hypothèses!$D14/12*Hypothèses!$D$72*Hypothèses!$B$48*$B$32*Hypothèses!$D44+$B$33</f>
        <v>0</v>
      </c>
      <c r="Y10" s="130">
        <f ca="1">-Ventes!Y45*Hypothèses!$D14/12*Hypothèses!$D$72*Hypothèses!$B$48*$B$32*Hypothèses!$D44+$B$33</f>
        <v>0</v>
      </c>
      <c r="Z10" s="130">
        <f ca="1">-Ventes!Z45*Hypothèses!$D14/12*Hypothèses!$D$72*Hypothèses!$B$48*$B$32*Hypothèses!$D44+$B$33</f>
        <v>0</v>
      </c>
      <c r="AA10" s="130">
        <f ca="1">-Ventes!AA45*Hypothèses!$D14/12*Hypothèses!$D$72*Hypothèses!$B$48*$B$32*Hypothèses!$D44+$B$33</f>
        <v>0</v>
      </c>
      <c r="AB10" s="130">
        <f ca="1">-Ventes!AB45*Hypothèses!$D14/12*Hypothèses!$D$72*Hypothèses!$B$48*$B$32*Hypothèses!$D44+$B$33</f>
        <v>0</v>
      </c>
      <c r="AC10" s="130">
        <f ca="1">-Ventes!AC45*Hypothèses!$D14/12*Hypothèses!$D$72*Hypothèses!$B$48*$B$32*Hypothèses!$D44+$B$33</f>
        <v>0</v>
      </c>
      <c r="AD10" s="130">
        <f ca="1">-Ventes!AD45*Hypothèses!$D14/12*Hypothèses!$D$72*Hypothèses!$B$48*$B$32*Hypothèses!$D44+$B$33</f>
        <v>0</v>
      </c>
      <c r="AE10" s="130">
        <f ca="1">-Ventes!AE45*Hypothèses!$D14/12*Hypothèses!$D$72*Hypothèses!$B$48*$B$32*Hypothèses!$D44+$B$33</f>
        <v>0</v>
      </c>
      <c r="AF10" s="130">
        <f ca="1">-Ventes!AF45*Hypothèses!$D14/12*Hypothèses!$D$72*Hypothèses!$B$48*$B$32*Hypothèses!$D44+$B$33</f>
        <v>0</v>
      </c>
      <c r="AG10" s="131">
        <f ca="1">-Ventes!AG45*Hypothèses!$D14/12*Hypothèses!$D$72*Hypothèses!$B$48*$B$32*Hypothèses!$D44+$B$33</f>
        <v>0</v>
      </c>
      <c r="AH10" s="130">
        <f ca="1">-Ventes!AH45*Hypothèses!$E14/12*Hypothèses!$E$72*Hypothèses!$B$48*$B$32*Hypothèses!$E44+$B$33</f>
        <v>0</v>
      </c>
      <c r="AI10" s="130">
        <f ca="1">-Ventes!AI45*Hypothèses!$E14/12*Hypothèses!$E$72*Hypothèses!$B$48*$B$32*Hypothèses!$E44+$B$33</f>
        <v>0</v>
      </c>
      <c r="AJ10" s="130">
        <f ca="1">-Ventes!AJ45*Hypothèses!$E14/12*Hypothèses!$E$72*Hypothèses!$B$48*$B$32*Hypothèses!$E44+$B$33</f>
        <v>0</v>
      </c>
      <c r="AK10" s="130">
        <f ca="1">-Ventes!AK45*Hypothèses!$E14/12*Hypothèses!$E$72*Hypothèses!$B$48*$B$32*Hypothèses!$E44+$B$33</f>
        <v>0</v>
      </c>
      <c r="AL10" s="130">
        <f ca="1">-Ventes!AL45*Hypothèses!$E14/12*Hypothèses!$E$72*Hypothèses!$B$48*$B$32*Hypothèses!$E44+$B$33</f>
        <v>0</v>
      </c>
      <c r="AM10" s="130">
        <f ca="1">-Ventes!AM45*Hypothèses!$E14/12*Hypothèses!$E$72*Hypothèses!$B$48*$B$32*Hypothèses!$E44+$B$33</f>
        <v>0</v>
      </c>
      <c r="AN10" s="130">
        <f ca="1">-Ventes!AN45*Hypothèses!$E14/12*Hypothèses!$E$72*Hypothèses!$B$48*$B$32*Hypothèses!$E44+$B$33</f>
        <v>0</v>
      </c>
      <c r="AO10" s="130">
        <f ca="1">-Ventes!AO45*Hypothèses!$E14/12*Hypothèses!$E$72*Hypothèses!$B$48*$B$32*Hypothèses!$E44+$B$33</f>
        <v>0</v>
      </c>
      <c r="AP10" s="130">
        <f ca="1">-Ventes!AP45*Hypothèses!$E14/12*Hypothèses!$E$72*Hypothèses!$B$48*$B$32*Hypothèses!$E44+$B$33</f>
        <v>0</v>
      </c>
      <c r="AQ10" s="130">
        <f ca="1">-Ventes!AQ45*Hypothèses!$E14/12*Hypothèses!$E$72*Hypothèses!$B$48*$B$32*Hypothèses!$E44+$B$33</f>
        <v>0</v>
      </c>
      <c r="AR10" s="130">
        <f ca="1">-Ventes!AR45*Hypothèses!$E14/12*Hypothèses!$E$72*Hypothèses!$B$48*$B$32*Hypothèses!$E44+$B$33</f>
        <v>0</v>
      </c>
      <c r="AS10" s="130">
        <f ca="1">-Ventes!AS45*Hypothèses!$E14/12*Hypothèses!$E$72*Hypothèses!$B$48*$B$32*Hypothèses!$E44+$B$33</f>
        <v>0</v>
      </c>
      <c r="AT10" s="129">
        <f ca="1">-Ventes!AT45*Hypothèses!$F14/12*Hypothèses!$F$72*Hypothèses!$B$48*$B$32*Hypothèses!$F44+$B$33</f>
        <v>0</v>
      </c>
      <c r="AU10" s="130">
        <f ca="1">-Ventes!AU45*Hypothèses!$F14/12*Hypothèses!$F$72*Hypothèses!$B$48*$B$32*Hypothèses!$F44+$B$33</f>
        <v>0</v>
      </c>
      <c r="AV10" s="130">
        <f ca="1">-Ventes!AV45*Hypothèses!$F14/12*Hypothèses!$F$72*Hypothèses!$B$48*$B$32*Hypothèses!$F44+$B$33</f>
        <v>0</v>
      </c>
      <c r="AW10" s="130">
        <f ca="1">-Ventes!AW45*Hypothèses!$F14/12*Hypothèses!$F$72*Hypothèses!$B$48*$B$32*Hypothèses!$F44+$B$33</f>
        <v>0</v>
      </c>
      <c r="AX10" s="130">
        <f ca="1">-Ventes!AX45*Hypothèses!$F14/12*Hypothèses!$F$72*Hypothèses!$B$48*$B$32*Hypothèses!$F44+$B$33</f>
        <v>0</v>
      </c>
      <c r="AY10" s="130">
        <f ca="1">-Ventes!AY45*Hypothèses!$F14/12*Hypothèses!$F$72*Hypothèses!$B$48*$B$32*Hypothèses!$F44+$B$33</f>
        <v>0</v>
      </c>
      <c r="AZ10" s="130">
        <f ca="1">-Ventes!AZ45*Hypothèses!$F14/12*Hypothèses!$F$72*Hypothèses!$B$48*$B$32*Hypothèses!$F44+$B$33</f>
        <v>0</v>
      </c>
      <c r="BA10" s="130">
        <f ca="1">-Ventes!BA45*Hypothèses!$F14/12*Hypothèses!$F$72*Hypothèses!$B$48*$B$32*Hypothèses!$F44+$B$33</f>
        <v>0</v>
      </c>
      <c r="BB10" s="130">
        <f ca="1">-Ventes!BB45*Hypothèses!$F14/12*Hypothèses!$F$72*Hypothèses!$B$48*$B$32*Hypothèses!$F44+$B$33</f>
        <v>0</v>
      </c>
      <c r="BC10" s="130">
        <f ca="1">-Ventes!BC45*Hypothèses!$F14/12*Hypothèses!$F$72*Hypothèses!$B$48*$B$32*Hypothèses!$F44+$B$33</f>
        <v>0</v>
      </c>
      <c r="BD10" s="130">
        <f ca="1">-Ventes!BD45*Hypothèses!$F14/12*Hypothèses!$F$72*Hypothèses!$B$48*$B$32*Hypothèses!$F44+$B$33</f>
        <v>0</v>
      </c>
      <c r="BE10" s="131">
        <f ca="1">-Ventes!BE45*Hypothèses!$F14/12*Hypothèses!$F$72*Hypothèses!$B$48*$B$32*Hypothèses!$F44+$B$33</f>
        <v>0</v>
      </c>
      <c r="BF10" s="130">
        <f ca="1">-Ventes!BF45*Hypothèses!$G14/12*Hypothèses!$G$72*Hypothèses!$B$48*$B$32*Hypothèses!$G44+$B$33</f>
        <v>0</v>
      </c>
      <c r="BG10" s="130">
        <f ca="1">-Ventes!BG45*Hypothèses!$G14/12*Hypothèses!$G$72*Hypothèses!$B$48*$B$32*Hypothèses!$G44+$B$33</f>
        <v>0</v>
      </c>
      <c r="BH10" s="130">
        <f ca="1">-Ventes!BH45*Hypothèses!$G14/12*Hypothèses!$G$72*Hypothèses!$B$48*$B$32*Hypothèses!$G44+$B$33</f>
        <v>0</v>
      </c>
      <c r="BI10" s="130">
        <f ca="1">-Ventes!BI45*Hypothèses!$G14/12*Hypothèses!$G$72*Hypothèses!$B$48*$B$32*Hypothèses!$G44+$B$33</f>
        <v>0</v>
      </c>
      <c r="BJ10" s="130">
        <f ca="1">-Ventes!BJ45*Hypothèses!$G14/12*Hypothèses!$G$72*Hypothèses!$B$48*$B$32*Hypothèses!$G44+$B$33</f>
        <v>0</v>
      </c>
      <c r="BK10" s="130">
        <f ca="1">-Ventes!BK45*Hypothèses!$G14/12*Hypothèses!$G$72*Hypothèses!$B$48*$B$32*Hypothèses!$G44+$B$33</f>
        <v>0</v>
      </c>
      <c r="BL10" s="130">
        <f ca="1">-Ventes!BL45*Hypothèses!$G14/12*Hypothèses!$G$72*Hypothèses!$B$48*$B$32*Hypothèses!$G44+$B$33</f>
        <v>0</v>
      </c>
      <c r="BM10" s="130">
        <f ca="1">-Ventes!BM45*Hypothèses!$G14/12*Hypothèses!$G$72*Hypothèses!$B$48*$B$32*Hypothèses!$G44+$B$33</f>
        <v>0</v>
      </c>
      <c r="BN10" s="130">
        <f ca="1">-Ventes!BN45*Hypothèses!$G14/12*Hypothèses!$G$72*Hypothèses!$B$48*$B$32*Hypothèses!$G44+$B$33</f>
        <v>0</v>
      </c>
      <c r="BO10" s="130">
        <f ca="1">-Ventes!BO45*Hypothèses!$G14/12*Hypothèses!$G$72*Hypothèses!$B$48*$B$32*Hypothèses!$G44+$B$33</f>
        <v>0</v>
      </c>
      <c r="BP10" s="130">
        <f ca="1">-Ventes!BP45*Hypothèses!$G14/12*Hypothèses!$G$72*Hypothèses!$B$48*$B$32*Hypothèses!$G44+$B$33</f>
        <v>0</v>
      </c>
      <c r="BQ10" s="130">
        <f ca="1">-Ventes!BQ45*Hypothèses!$G14/12*Hypothèses!$G$72*Hypothèses!$B$48*$B$32*Hypothèses!$G44+$B$33</f>
        <v>0</v>
      </c>
      <c r="BR10" s="129">
        <f ca="1">-Ventes!BR45*Hypothèses!$H14/12*Hypothèses!$H$72*Hypothèses!$B$48*$B$32*Hypothèses!$H44+$B$33</f>
        <v>0</v>
      </c>
      <c r="BS10" s="130">
        <f ca="1">-Ventes!BS45*Hypothèses!$H14/12*Hypothèses!$H$72*Hypothèses!$B$48*$B$32*Hypothèses!$H44+$B$33</f>
        <v>0</v>
      </c>
      <c r="BT10" s="130">
        <f ca="1">-Ventes!BT45*Hypothèses!$H14/12*Hypothèses!$H$72*Hypothèses!$B$48*$B$32*Hypothèses!$H44+$B$33</f>
        <v>0</v>
      </c>
      <c r="BU10" s="130">
        <f ca="1">-Ventes!BU45*Hypothèses!$H14/12*Hypothèses!$H$72*Hypothèses!$B$48*$B$32*Hypothèses!$H44+$B$33</f>
        <v>0</v>
      </c>
      <c r="BV10" s="130">
        <f ca="1">-Ventes!BV45*Hypothèses!$H14/12*Hypothèses!$H$72*Hypothèses!$B$48*$B$32*Hypothèses!$H44+$B$33</f>
        <v>0</v>
      </c>
      <c r="BW10" s="130">
        <f ca="1">-Ventes!BW45*Hypothèses!$H14/12*Hypothèses!$H$72*Hypothèses!$B$48*$B$32*Hypothèses!$H44+$B$33</f>
        <v>0</v>
      </c>
      <c r="BX10" s="130">
        <f ca="1">-Ventes!BX45*Hypothèses!$H14/12*Hypothèses!$H$72*Hypothèses!$B$48*$B$32*Hypothèses!$H44+$B$33</f>
        <v>0</v>
      </c>
      <c r="BY10" s="130">
        <f ca="1">-Ventes!BY45*Hypothèses!$H14/12*Hypothèses!$H$72*Hypothèses!$B$48*$B$32*Hypothèses!$H44+$B$33</f>
        <v>0</v>
      </c>
      <c r="BZ10" s="130">
        <f ca="1">-Ventes!BZ45*Hypothèses!$H14/12*Hypothèses!$H$72*Hypothèses!$B$48*$B$32*Hypothèses!$H44+$B$33</f>
        <v>0</v>
      </c>
      <c r="CA10" s="130">
        <f ca="1">-Ventes!CA45*Hypothèses!$H14/12*Hypothèses!$H$72*Hypothèses!$B$48*$B$32*Hypothèses!$H44+$B$33</f>
        <v>0</v>
      </c>
      <c r="CB10" s="130">
        <f ca="1">-Ventes!CB45*Hypothèses!$H14/12*Hypothèses!$H$72*Hypothèses!$B$48*$B$32*Hypothèses!$H44+$B$33</f>
        <v>0</v>
      </c>
      <c r="CC10" s="131">
        <f ca="1">-Ventes!CC45*Hypothèses!$H14/12*Hypothèses!$H$72*Hypothèses!$B$48*$B$32*Hypothèses!$H44+$B$33</f>
        <v>0</v>
      </c>
    </row>
    <row r="11" spans="1:81" ht="15.75" customHeight="1">
      <c r="A11" s="305" t="s">
        <v>171</v>
      </c>
      <c r="B11" s="61"/>
      <c r="C11" s="129">
        <f>-Ventes!C46*Hypothèses!$B15/12*Hypothèses!$B$72*Hypothèses!$B$48*$B$32*Hypothèses!$B45+$B$33</f>
        <v>0</v>
      </c>
      <c r="D11" s="130">
        <f>-Ventes!D46*Hypothèses!$B15/12*Hypothèses!$B$72*Hypothèses!$B$48*$B$32*Hypothèses!$B45+$B$33</f>
        <v>0</v>
      </c>
      <c r="E11" s="130">
        <f>-Ventes!E46*Hypothèses!$B15/12*Hypothèses!$B$72*Hypothèses!$B$48*$B$32*Hypothèses!$B45+$B$33</f>
        <v>0</v>
      </c>
      <c r="F11" s="130">
        <f>-Ventes!F46*Hypothèses!$B15/12*Hypothèses!$B$72*Hypothèses!$B$48*$B$32*Hypothèses!$B45+$B$33</f>
        <v>0</v>
      </c>
      <c r="G11" s="130">
        <f>-Ventes!G46*Hypothèses!$B15/12*Hypothèses!$B$72*Hypothèses!$B$48*$B$32*Hypothèses!$B45+$B$33</f>
        <v>0</v>
      </c>
      <c r="H11" s="130">
        <f>-Ventes!H46*Hypothèses!$B15/12*Hypothèses!$B$72*Hypothèses!$B$48*$B$32*Hypothèses!$B45+$B$33</f>
        <v>0</v>
      </c>
      <c r="I11" s="131">
        <f>-Ventes!I46*Hypothèses!$B15/12*Hypothèses!$B$72*Hypothèses!$B$48*$B$32*Hypothèses!$B45+$B$33</f>
        <v>0</v>
      </c>
      <c r="J11" s="130">
        <f>-Ventes!J46*Hypothèses!$C15/12*Hypothèses!$C$72*Hypothèses!$B$48*$B$32*Hypothèses!$C45+$B$33</f>
        <v>0</v>
      </c>
      <c r="K11" s="130">
        <f ca="1">-Ventes!K46*Hypothèses!$C15/12*Hypothèses!$C$72*Hypothèses!$B$48*$B$32*Hypothèses!$C45+$B$33</f>
        <v>0</v>
      </c>
      <c r="L11" s="130">
        <f ca="1">-Ventes!L46*Hypothèses!$C15/12*Hypothèses!$C$72*Hypothèses!$B$48*$B$32*Hypothèses!$C45+$B$33</f>
        <v>0</v>
      </c>
      <c r="M11" s="130">
        <f ca="1">-Ventes!M46*Hypothèses!$C15/12*Hypothèses!$C$72*Hypothèses!$B$48*$B$32*Hypothèses!$C45+$B$33</f>
        <v>0</v>
      </c>
      <c r="N11" s="130">
        <f ca="1">-Ventes!N46*Hypothèses!$C15/12*Hypothèses!$C$72*Hypothèses!$B$48*$B$32*Hypothèses!$C45+$B$33</f>
        <v>0</v>
      </c>
      <c r="O11" s="130">
        <f ca="1">-Ventes!O46*Hypothèses!$C15/12*Hypothèses!$C$72*Hypothèses!$B$48*$B$32*Hypothèses!$C45+$B$33</f>
        <v>0</v>
      </c>
      <c r="P11" s="130">
        <f ca="1">-Ventes!P46*Hypothèses!$C15/12*Hypothèses!$C$72*Hypothèses!$B$48*$B$32*Hypothèses!$C45+$B$33</f>
        <v>0</v>
      </c>
      <c r="Q11" s="130">
        <f ca="1">-Ventes!Q46*Hypothèses!$C15/12*Hypothèses!$C$72*Hypothèses!$B$48*$B$32*Hypothèses!$C45+$B$33</f>
        <v>0</v>
      </c>
      <c r="R11" s="130">
        <f ca="1">-Ventes!R46*Hypothèses!$C15/12*Hypothèses!$C$72*Hypothèses!$B$48*$B$32*Hypothèses!$C45+$B$33</f>
        <v>0</v>
      </c>
      <c r="S11" s="130">
        <f ca="1">-Ventes!S46*Hypothèses!$C15/12*Hypothèses!$C$72*Hypothèses!$B$48*$B$32*Hypothèses!$C45+$B$33</f>
        <v>0</v>
      </c>
      <c r="T11" s="130">
        <f ca="1">-Ventes!T46*Hypothèses!$C15/12*Hypothèses!$C$72*Hypothèses!$B$48*$B$32*Hypothèses!$C45+$B$33</f>
        <v>0</v>
      </c>
      <c r="U11" s="130">
        <f ca="1">-Ventes!U46*Hypothèses!$C15/12*Hypothèses!$C$72*Hypothèses!$B$48*$B$32*Hypothèses!$C45+$B$33</f>
        <v>0</v>
      </c>
      <c r="V11" s="129">
        <f ca="1">-Ventes!V46*Hypothèses!$D15/12*Hypothèses!$D$72*Hypothèses!$B$48*$B$32*Hypothèses!$D45+$B$33</f>
        <v>0</v>
      </c>
      <c r="W11" s="130">
        <f ca="1">-Ventes!W46*Hypothèses!$D15/12*Hypothèses!$D$72*Hypothèses!$B$48*$B$32*Hypothèses!$D45+$B$33</f>
        <v>0</v>
      </c>
      <c r="X11" s="130">
        <f ca="1">-Ventes!X46*Hypothèses!$D15/12*Hypothèses!$D$72*Hypothèses!$B$48*$B$32*Hypothèses!$D45+$B$33</f>
        <v>0</v>
      </c>
      <c r="Y11" s="130">
        <f ca="1">-Ventes!Y46*Hypothèses!$D15/12*Hypothèses!$D$72*Hypothèses!$B$48*$B$32*Hypothèses!$D45+$B$33</f>
        <v>0</v>
      </c>
      <c r="Z11" s="130">
        <f ca="1">-Ventes!Z46*Hypothèses!$D15/12*Hypothèses!$D$72*Hypothèses!$B$48*$B$32*Hypothèses!$D45+$B$33</f>
        <v>0</v>
      </c>
      <c r="AA11" s="130">
        <f ca="1">-Ventes!AA46*Hypothèses!$D15/12*Hypothèses!$D$72*Hypothèses!$B$48*$B$32*Hypothèses!$D45+$B$33</f>
        <v>0</v>
      </c>
      <c r="AB11" s="130">
        <f ca="1">-Ventes!AB46*Hypothèses!$D15/12*Hypothèses!$D$72*Hypothèses!$B$48*$B$32*Hypothèses!$D45+$B$33</f>
        <v>0</v>
      </c>
      <c r="AC11" s="130">
        <f ca="1">-Ventes!AC46*Hypothèses!$D15/12*Hypothèses!$D$72*Hypothèses!$B$48*$B$32*Hypothèses!$D45+$B$33</f>
        <v>0</v>
      </c>
      <c r="AD11" s="130">
        <f ca="1">-Ventes!AD46*Hypothèses!$D15/12*Hypothèses!$D$72*Hypothèses!$B$48*$B$32*Hypothèses!$D45+$B$33</f>
        <v>0</v>
      </c>
      <c r="AE11" s="130">
        <f ca="1">-Ventes!AE46*Hypothèses!$D15/12*Hypothèses!$D$72*Hypothèses!$B$48*$B$32*Hypothèses!$D45+$B$33</f>
        <v>0</v>
      </c>
      <c r="AF11" s="130">
        <f ca="1">-Ventes!AF46*Hypothèses!$D15/12*Hypothèses!$D$72*Hypothèses!$B$48*$B$32*Hypothèses!$D45+$B$33</f>
        <v>0</v>
      </c>
      <c r="AG11" s="131">
        <f ca="1">-Ventes!AG46*Hypothèses!$D15/12*Hypothèses!$D$72*Hypothèses!$B$48*$B$32*Hypothèses!$D45+$B$33</f>
        <v>0</v>
      </c>
      <c r="AH11" s="130">
        <f ca="1">-Ventes!AH46*Hypothèses!$E15/12*Hypothèses!$E$72*Hypothèses!$B$48*$B$32*Hypothèses!$E45+$B$33</f>
        <v>0</v>
      </c>
      <c r="AI11" s="130">
        <f ca="1">-Ventes!AI46*Hypothèses!$E15/12*Hypothèses!$E$72*Hypothèses!$B$48*$B$32*Hypothèses!$E45+$B$33</f>
        <v>0</v>
      </c>
      <c r="AJ11" s="130">
        <f ca="1">-Ventes!AJ46*Hypothèses!$E15/12*Hypothèses!$E$72*Hypothèses!$B$48*$B$32*Hypothèses!$E45+$B$33</f>
        <v>0</v>
      </c>
      <c r="AK11" s="130">
        <f ca="1">-Ventes!AK46*Hypothèses!$E15/12*Hypothèses!$E$72*Hypothèses!$B$48*$B$32*Hypothèses!$E45+$B$33</f>
        <v>0</v>
      </c>
      <c r="AL11" s="130">
        <f ca="1">-Ventes!AL46*Hypothèses!$E15/12*Hypothèses!$E$72*Hypothèses!$B$48*$B$32*Hypothèses!$E45+$B$33</f>
        <v>0</v>
      </c>
      <c r="AM11" s="130">
        <f ca="1">-Ventes!AM46*Hypothèses!$E15/12*Hypothèses!$E$72*Hypothèses!$B$48*$B$32*Hypothèses!$E45+$B$33</f>
        <v>0</v>
      </c>
      <c r="AN11" s="130">
        <f ca="1">-Ventes!AN46*Hypothèses!$E15/12*Hypothèses!$E$72*Hypothèses!$B$48*$B$32*Hypothèses!$E45+$B$33</f>
        <v>0</v>
      </c>
      <c r="AO11" s="130">
        <f ca="1">-Ventes!AO46*Hypothèses!$E15/12*Hypothèses!$E$72*Hypothèses!$B$48*$B$32*Hypothèses!$E45+$B$33</f>
        <v>0</v>
      </c>
      <c r="AP11" s="130">
        <f ca="1">-Ventes!AP46*Hypothèses!$E15/12*Hypothèses!$E$72*Hypothèses!$B$48*$B$32*Hypothèses!$E45+$B$33</f>
        <v>0</v>
      </c>
      <c r="AQ11" s="130">
        <f ca="1">-Ventes!AQ46*Hypothèses!$E15/12*Hypothèses!$E$72*Hypothèses!$B$48*$B$32*Hypothèses!$E45+$B$33</f>
        <v>0</v>
      </c>
      <c r="AR11" s="130">
        <f ca="1">-Ventes!AR46*Hypothèses!$E15/12*Hypothèses!$E$72*Hypothèses!$B$48*$B$32*Hypothèses!$E45+$B$33</f>
        <v>0</v>
      </c>
      <c r="AS11" s="130">
        <f ca="1">-Ventes!AS46*Hypothèses!$E15/12*Hypothèses!$E$72*Hypothèses!$B$48*$B$32*Hypothèses!$E45+$B$33</f>
        <v>0</v>
      </c>
      <c r="AT11" s="129">
        <f ca="1">-Ventes!AT46*Hypothèses!$F15/12*Hypothèses!$F$72*Hypothèses!$B$48*$B$32*Hypothèses!$F45+$B$33</f>
        <v>0</v>
      </c>
      <c r="AU11" s="130">
        <f ca="1">-Ventes!AU46*Hypothèses!$F15/12*Hypothèses!$F$72*Hypothèses!$B$48*$B$32*Hypothèses!$F45+$B$33</f>
        <v>0</v>
      </c>
      <c r="AV11" s="130">
        <f ca="1">-Ventes!AV46*Hypothèses!$F15/12*Hypothèses!$F$72*Hypothèses!$B$48*$B$32*Hypothèses!$F45+$B$33</f>
        <v>0</v>
      </c>
      <c r="AW11" s="130">
        <f ca="1">-Ventes!AW46*Hypothèses!$F15/12*Hypothèses!$F$72*Hypothèses!$B$48*$B$32*Hypothèses!$F45+$B$33</f>
        <v>0</v>
      </c>
      <c r="AX11" s="130">
        <f ca="1">-Ventes!AX46*Hypothèses!$F15/12*Hypothèses!$F$72*Hypothèses!$B$48*$B$32*Hypothèses!$F45+$B$33</f>
        <v>0</v>
      </c>
      <c r="AY11" s="130">
        <f ca="1">-Ventes!AY46*Hypothèses!$F15/12*Hypothèses!$F$72*Hypothèses!$B$48*$B$32*Hypothèses!$F45+$B$33</f>
        <v>0</v>
      </c>
      <c r="AZ11" s="130">
        <f ca="1">-Ventes!AZ46*Hypothèses!$F15/12*Hypothèses!$F$72*Hypothèses!$B$48*$B$32*Hypothèses!$F45+$B$33</f>
        <v>0</v>
      </c>
      <c r="BA11" s="130">
        <f ca="1">-Ventes!BA46*Hypothèses!$F15/12*Hypothèses!$F$72*Hypothèses!$B$48*$B$32*Hypothèses!$F45+$B$33</f>
        <v>0</v>
      </c>
      <c r="BB11" s="130">
        <f ca="1">-Ventes!BB46*Hypothèses!$F15/12*Hypothèses!$F$72*Hypothèses!$B$48*$B$32*Hypothèses!$F45+$B$33</f>
        <v>0</v>
      </c>
      <c r="BC11" s="130">
        <f ca="1">-Ventes!BC46*Hypothèses!$F15/12*Hypothèses!$F$72*Hypothèses!$B$48*$B$32*Hypothèses!$F45+$B$33</f>
        <v>0</v>
      </c>
      <c r="BD11" s="130">
        <f ca="1">-Ventes!BD46*Hypothèses!$F15/12*Hypothèses!$F$72*Hypothèses!$B$48*$B$32*Hypothèses!$F45+$B$33</f>
        <v>0</v>
      </c>
      <c r="BE11" s="131">
        <f ca="1">-Ventes!BE46*Hypothèses!$F15/12*Hypothèses!$F$72*Hypothèses!$B$48*$B$32*Hypothèses!$F45+$B$33</f>
        <v>0</v>
      </c>
      <c r="BF11" s="130">
        <f ca="1">-Ventes!BF46*Hypothèses!$G15/12*Hypothèses!$G$72*Hypothèses!$B$48*$B$32*Hypothèses!$G45+$B$33</f>
        <v>0</v>
      </c>
      <c r="BG11" s="130">
        <f ca="1">-Ventes!BG46*Hypothèses!$G15/12*Hypothèses!$G$72*Hypothèses!$B$48*$B$32*Hypothèses!$G45+$B$33</f>
        <v>0</v>
      </c>
      <c r="BH11" s="130">
        <f ca="1">-Ventes!BH46*Hypothèses!$G15/12*Hypothèses!$G$72*Hypothèses!$B$48*$B$32*Hypothèses!$G45+$B$33</f>
        <v>0</v>
      </c>
      <c r="BI11" s="130">
        <f ca="1">-Ventes!BI46*Hypothèses!$G15/12*Hypothèses!$G$72*Hypothèses!$B$48*$B$32*Hypothèses!$G45+$B$33</f>
        <v>0</v>
      </c>
      <c r="BJ11" s="130">
        <f ca="1">-Ventes!BJ46*Hypothèses!$G15/12*Hypothèses!$G$72*Hypothèses!$B$48*$B$32*Hypothèses!$G45+$B$33</f>
        <v>0</v>
      </c>
      <c r="BK11" s="130">
        <f ca="1">-Ventes!BK46*Hypothèses!$G15/12*Hypothèses!$G$72*Hypothèses!$B$48*$B$32*Hypothèses!$G45+$B$33</f>
        <v>0</v>
      </c>
      <c r="BL11" s="130">
        <f ca="1">-Ventes!BL46*Hypothèses!$G15/12*Hypothèses!$G$72*Hypothèses!$B$48*$B$32*Hypothèses!$G45+$B$33</f>
        <v>0</v>
      </c>
      <c r="BM11" s="130">
        <f ca="1">-Ventes!BM46*Hypothèses!$G15/12*Hypothèses!$G$72*Hypothèses!$B$48*$B$32*Hypothèses!$G45+$B$33</f>
        <v>0</v>
      </c>
      <c r="BN11" s="130">
        <f ca="1">-Ventes!BN46*Hypothèses!$G15/12*Hypothèses!$G$72*Hypothèses!$B$48*$B$32*Hypothèses!$G45+$B$33</f>
        <v>0</v>
      </c>
      <c r="BO11" s="130">
        <f ca="1">-Ventes!BO46*Hypothèses!$G15/12*Hypothèses!$G$72*Hypothèses!$B$48*$B$32*Hypothèses!$G45+$B$33</f>
        <v>0</v>
      </c>
      <c r="BP11" s="130">
        <f ca="1">-Ventes!BP46*Hypothèses!$G15/12*Hypothèses!$G$72*Hypothèses!$B$48*$B$32*Hypothèses!$G45+$B$33</f>
        <v>0</v>
      </c>
      <c r="BQ11" s="130">
        <f ca="1">-Ventes!BQ46*Hypothèses!$G15/12*Hypothèses!$G$72*Hypothèses!$B$48*$B$32*Hypothèses!$G45+$B$33</f>
        <v>0</v>
      </c>
      <c r="BR11" s="129">
        <f ca="1">-Ventes!BR46*Hypothèses!$H15/12*Hypothèses!$H$72*Hypothèses!$B$48*$B$32*Hypothèses!$H45+$B$33</f>
        <v>0</v>
      </c>
      <c r="BS11" s="130">
        <f ca="1">-Ventes!BS46*Hypothèses!$H15/12*Hypothèses!$H$72*Hypothèses!$B$48*$B$32*Hypothèses!$H45+$B$33</f>
        <v>0</v>
      </c>
      <c r="BT11" s="130">
        <f ca="1">-Ventes!BT46*Hypothèses!$H15/12*Hypothèses!$H$72*Hypothèses!$B$48*$B$32*Hypothèses!$H45+$B$33</f>
        <v>0</v>
      </c>
      <c r="BU11" s="130">
        <f ca="1">-Ventes!BU46*Hypothèses!$H15/12*Hypothèses!$H$72*Hypothèses!$B$48*$B$32*Hypothèses!$H45+$B$33</f>
        <v>0</v>
      </c>
      <c r="BV11" s="130">
        <f ca="1">-Ventes!BV46*Hypothèses!$H15/12*Hypothèses!$H$72*Hypothèses!$B$48*$B$32*Hypothèses!$H45+$B$33</f>
        <v>0</v>
      </c>
      <c r="BW11" s="130">
        <f ca="1">-Ventes!BW46*Hypothèses!$H15/12*Hypothèses!$H$72*Hypothèses!$B$48*$B$32*Hypothèses!$H45+$B$33</f>
        <v>0</v>
      </c>
      <c r="BX11" s="130">
        <f ca="1">-Ventes!BX46*Hypothèses!$H15/12*Hypothèses!$H$72*Hypothèses!$B$48*$B$32*Hypothèses!$H45+$B$33</f>
        <v>0</v>
      </c>
      <c r="BY11" s="130">
        <f ca="1">-Ventes!BY46*Hypothèses!$H15/12*Hypothèses!$H$72*Hypothèses!$B$48*$B$32*Hypothèses!$H45+$B$33</f>
        <v>0</v>
      </c>
      <c r="BZ11" s="130">
        <f ca="1">-Ventes!BZ46*Hypothèses!$H15/12*Hypothèses!$H$72*Hypothèses!$B$48*$B$32*Hypothèses!$H45+$B$33</f>
        <v>0</v>
      </c>
      <c r="CA11" s="130">
        <f ca="1">-Ventes!CA46*Hypothèses!$H15/12*Hypothèses!$H$72*Hypothèses!$B$48*$B$32*Hypothèses!$H45+$B$33</f>
        <v>0</v>
      </c>
      <c r="CB11" s="130">
        <f ca="1">-Ventes!CB46*Hypothèses!$H15/12*Hypothèses!$H$72*Hypothèses!$B$48*$B$32*Hypothèses!$H45+$B$33</f>
        <v>0</v>
      </c>
      <c r="CC11" s="131">
        <f ca="1">-Ventes!CC46*Hypothèses!$H15/12*Hypothèses!$H$72*Hypothèses!$B$48*$B$32*Hypothèses!$H45+$B$33</f>
        <v>0</v>
      </c>
    </row>
    <row r="12" spans="1:81" ht="15.75" customHeight="1">
      <c r="A12" s="305" t="s">
        <v>172</v>
      </c>
      <c r="B12" s="61"/>
      <c r="C12" s="129">
        <f>-Ventes!C47*Hypothèses!$B16/12*Hypothèses!$B$72*Hypothèses!$B$48*$B$32*Hypothèses!$B46+$B$33</f>
        <v>0</v>
      </c>
      <c r="D12" s="130">
        <f>-Ventes!D47*Hypothèses!$B16/12*Hypothèses!$B$72*Hypothèses!$B$48*$B$32*Hypothèses!$B46+$B$33</f>
        <v>0</v>
      </c>
      <c r="E12" s="130">
        <f>-Ventes!E47*Hypothèses!$B16/12*Hypothèses!$B$72*Hypothèses!$B$48*$B$32*Hypothèses!$B46+$B$33</f>
        <v>0</v>
      </c>
      <c r="F12" s="130">
        <f>-Ventes!F47*Hypothèses!$B16/12*Hypothèses!$B$72*Hypothèses!$B$48*$B$32*Hypothèses!$B46+$B$33</f>
        <v>0</v>
      </c>
      <c r="G12" s="130">
        <f>-Ventes!G47*Hypothèses!$B16/12*Hypothèses!$B$72*Hypothèses!$B$48*$B$32*Hypothèses!$B46+$B$33</f>
        <v>0</v>
      </c>
      <c r="H12" s="130">
        <f>-Ventes!H47*Hypothèses!$B16/12*Hypothèses!$B$72*Hypothèses!$B$48*$B$32*Hypothèses!$B46+$B$33</f>
        <v>0</v>
      </c>
      <c r="I12" s="131">
        <f>-Ventes!I47*Hypothèses!$B16/12*Hypothèses!$B$72*Hypothèses!$B$48*$B$32*Hypothèses!$B46+$B$33</f>
        <v>0</v>
      </c>
      <c r="J12" s="130">
        <f>-Ventes!J47*Hypothèses!$C16/12*Hypothèses!$C$72*Hypothèses!$B$48*$B$32*Hypothèses!$C46+$B$33</f>
        <v>0</v>
      </c>
      <c r="K12" s="130">
        <f ca="1">-Ventes!K47*Hypothèses!$C16/12*Hypothèses!$C$72*Hypothèses!$B$48*$B$32*Hypothèses!$C46+$B$33</f>
        <v>0</v>
      </c>
      <c r="L12" s="130">
        <f ca="1">-Ventes!L47*Hypothèses!$C16/12*Hypothèses!$C$72*Hypothèses!$B$48*$B$32*Hypothèses!$C46+$B$33</f>
        <v>0</v>
      </c>
      <c r="M12" s="130">
        <f ca="1">-Ventes!M47*Hypothèses!$C16/12*Hypothèses!$C$72*Hypothèses!$B$48*$B$32*Hypothèses!$C46+$B$33</f>
        <v>0</v>
      </c>
      <c r="N12" s="130">
        <f ca="1">-Ventes!N47*Hypothèses!$C16/12*Hypothèses!$C$72*Hypothèses!$B$48*$B$32*Hypothèses!$C46+$B$33</f>
        <v>0</v>
      </c>
      <c r="O12" s="130">
        <f ca="1">-Ventes!O47*Hypothèses!$C16/12*Hypothèses!$C$72*Hypothèses!$B$48*$B$32*Hypothèses!$C46+$B$33</f>
        <v>0</v>
      </c>
      <c r="P12" s="130">
        <f ca="1">-Ventes!P47*Hypothèses!$C16/12*Hypothèses!$C$72*Hypothèses!$B$48*$B$32*Hypothèses!$C46+$B$33</f>
        <v>0</v>
      </c>
      <c r="Q12" s="130">
        <f ca="1">-Ventes!Q47*Hypothèses!$C16/12*Hypothèses!$C$72*Hypothèses!$B$48*$B$32*Hypothèses!$C46+$B$33</f>
        <v>0</v>
      </c>
      <c r="R12" s="130">
        <f ca="1">-Ventes!R47*Hypothèses!$C16/12*Hypothèses!$C$72*Hypothèses!$B$48*$B$32*Hypothèses!$C46+$B$33</f>
        <v>0</v>
      </c>
      <c r="S12" s="130">
        <f ca="1">-Ventes!S47*Hypothèses!$C16/12*Hypothèses!$C$72*Hypothèses!$B$48*$B$32*Hypothèses!$C46+$B$33</f>
        <v>0</v>
      </c>
      <c r="T12" s="130">
        <f ca="1">-Ventes!T47*Hypothèses!$C16/12*Hypothèses!$C$72*Hypothèses!$B$48*$B$32*Hypothèses!$C46+$B$33</f>
        <v>0</v>
      </c>
      <c r="U12" s="130">
        <f ca="1">-Ventes!U47*Hypothèses!$C16/12*Hypothèses!$C$72*Hypothèses!$B$48*$B$32*Hypothèses!$C46+$B$33</f>
        <v>0</v>
      </c>
      <c r="V12" s="129">
        <f ca="1">-Ventes!V47*Hypothèses!$D16/12*Hypothèses!$D$72*Hypothèses!$B$48*$B$32*Hypothèses!$D46+$B$33</f>
        <v>0</v>
      </c>
      <c r="W12" s="130">
        <f ca="1">-Ventes!W47*Hypothèses!$D16/12*Hypothèses!$D$72*Hypothèses!$B$48*$B$32*Hypothèses!$D46+$B$33</f>
        <v>0</v>
      </c>
      <c r="X12" s="130">
        <f ca="1">-Ventes!X47*Hypothèses!$D16/12*Hypothèses!$D$72*Hypothèses!$B$48*$B$32*Hypothèses!$D46+$B$33</f>
        <v>0</v>
      </c>
      <c r="Y12" s="130">
        <f ca="1">-Ventes!Y47*Hypothèses!$D16/12*Hypothèses!$D$72*Hypothèses!$B$48*$B$32*Hypothèses!$D46+$B$33</f>
        <v>0</v>
      </c>
      <c r="Z12" s="130">
        <f ca="1">-Ventes!Z47*Hypothèses!$D16/12*Hypothèses!$D$72*Hypothèses!$B$48*$B$32*Hypothèses!$D46+$B$33</f>
        <v>0</v>
      </c>
      <c r="AA12" s="130">
        <f ca="1">-Ventes!AA47*Hypothèses!$D16/12*Hypothèses!$D$72*Hypothèses!$B$48*$B$32*Hypothèses!$D46+$B$33</f>
        <v>0</v>
      </c>
      <c r="AB12" s="130">
        <f ca="1">-Ventes!AB47*Hypothèses!$D16/12*Hypothèses!$D$72*Hypothèses!$B$48*$B$32*Hypothèses!$D46+$B$33</f>
        <v>0</v>
      </c>
      <c r="AC12" s="130">
        <f ca="1">-Ventes!AC47*Hypothèses!$D16/12*Hypothèses!$D$72*Hypothèses!$B$48*$B$32*Hypothèses!$D46+$B$33</f>
        <v>0</v>
      </c>
      <c r="AD12" s="130">
        <f ca="1">-Ventes!AD47*Hypothèses!$D16/12*Hypothèses!$D$72*Hypothèses!$B$48*$B$32*Hypothèses!$D46+$B$33</f>
        <v>0</v>
      </c>
      <c r="AE12" s="130">
        <f ca="1">-Ventes!AE47*Hypothèses!$D16/12*Hypothèses!$D$72*Hypothèses!$B$48*$B$32*Hypothèses!$D46+$B$33</f>
        <v>0</v>
      </c>
      <c r="AF12" s="130">
        <f ca="1">-Ventes!AF47*Hypothèses!$D16/12*Hypothèses!$D$72*Hypothèses!$B$48*$B$32*Hypothèses!$D46+$B$33</f>
        <v>0</v>
      </c>
      <c r="AG12" s="131">
        <f ca="1">-Ventes!AG47*Hypothèses!$D16/12*Hypothèses!$D$72*Hypothèses!$B$48*$B$32*Hypothèses!$D46+$B$33</f>
        <v>0</v>
      </c>
      <c r="AH12" s="130">
        <f ca="1">-Ventes!AH47*Hypothèses!$E16/12*Hypothèses!$E$72*Hypothèses!$B$48*$B$32*Hypothèses!$E46+$B$33</f>
        <v>0</v>
      </c>
      <c r="AI12" s="130">
        <f ca="1">-Ventes!AI47*Hypothèses!$E16/12*Hypothèses!$E$72*Hypothèses!$B$48*$B$32*Hypothèses!$E46+$B$33</f>
        <v>0</v>
      </c>
      <c r="AJ12" s="130">
        <f ca="1">-Ventes!AJ47*Hypothèses!$E16/12*Hypothèses!$E$72*Hypothèses!$B$48*$B$32*Hypothèses!$E46+$B$33</f>
        <v>0</v>
      </c>
      <c r="AK12" s="130">
        <f ca="1">-Ventes!AK47*Hypothèses!$E16/12*Hypothèses!$E$72*Hypothèses!$B$48*$B$32*Hypothèses!$E46+$B$33</f>
        <v>0</v>
      </c>
      <c r="AL12" s="130">
        <f ca="1">-Ventes!AL47*Hypothèses!$E16/12*Hypothèses!$E$72*Hypothèses!$B$48*$B$32*Hypothèses!$E46+$B$33</f>
        <v>0</v>
      </c>
      <c r="AM12" s="130">
        <f ca="1">-Ventes!AM47*Hypothèses!$E16/12*Hypothèses!$E$72*Hypothèses!$B$48*$B$32*Hypothèses!$E46+$B$33</f>
        <v>0</v>
      </c>
      <c r="AN12" s="130">
        <f ca="1">-Ventes!AN47*Hypothèses!$E16/12*Hypothèses!$E$72*Hypothèses!$B$48*$B$32*Hypothèses!$E46+$B$33</f>
        <v>0</v>
      </c>
      <c r="AO12" s="130">
        <f ca="1">-Ventes!AO47*Hypothèses!$E16/12*Hypothèses!$E$72*Hypothèses!$B$48*$B$32*Hypothèses!$E46+$B$33</f>
        <v>0</v>
      </c>
      <c r="AP12" s="130">
        <f ca="1">-Ventes!AP47*Hypothèses!$E16/12*Hypothèses!$E$72*Hypothèses!$B$48*$B$32*Hypothèses!$E46+$B$33</f>
        <v>0</v>
      </c>
      <c r="AQ12" s="130">
        <f ca="1">-Ventes!AQ47*Hypothèses!$E16/12*Hypothèses!$E$72*Hypothèses!$B$48*$B$32*Hypothèses!$E46+$B$33</f>
        <v>0</v>
      </c>
      <c r="AR12" s="130">
        <f ca="1">-Ventes!AR47*Hypothèses!$E16/12*Hypothèses!$E$72*Hypothèses!$B$48*$B$32*Hypothèses!$E46+$B$33</f>
        <v>0</v>
      </c>
      <c r="AS12" s="130">
        <f ca="1">-Ventes!AS47*Hypothèses!$E16/12*Hypothèses!$E$72*Hypothèses!$B$48*$B$32*Hypothèses!$E46+$B$33</f>
        <v>0</v>
      </c>
      <c r="AT12" s="129">
        <f ca="1">-Ventes!AT47*Hypothèses!$F16/12*Hypothèses!$F$72*Hypothèses!$B$48*$B$32*Hypothèses!$F46+$B$33</f>
        <v>0</v>
      </c>
      <c r="AU12" s="130">
        <f ca="1">-Ventes!AU47*Hypothèses!$F16/12*Hypothèses!$F$72*Hypothèses!$B$48*$B$32*Hypothèses!$F46+$B$33</f>
        <v>0</v>
      </c>
      <c r="AV12" s="130">
        <f ca="1">-Ventes!AV47*Hypothèses!$F16/12*Hypothèses!$F$72*Hypothèses!$B$48*$B$32*Hypothèses!$F46+$B$33</f>
        <v>0</v>
      </c>
      <c r="AW12" s="130">
        <f ca="1">-Ventes!AW47*Hypothèses!$F16/12*Hypothèses!$F$72*Hypothèses!$B$48*$B$32*Hypothèses!$F46+$B$33</f>
        <v>0</v>
      </c>
      <c r="AX12" s="130">
        <f ca="1">-Ventes!AX47*Hypothèses!$F16/12*Hypothèses!$F$72*Hypothèses!$B$48*$B$32*Hypothèses!$F46+$B$33</f>
        <v>0</v>
      </c>
      <c r="AY12" s="130">
        <f ca="1">-Ventes!AY47*Hypothèses!$F16/12*Hypothèses!$F$72*Hypothèses!$B$48*$B$32*Hypothèses!$F46+$B$33</f>
        <v>0</v>
      </c>
      <c r="AZ12" s="130">
        <f ca="1">-Ventes!AZ47*Hypothèses!$F16/12*Hypothèses!$F$72*Hypothèses!$B$48*$B$32*Hypothèses!$F46+$B$33</f>
        <v>0</v>
      </c>
      <c r="BA12" s="130">
        <f ca="1">-Ventes!BA47*Hypothèses!$F16/12*Hypothèses!$F$72*Hypothèses!$B$48*$B$32*Hypothèses!$F46+$B$33</f>
        <v>0</v>
      </c>
      <c r="BB12" s="130">
        <f ca="1">-Ventes!BB47*Hypothèses!$F16/12*Hypothèses!$F$72*Hypothèses!$B$48*$B$32*Hypothèses!$F46+$B$33</f>
        <v>0</v>
      </c>
      <c r="BC12" s="130">
        <f ca="1">-Ventes!BC47*Hypothèses!$F16/12*Hypothèses!$F$72*Hypothèses!$B$48*$B$32*Hypothèses!$F46+$B$33</f>
        <v>0</v>
      </c>
      <c r="BD12" s="130">
        <f ca="1">-Ventes!BD47*Hypothèses!$F16/12*Hypothèses!$F$72*Hypothèses!$B$48*$B$32*Hypothèses!$F46+$B$33</f>
        <v>0</v>
      </c>
      <c r="BE12" s="131">
        <f ca="1">-Ventes!BE47*Hypothèses!$F16/12*Hypothèses!$F$72*Hypothèses!$B$48*$B$32*Hypothèses!$F46+$B$33</f>
        <v>0</v>
      </c>
      <c r="BF12" s="130">
        <f ca="1">-Ventes!BF47*Hypothèses!$G16/12*Hypothèses!$G$72*Hypothèses!$B$48*$B$32*Hypothèses!$G46+$B$33</f>
        <v>0</v>
      </c>
      <c r="BG12" s="130">
        <f ca="1">-Ventes!BG47*Hypothèses!$G16/12*Hypothèses!$G$72*Hypothèses!$B$48*$B$32*Hypothèses!$G46+$B$33</f>
        <v>0</v>
      </c>
      <c r="BH12" s="130">
        <f ca="1">-Ventes!BH47*Hypothèses!$G16/12*Hypothèses!$G$72*Hypothèses!$B$48*$B$32*Hypothèses!$G46+$B$33</f>
        <v>0</v>
      </c>
      <c r="BI12" s="130">
        <f ca="1">-Ventes!BI47*Hypothèses!$G16/12*Hypothèses!$G$72*Hypothèses!$B$48*$B$32*Hypothèses!$G46+$B$33</f>
        <v>0</v>
      </c>
      <c r="BJ12" s="130">
        <f ca="1">-Ventes!BJ47*Hypothèses!$G16/12*Hypothèses!$G$72*Hypothèses!$B$48*$B$32*Hypothèses!$G46+$B$33</f>
        <v>0</v>
      </c>
      <c r="BK12" s="130">
        <f ca="1">-Ventes!BK47*Hypothèses!$G16/12*Hypothèses!$G$72*Hypothèses!$B$48*$B$32*Hypothèses!$G46+$B$33</f>
        <v>0</v>
      </c>
      <c r="BL12" s="130">
        <f ca="1">-Ventes!BL47*Hypothèses!$G16/12*Hypothèses!$G$72*Hypothèses!$B$48*$B$32*Hypothèses!$G46+$B$33</f>
        <v>0</v>
      </c>
      <c r="BM12" s="130">
        <f ca="1">-Ventes!BM47*Hypothèses!$G16/12*Hypothèses!$G$72*Hypothèses!$B$48*$B$32*Hypothèses!$G46+$B$33</f>
        <v>0</v>
      </c>
      <c r="BN12" s="130">
        <f ca="1">-Ventes!BN47*Hypothèses!$G16/12*Hypothèses!$G$72*Hypothèses!$B$48*$B$32*Hypothèses!$G46+$B$33</f>
        <v>0</v>
      </c>
      <c r="BO12" s="130">
        <f ca="1">-Ventes!BO47*Hypothèses!$G16/12*Hypothèses!$G$72*Hypothèses!$B$48*$B$32*Hypothèses!$G46+$B$33</f>
        <v>0</v>
      </c>
      <c r="BP12" s="130">
        <f ca="1">-Ventes!BP47*Hypothèses!$G16/12*Hypothèses!$G$72*Hypothèses!$B$48*$B$32*Hypothèses!$G46+$B$33</f>
        <v>0</v>
      </c>
      <c r="BQ12" s="130">
        <f ca="1">-Ventes!BQ47*Hypothèses!$G16/12*Hypothèses!$G$72*Hypothèses!$B$48*$B$32*Hypothèses!$G46+$B$33</f>
        <v>0</v>
      </c>
      <c r="BR12" s="129">
        <f ca="1">-Ventes!BR47*Hypothèses!$H16/12*Hypothèses!$H$72*Hypothèses!$B$48*$B$32*Hypothèses!$H46+$B$33</f>
        <v>0</v>
      </c>
      <c r="BS12" s="130">
        <f ca="1">-Ventes!BS47*Hypothèses!$H16/12*Hypothèses!$H$72*Hypothèses!$B$48*$B$32*Hypothèses!$H46+$B$33</f>
        <v>0</v>
      </c>
      <c r="BT12" s="130">
        <f ca="1">-Ventes!BT47*Hypothèses!$H16/12*Hypothèses!$H$72*Hypothèses!$B$48*$B$32*Hypothèses!$H46+$B$33</f>
        <v>0</v>
      </c>
      <c r="BU12" s="130">
        <f ca="1">-Ventes!BU47*Hypothèses!$H16/12*Hypothèses!$H$72*Hypothèses!$B$48*$B$32*Hypothèses!$H46+$B$33</f>
        <v>0</v>
      </c>
      <c r="BV12" s="130">
        <f ca="1">-Ventes!BV47*Hypothèses!$H16/12*Hypothèses!$H$72*Hypothèses!$B$48*$B$32*Hypothèses!$H46+$B$33</f>
        <v>0</v>
      </c>
      <c r="BW12" s="130">
        <f ca="1">-Ventes!BW47*Hypothèses!$H16/12*Hypothèses!$H$72*Hypothèses!$B$48*$B$32*Hypothèses!$H46+$B$33</f>
        <v>0</v>
      </c>
      <c r="BX12" s="130">
        <f ca="1">-Ventes!BX47*Hypothèses!$H16/12*Hypothèses!$H$72*Hypothèses!$B$48*$B$32*Hypothèses!$H46+$B$33</f>
        <v>0</v>
      </c>
      <c r="BY12" s="130">
        <f ca="1">-Ventes!BY47*Hypothèses!$H16/12*Hypothèses!$H$72*Hypothèses!$B$48*$B$32*Hypothèses!$H46+$B$33</f>
        <v>0</v>
      </c>
      <c r="BZ12" s="130">
        <f ca="1">-Ventes!BZ47*Hypothèses!$H16/12*Hypothèses!$H$72*Hypothèses!$B$48*$B$32*Hypothèses!$H46+$B$33</f>
        <v>0</v>
      </c>
      <c r="CA12" s="130">
        <f ca="1">-Ventes!CA47*Hypothèses!$H16/12*Hypothèses!$H$72*Hypothèses!$B$48*$B$32*Hypothèses!$H46+$B$33</f>
        <v>0</v>
      </c>
      <c r="CB12" s="130">
        <f ca="1">-Ventes!CB47*Hypothèses!$H16/12*Hypothèses!$H$72*Hypothèses!$B$48*$B$32*Hypothèses!$H46+$B$33</f>
        <v>0</v>
      </c>
      <c r="CC12" s="131">
        <f ca="1">-Ventes!CC47*Hypothèses!$H16/12*Hypothèses!$H$72*Hypothèses!$B$48*$B$32*Hypothèses!$H46+$B$33</f>
        <v>0</v>
      </c>
    </row>
    <row r="13" spans="1:81" ht="15.75" customHeight="1">
      <c r="A13" s="305" t="s">
        <v>173</v>
      </c>
      <c r="B13" s="61"/>
      <c r="C13" s="309">
        <f>-Ventes!C19*$B$31</f>
        <v>-1589.9999999999998</v>
      </c>
      <c r="D13" s="310">
        <f>-Ventes!D19*$B$31</f>
        <v>-1622.6226700251889</v>
      </c>
      <c r="E13" s="310">
        <f>-Ventes!E19*$B$31</f>
        <v>-1654.6147959697728</v>
      </c>
      <c r="F13" s="310">
        <f>-Ventes!F19*$B$31</f>
        <v>-1685.9911018387904</v>
      </c>
      <c r="G13" s="310">
        <f>-Ventes!G19*$B$31</f>
        <v>-1716.765902737279</v>
      </c>
      <c r="H13" s="310">
        <f>-Ventes!H19*$B$31</f>
        <v>-1746.9531179240221</v>
      </c>
      <c r="I13" s="311">
        <f>-Ventes!I19*$B$31</f>
        <v>-1776.5662834061995</v>
      </c>
      <c r="J13" s="310">
        <f>-Ventes!J19*$B$31</f>
        <v>-1810.4574883152884</v>
      </c>
      <c r="K13" s="310">
        <f ca="1">-Ventes!K19*$B$31</f>
        <v>-1849.2090005786781</v>
      </c>
      <c r="L13" s="310">
        <f ca="1">-Ventes!L19*$B$31</f>
        <v>-1857.3748410992557</v>
      </c>
      <c r="M13" s="310">
        <f ca="1">-Ventes!M19*$B$31</f>
        <v>-1895.5580942642605</v>
      </c>
      <c r="N13" s="310">
        <f ca="1">-Ventes!N19*$B$31</f>
        <v>-1933.1618241041988</v>
      </c>
      <c r="O13" s="310">
        <f ca="1">-Ventes!O19*$B$31</f>
        <v>-1970.1966016332876</v>
      </c>
      <c r="P13" s="310">
        <f ca="1">-Ventes!P19*$B$31</f>
        <v>-2006.6727684404505</v>
      </c>
      <c r="Q13" s="310">
        <f ca="1">-Ventes!Q19*$B$31</f>
        <v>-2055.9715592442872</v>
      </c>
      <c r="R13" s="310">
        <f ca="1">-Ventes!R19*$B$31</f>
        <v>-2104.4676778883586</v>
      </c>
      <c r="S13" s="310">
        <f ca="1">-Ventes!S19*$B$31</f>
        <v>-2152.1774057206121</v>
      </c>
      <c r="T13" s="310">
        <f ca="1">-Ventes!T19*$B$31</f>
        <v>-2199.1166235473343</v>
      </c>
      <c r="U13" s="310">
        <f ca="1">-Ventes!U19*$B$31</f>
        <v>-2245.3008230862688</v>
      </c>
      <c r="V13" s="309">
        <f ca="1">-Ventes!V19*$B$31</f>
        <v>-2295.7548140166036</v>
      </c>
      <c r="W13" s="310">
        <f ca="1">-Ventes!W19*$B$31</f>
        <v>-2345.6282130653194</v>
      </c>
      <c r="X13" s="310">
        <f ca="1">-Ventes!X19*$B$31</f>
        <v>-2394.9291977864032</v>
      </c>
      <c r="Y13" s="310">
        <f ca="1">-Ventes!Y19*$B$31</f>
        <v>-2443.6658083750308</v>
      </c>
      <c r="Z13" s="310">
        <f ca="1">-Ventes!Z19*$B$31</f>
        <v>-2491.8459504241623</v>
      </c>
      <c r="AA13" s="310">
        <f ca="1">-Ventes!AA19*$B$31</f>
        <v>-2539.4773976149354</v>
      </c>
      <c r="AB13" s="310">
        <f ca="1">-Ventes!AB19*$B$31</f>
        <v>-2586.5677943426999</v>
      </c>
      <c r="AC13" s="310">
        <f ca="1">-Ventes!AC19*$B$31</f>
        <v>-2639.8102166348208</v>
      </c>
      <c r="AD13" s="310">
        <f ca="1">-Ventes!AD19*$B$31</f>
        <v>-2692.4188621008329</v>
      </c>
      <c r="AE13" s="310">
        <f ca="1">-Ventes!AE19*$B$31</f>
        <v>-2744.4033724483529</v>
      </c>
      <c r="AF13" s="310">
        <f ca="1">-Ventes!AF19*$B$31</f>
        <v>-2795.7732057258345</v>
      </c>
      <c r="AG13" s="311">
        <f ca="1">-Ventes!AG19*$B$31</f>
        <v>-2846.537640611245</v>
      </c>
      <c r="AH13" s="310">
        <f ca="1">-Ventes!AH19*$B$31</f>
        <v>-2901.9087052148025</v>
      </c>
      <c r="AI13" s="310">
        <f ca="1">-Ventes!AI19*$B$31</f>
        <v>-2956.8072811809616</v>
      </c>
      <c r="AJ13" s="310">
        <f ca="1">-Ventes!AJ19*$B$31</f>
        <v>-3011.2376180712236</v>
      </c>
      <c r="AK13" s="310">
        <f ca="1">-Ventes!AK19*$B$31</f>
        <v>-3065.2039400063004</v>
      </c>
      <c r="AL13" s="310">
        <f ca="1">-Ventes!AL19*$B$31</f>
        <v>-3118.7104452173044</v>
      </c>
      <c r="AM13" s="310">
        <f ca="1">-Ventes!AM19*$B$31</f>
        <v>-3171.7613056262094</v>
      </c>
      <c r="AN13" s="310">
        <f ca="1">-Ventes!AN19*$B$31</f>
        <v>-3224.3606664544945</v>
      </c>
      <c r="AO13" s="310">
        <f ca="1">-Ventes!AO19*$B$31</f>
        <v>-3276.5126458588893</v>
      </c>
      <c r="AP13" s="310">
        <f ca="1">-Ventes!AP19*$B$31</f>
        <v>-3328.2213345932005</v>
      </c>
      <c r="AQ13" s="310">
        <f ca="1">-Ventes!AQ19*$B$31</f>
        <v>-3379.4907956952106</v>
      </c>
      <c r="AR13" s="310">
        <f ca="1">-Ventes!AR19*$B$31</f>
        <v>-3430.3250641977011</v>
      </c>
      <c r="AS13" s="310">
        <f ca="1">-Ventes!AS19*$B$31</f>
        <v>-3480.7281468626543</v>
      </c>
      <c r="AT13" s="309">
        <f ca="1">-Ventes!AT19*$B$31</f>
        <v>-3532.8731657394801</v>
      </c>
      <c r="AU13" s="310">
        <f ca="1">-Ventes!AU19*$B$31</f>
        <v>-3584.7008204959266</v>
      </c>
      <c r="AV13" s="310">
        <f ca="1">-Ventes!AV19*$B$31</f>
        <v>-3636.2110605273738</v>
      </c>
      <c r="AW13" s="310">
        <f ca="1">-Ventes!AW19*$B$31</f>
        <v>-3687.4039246441371</v>
      </c>
      <c r="AX13" s="310">
        <f ca="1">-Ventes!AX19*$B$31</f>
        <v>-3738.2795374690604</v>
      </c>
      <c r="AY13" s="310">
        <f ca="1">-Ventes!AY19*$B$31</f>
        <v>-3788.8381059535523</v>
      </c>
      <c r="AZ13" s="310">
        <f ca="1">-Ventes!AZ19*$B$31</f>
        <v>-3839.079916008388</v>
      </c>
      <c r="BA13" s="310">
        <f ca="1">-Ventes!BA19*$B$31</f>
        <v>-3905.7192251315164</v>
      </c>
      <c r="BB13" s="310">
        <f ca="1">-Ventes!BB19*$B$31</f>
        <v>-3971.8587187456333</v>
      </c>
      <c r="BC13" s="310">
        <f ca="1">-Ventes!BC19*$B$31</f>
        <v>-4037.5017753093371</v>
      </c>
      <c r="BD13" s="310">
        <f ca="1">-Ventes!BD19*$B$31</f>
        <v>-4102.6517794377532</v>
      </c>
      <c r="BE13" s="311">
        <f ca="1">-Ventes!BE19*$B$31</f>
        <v>-4167.3121205871284</v>
      </c>
      <c r="BF13" s="310">
        <f ca="1">-Ventes!BF19*$B$31</f>
        <v>-4235.2642219286854</v>
      </c>
      <c r="BG13" s="310">
        <f ca="1">-Ventes!BG19*$B$31</f>
        <v>-4302.7208572320933</v>
      </c>
      <c r="BH13" s="310">
        <f ca="1">-Ventes!BH19*$B$31</f>
        <v>-4429.686095678102</v>
      </c>
      <c r="BI13" s="310">
        <f ca="1">-Ventes!BI19*$B$31</f>
        <v>-4555.5669717348683</v>
      </c>
      <c r="BJ13" s="310">
        <f ca="1">-Ventes!BJ19*$B$31</f>
        <v>-4740.3756274078169</v>
      </c>
      <c r="BK13" s="310">
        <f ca="1">-Ventes!BK19*$B$31</f>
        <v>-4983.536023912543</v>
      </c>
      <c r="BL13" s="310">
        <f ca="1">-Ventes!BL19*$B$31</f>
        <v>-5224.47994309973</v>
      </c>
      <c r="BM13" s="310">
        <f ca="1">-Ventes!BM19*$B$31</f>
        <v>-5844.1416470435815</v>
      </c>
      <c r="BN13" s="310">
        <f ca="1">-Ventes!BN19*$B$31</f>
        <v>-6457.7971374833669</v>
      </c>
      <c r="BO13" s="310">
        <f ca="1">-Ventes!BO19*$B$31</f>
        <v>-7065.5255265829328</v>
      </c>
      <c r="BP13" s="310">
        <f ca="1">-Ventes!BP19*$B$31</f>
        <v>-7667.4045466055713</v>
      </c>
      <c r="BQ13" s="310">
        <f ca="1">-Ventes!BQ19*$B$31</f>
        <v>-8263.5105791968963</v>
      </c>
      <c r="BR13" s="309">
        <f ca="1">-Ventes!BR19*$B$31</f>
        <v>-8852.9999827491793</v>
      </c>
      <c r="BS13" s="310">
        <f ca="1">-Ventes!BS19*$B$31</f>
        <v>-9466.757614551876</v>
      </c>
      <c r="BT13" s="310">
        <f ca="1">-Ventes!BT19*$B$31</f>
        <v>-10074.54814314633</v>
      </c>
      <c r="BU13" s="310">
        <f ca="1">-Ventes!BU19*$B$31</f>
        <v>-10705.545102463691</v>
      </c>
      <c r="BV13" s="310">
        <f ca="1">-Ventes!BV19*$B$31</f>
        <v>-11330.434738174517</v>
      </c>
      <c r="BW13" s="310">
        <f ca="1">-Ventes!BW19*$B$31</f>
        <v>-11949.291902493784</v>
      </c>
      <c r="BX13" s="310">
        <f ca="1">-Ventes!BX19*$B$31</f>
        <v>-12651.290346062538</v>
      </c>
      <c r="BY13" s="310">
        <f ca="1">-Ventes!BY19*$B$31</f>
        <v>-14363.452246159501</v>
      </c>
      <c r="BZ13" s="310">
        <f ca="1">-Ventes!BZ19*$B$31</f>
        <v>-16088.997296108097</v>
      </c>
      <c r="CA13" s="310">
        <f ca="1">-Ventes!CA19*$B$31</f>
        <v>-17797.831801663895</v>
      </c>
      <c r="CB13" s="310">
        <f ca="1">-Ventes!CB19*$B$31</f>
        <v>-19550.158383317255</v>
      </c>
      <c r="CC13" s="311">
        <f ca="1">-Ventes!CC19*$B$31</f>
        <v>-21285.564734016218</v>
      </c>
    </row>
    <row r="14" spans="1:81" ht="15.75" customHeight="1">
      <c r="A14" s="194"/>
      <c r="B14" s="61"/>
      <c r="C14" s="40"/>
      <c r="I14" s="10"/>
      <c r="V14" s="40"/>
      <c r="AG14" s="10"/>
      <c r="AT14" s="40"/>
      <c r="BE14" s="10"/>
      <c r="BR14" s="40"/>
      <c r="CC14" s="10"/>
    </row>
    <row r="15" spans="1:81" ht="15.75" customHeight="1">
      <c r="A15" s="194"/>
      <c r="B15" s="61"/>
      <c r="C15" s="40"/>
      <c r="I15" s="10"/>
      <c r="V15" s="40"/>
      <c r="AG15" s="10"/>
      <c r="AT15" s="40"/>
      <c r="BE15" s="10"/>
      <c r="BR15" s="40"/>
      <c r="CC15" s="10"/>
    </row>
    <row r="16" spans="1:81" ht="15.75" customHeight="1">
      <c r="A16" s="181"/>
      <c r="B16" s="61"/>
      <c r="C16" s="40"/>
      <c r="I16" s="10"/>
      <c r="V16" s="40"/>
      <c r="AG16" s="10"/>
      <c r="AT16" s="40"/>
      <c r="BE16" s="10"/>
      <c r="BR16" s="40"/>
      <c r="CC16" s="10"/>
    </row>
    <row r="17" spans="1:81" ht="15.75" customHeight="1">
      <c r="A17" s="43"/>
      <c r="B17" s="120"/>
      <c r="C17" s="43"/>
      <c r="D17" s="120"/>
      <c r="E17" s="120"/>
      <c r="F17" s="120"/>
      <c r="G17" s="120"/>
      <c r="H17" s="120"/>
      <c r="I17" s="121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43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1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43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1"/>
      <c r="BF17" s="120"/>
      <c r="BG17" s="120"/>
      <c r="BH17" s="120"/>
      <c r="BI17" s="120"/>
      <c r="BJ17" s="120"/>
      <c r="BK17" s="120"/>
      <c r="BL17" s="120"/>
      <c r="BM17" s="120"/>
      <c r="BN17" s="120"/>
      <c r="BO17" s="120"/>
      <c r="BP17" s="120"/>
      <c r="BQ17" s="120"/>
      <c r="BR17" s="43"/>
      <c r="BS17" s="120"/>
      <c r="BT17" s="120"/>
      <c r="BU17" s="120"/>
      <c r="BV17" s="120"/>
      <c r="BW17" s="120"/>
      <c r="BX17" s="120"/>
      <c r="BY17" s="120"/>
      <c r="BZ17" s="120"/>
      <c r="CA17" s="120"/>
      <c r="CB17" s="120"/>
      <c r="CC17" s="121"/>
    </row>
    <row r="27" spans="1:81" ht="15.75" customHeight="1">
      <c r="A27" s="19" t="s">
        <v>174</v>
      </c>
      <c r="B27" s="312">
        <v>0.02</v>
      </c>
    </row>
    <row r="28" spans="1:81" ht="15.75" customHeight="1">
      <c r="A28" s="19" t="s">
        <v>175</v>
      </c>
      <c r="B28" s="312">
        <v>0.05</v>
      </c>
      <c r="D28" s="11" t="s">
        <v>176</v>
      </c>
    </row>
    <row r="29" spans="1:81" ht="15.75" customHeight="1">
      <c r="A29" s="19" t="s">
        <v>177</v>
      </c>
      <c r="B29" s="313">
        <v>1500</v>
      </c>
      <c r="D29" s="11" t="s">
        <v>178</v>
      </c>
    </row>
    <row r="30" spans="1:81" ht="15.75" customHeight="1">
      <c r="A30" s="19" t="s">
        <v>179</v>
      </c>
      <c r="B30" s="314">
        <f>IF('Plan stratégique  likewatt'!C39="Simulation",200,0)</f>
        <v>200</v>
      </c>
      <c r="D30" s="11" t="s">
        <v>180</v>
      </c>
    </row>
    <row r="31" spans="1:81" ht="15.75" customHeight="1">
      <c r="A31" s="19" t="s">
        <v>181</v>
      </c>
      <c r="B31" s="315">
        <v>10</v>
      </c>
    </row>
    <row r="32" spans="1:81" ht="15.75" customHeight="1">
      <c r="A32" s="19" t="s">
        <v>182</v>
      </c>
      <c r="B32" s="316">
        <f>IF('Plan stratégique  likewatt'!C39="Succes",0.04,0)</f>
        <v>0</v>
      </c>
    </row>
    <row r="33" spans="1:2" ht="15.75" customHeight="1">
      <c r="A33" s="19" t="s">
        <v>183</v>
      </c>
      <c r="B33" s="317">
        <f>IF('Plan stratégique  likewatt'!C39="Succes",-160,0)</f>
        <v>0</v>
      </c>
    </row>
    <row r="34" spans="1:2" ht="15.75" customHeight="1">
      <c r="B34" s="9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C84"/>
  <sheetViews>
    <sheetView workbookViewId="0"/>
  </sheetViews>
  <sheetFormatPr baseColWidth="10" defaultColWidth="12.6640625" defaultRowHeight="15.75" customHeight="1"/>
  <cols>
    <col min="1" max="1" width="28.5" customWidth="1"/>
    <col min="2" max="2" width="23.83203125" customWidth="1"/>
  </cols>
  <sheetData>
    <row r="1" spans="1:81" ht="14">
      <c r="A1" s="167"/>
      <c r="B1" s="167"/>
      <c r="C1" s="318">
        <v>45809</v>
      </c>
      <c r="D1" s="319">
        <v>45839</v>
      </c>
      <c r="E1" s="319">
        <v>45870</v>
      </c>
      <c r="F1" s="319">
        <v>45901</v>
      </c>
      <c r="G1" s="319">
        <v>45931</v>
      </c>
      <c r="H1" s="319">
        <v>45962</v>
      </c>
      <c r="I1" s="319">
        <v>45992</v>
      </c>
      <c r="J1" s="168">
        <v>46023</v>
      </c>
      <c r="K1" s="169">
        <v>46054</v>
      </c>
      <c r="L1" s="169">
        <v>46082</v>
      </c>
      <c r="M1" s="169">
        <v>46113</v>
      </c>
      <c r="N1" s="169">
        <v>46143</v>
      </c>
      <c r="O1" s="169">
        <v>46174</v>
      </c>
      <c r="P1" s="169">
        <v>46204</v>
      </c>
      <c r="Q1" s="169">
        <v>46235</v>
      </c>
      <c r="R1" s="169">
        <v>46266</v>
      </c>
      <c r="S1" s="169">
        <v>46296</v>
      </c>
      <c r="T1" s="169">
        <v>46327</v>
      </c>
      <c r="U1" s="170">
        <v>46357</v>
      </c>
      <c r="V1" s="169">
        <v>46388</v>
      </c>
      <c r="W1" s="169">
        <v>46419</v>
      </c>
      <c r="X1" s="169">
        <v>46447</v>
      </c>
      <c r="Y1" s="169">
        <v>46478</v>
      </c>
      <c r="Z1" s="169">
        <v>46508</v>
      </c>
      <c r="AA1" s="169">
        <v>46539</v>
      </c>
      <c r="AB1" s="169">
        <v>46569</v>
      </c>
      <c r="AC1" s="169">
        <v>46600</v>
      </c>
      <c r="AD1" s="169">
        <v>46631</v>
      </c>
      <c r="AE1" s="169">
        <v>46661</v>
      </c>
      <c r="AF1" s="169">
        <v>46692</v>
      </c>
      <c r="AG1" s="169">
        <v>46722</v>
      </c>
      <c r="AH1" s="168">
        <v>46753</v>
      </c>
      <c r="AI1" s="169">
        <v>46784</v>
      </c>
      <c r="AJ1" s="169">
        <v>46813</v>
      </c>
      <c r="AK1" s="169">
        <v>46844</v>
      </c>
      <c r="AL1" s="169">
        <v>46874</v>
      </c>
      <c r="AM1" s="169">
        <v>46905</v>
      </c>
      <c r="AN1" s="169">
        <v>46935</v>
      </c>
      <c r="AO1" s="169">
        <v>46966</v>
      </c>
      <c r="AP1" s="169">
        <v>46997</v>
      </c>
      <c r="AQ1" s="169">
        <v>47027</v>
      </c>
      <c r="AR1" s="169">
        <v>47058</v>
      </c>
      <c r="AS1" s="170">
        <v>47088</v>
      </c>
      <c r="AT1" s="168">
        <v>47119</v>
      </c>
      <c r="AU1" s="169">
        <v>47150</v>
      </c>
      <c r="AV1" s="169">
        <v>47178</v>
      </c>
      <c r="AW1" s="169">
        <v>47209</v>
      </c>
      <c r="AX1" s="169">
        <v>47239</v>
      </c>
      <c r="AY1" s="169">
        <v>47270</v>
      </c>
      <c r="AZ1" s="169">
        <v>47300</v>
      </c>
      <c r="BA1" s="169">
        <v>47331</v>
      </c>
      <c r="BB1" s="169">
        <v>47362</v>
      </c>
      <c r="BC1" s="169">
        <v>47392</v>
      </c>
      <c r="BD1" s="169">
        <v>47423</v>
      </c>
      <c r="BE1" s="170">
        <v>47453</v>
      </c>
      <c r="BF1" s="168">
        <v>47484</v>
      </c>
      <c r="BG1" s="169">
        <v>47515</v>
      </c>
      <c r="BH1" s="169">
        <v>47543</v>
      </c>
      <c r="BI1" s="169">
        <v>47574</v>
      </c>
      <c r="BJ1" s="169">
        <v>47604</v>
      </c>
      <c r="BK1" s="169">
        <v>47635</v>
      </c>
      <c r="BL1" s="169">
        <v>47665</v>
      </c>
      <c r="BM1" s="169">
        <v>47696</v>
      </c>
      <c r="BN1" s="169">
        <v>47727</v>
      </c>
      <c r="BO1" s="169">
        <v>47757</v>
      </c>
      <c r="BP1" s="169">
        <v>47788</v>
      </c>
      <c r="BQ1" s="170">
        <v>47818</v>
      </c>
      <c r="BR1" s="168">
        <v>47849</v>
      </c>
      <c r="BS1" s="169">
        <v>47880</v>
      </c>
      <c r="BT1" s="169">
        <v>47908</v>
      </c>
      <c r="BU1" s="169">
        <v>47939</v>
      </c>
      <c r="BV1" s="169">
        <v>47969</v>
      </c>
      <c r="BW1" s="169">
        <v>48000</v>
      </c>
      <c r="BX1" s="169">
        <v>48030</v>
      </c>
      <c r="BY1" s="169">
        <v>48061</v>
      </c>
      <c r="BZ1" s="169">
        <v>48092</v>
      </c>
      <c r="CA1" s="169">
        <v>48122</v>
      </c>
      <c r="CB1" s="169">
        <v>48153</v>
      </c>
      <c r="CC1" s="170">
        <v>48183</v>
      </c>
    </row>
    <row r="2" spans="1:81" ht="14">
      <c r="A2" s="207" t="s">
        <v>184</v>
      </c>
      <c r="B2" s="167"/>
      <c r="C2" s="320">
        <f t="shared" ref="C2:CC2" si="0">C3+C18</f>
        <v>-7531.666666666667</v>
      </c>
      <c r="D2" s="321">
        <f t="shared" si="0"/>
        <v>-7631.666666666667</v>
      </c>
      <c r="E2" s="321">
        <f t="shared" si="0"/>
        <v>-7531.666666666667</v>
      </c>
      <c r="F2" s="321">
        <f t="shared" si="0"/>
        <v>-7531.666666666667</v>
      </c>
      <c r="G2" s="321">
        <f t="shared" si="0"/>
        <v>-7631.666666666667</v>
      </c>
      <c r="H2" s="321">
        <f t="shared" si="0"/>
        <v>-7631.666666666667</v>
      </c>
      <c r="I2" s="322">
        <f t="shared" si="0"/>
        <v>-7431.666666666667</v>
      </c>
      <c r="J2" s="183">
        <f t="shared" si="0"/>
        <v>-11535.854166666668</v>
      </c>
      <c r="K2" s="184">
        <f t="shared" si="0"/>
        <v>-11118.291666666668</v>
      </c>
      <c r="L2" s="184">
        <f t="shared" si="0"/>
        <v>-21072.260416666668</v>
      </c>
      <c r="M2" s="184">
        <f t="shared" si="0"/>
        <v>-11796.166666666668</v>
      </c>
      <c r="N2" s="184">
        <f t="shared" si="0"/>
        <v>-11896.166666666668</v>
      </c>
      <c r="O2" s="184">
        <f t="shared" si="0"/>
        <v>-11896.166666666668</v>
      </c>
      <c r="P2" s="184">
        <f t="shared" si="0"/>
        <v>-13198.541666666668</v>
      </c>
      <c r="Q2" s="184">
        <f t="shared" si="0"/>
        <v>-13298.541666666668</v>
      </c>
      <c r="R2" s="184">
        <f t="shared" si="0"/>
        <v>-38198.541666666672</v>
      </c>
      <c r="S2" s="184">
        <f t="shared" si="0"/>
        <v>-38298.541666666672</v>
      </c>
      <c r="T2" s="184">
        <f t="shared" si="0"/>
        <v>-13298.541666666668</v>
      </c>
      <c r="U2" s="185">
        <f t="shared" si="0"/>
        <v>-13298.541666666668</v>
      </c>
      <c r="V2" s="184">
        <f t="shared" si="0"/>
        <v>-14143.802500000002</v>
      </c>
      <c r="W2" s="184">
        <f t="shared" si="0"/>
        <v>-14444.291666666668</v>
      </c>
      <c r="X2" s="184">
        <f t="shared" si="0"/>
        <v>-25853.197916666668</v>
      </c>
      <c r="Y2" s="184">
        <f t="shared" si="0"/>
        <v>-14444.291666666668</v>
      </c>
      <c r="Z2" s="184">
        <f t="shared" si="0"/>
        <v>-14444.291666666668</v>
      </c>
      <c r="AA2" s="184">
        <f t="shared" si="0"/>
        <v>-14444.291666666668</v>
      </c>
      <c r="AB2" s="184">
        <f t="shared" si="0"/>
        <v>-14444.291666666668</v>
      </c>
      <c r="AC2" s="184">
        <f t="shared" si="0"/>
        <v>-14444.291666666668</v>
      </c>
      <c r="AD2" s="184">
        <f t="shared" si="0"/>
        <v>-14444.291666666668</v>
      </c>
      <c r="AE2" s="184">
        <f t="shared" si="0"/>
        <v>-14444.291666666668</v>
      </c>
      <c r="AF2" s="184">
        <f t="shared" si="0"/>
        <v>-14444.291666666668</v>
      </c>
      <c r="AG2" s="184">
        <f t="shared" si="0"/>
        <v>-14444.291666666668</v>
      </c>
      <c r="AH2" s="183">
        <f t="shared" si="0"/>
        <v>-14456.591666666667</v>
      </c>
      <c r="AI2" s="184">
        <f t="shared" si="0"/>
        <v>-14456.291666666668</v>
      </c>
      <c r="AJ2" s="184">
        <f t="shared" si="0"/>
        <v>-25865.197916666668</v>
      </c>
      <c r="AK2" s="184">
        <f t="shared" si="0"/>
        <v>-14456.291666666668</v>
      </c>
      <c r="AL2" s="184">
        <f t="shared" si="0"/>
        <v>-14456.291666666668</v>
      </c>
      <c r="AM2" s="184">
        <f t="shared" si="0"/>
        <v>-14456.291666666668</v>
      </c>
      <c r="AN2" s="184">
        <f t="shared" si="0"/>
        <v>-14456.291666666668</v>
      </c>
      <c r="AO2" s="184">
        <f t="shared" si="0"/>
        <v>-14456.291666666668</v>
      </c>
      <c r="AP2" s="184">
        <f t="shared" si="0"/>
        <v>-14456.291666666668</v>
      </c>
      <c r="AQ2" s="184">
        <f t="shared" si="0"/>
        <v>-14456.291666666668</v>
      </c>
      <c r="AR2" s="184">
        <f t="shared" si="0"/>
        <v>-14456.291666666668</v>
      </c>
      <c r="AS2" s="185">
        <f t="shared" si="0"/>
        <v>-14456.291666666668</v>
      </c>
      <c r="AT2" s="186">
        <f t="shared" si="0"/>
        <v>-16666.166250000002</v>
      </c>
      <c r="AU2" s="187">
        <f t="shared" si="0"/>
        <v>-16666.166250000002</v>
      </c>
      <c r="AV2" s="187">
        <f t="shared" si="0"/>
        <v>-30562.510000000002</v>
      </c>
      <c r="AW2" s="187">
        <f t="shared" si="0"/>
        <v>-16666.166250000002</v>
      </c>
      <c r="AX2" s="187">
        <f t="shared" si="0"/>
        <v>-16666.166250000002</v>
      </c>
      <c r="AY2" s="187">
        <f t="shared" si="0"/>
        <v>-16666.166250000002</v>
      </c>
      <c r="AZ2" s="187">
        <f t="shared" si="0"/>
        <v>-16666.166250000002</v>
      </c>
      <c r="BA2" s="187">
        <f t="shared" si="0"/>
        <v>-16666.166250000002</v>
      </c>
      <c r="BB2" s="187">
        <f t="shared" si="0"/>
        <v>-17187.009999999998</v>
      </c>
      <c r="BC2" s="187">
        <f t="shared" si="0"/>
        <v>-17707.853749999998</v>
      </c>
      <c r="BD2" s="187">
        <f t="shared" si="0"/>
        <v>-18228.697499999998</v>
      </c>
      <c r="BE2" s="188">
        <f t="shared" si="0"/>
        <v>-18228.697499999998</v>
      </c>
      <c r="BF2" s="183">
        <f t="shared" si="0"/>
        <v>-35253.539174999998</v>
      </c>
      <c r="BG2" s="184">
        <f t="shared" si="0"/>
        <v>-38762.495769460227</v>
      </c>
      <c r="BH2" s="184">
        <f t="shared" si="0"/>
        <v>-62336.205535085224</v>
      </c>
      <c r="BI2" s="184">
        <f t="shared" si="0"/>
        <v>-41963.443029166665</v>
      </c>
      <c r="BJ2" s="184">
        <f t="shared" si="0"/>
        <v>-43695.487774137931</v>
      </c>
      <c r="BK2" s="184">
        <f t="shared" si="0"/>
        <v>-44838.09713870968</v>
      </c>
      <c r="BL2" s="184">
        <f t="shared" si="0"/>
        <v>-47449.309424999999</v>
      </c>
      <c r="BM2" s="184">
        <f t="shared" si="0"/>
        <v>-48589.483448648651</v>
      </c>
      <c r="BN2" s="184">
        <f t="shared" si="0"/>
        <v>-50093.345953846147</v>
      </c>
      <c r="BO2" s="184">
        <f t="shared" si="0"/>
        <v>-50093.345953846147</v>
      </c>
      <c r="BP2" s="184">
        <f t="shared" si="0"/>
        <v>-51120.037635937493</v>
      </c>
      <c r="BQ2" s="185">
        <f t="shared" si="0"/>
        <v>-52373.405893749994</v>
      </c>
      <c r="BR2" s="183">
        <f t="shared" si="0"/>
        <v>-97493.631419423938</v>
      </c>
      <c r="BS2" s="184">
        <f t="shared" si="0"/>
        <v>-99050.748428635416</v>
      </c>
      <c r="BT2" s="184">
        <f t="shared" si="0"/>
        <v>-132195.26177520471</v>
      </c>
      <c r="BU2" s="184">
        <f t="shared" si="0"/>
        <v>-101090.12433379846</v>
      </c>
      <c r="BV2" s="184">
        <f t="shared" si="0"/>
        <v>-101090.12433379846</v>
      </c>
      <c r="BW2" s="184">
        <f t="shared" si="0"/>
        <v>-104064.61305051041</v>
      </c>
      <c r="BX2" s="184">
        <f t="shared" si="0"/>
        <v>-104875.35029793228</v>
      </c>
      <c r="BY2" s="184">
        <f t="shared" si="0"/>
        <v>-106880.16180913364</v>
      </c>
      <c r="BZ2" s="184">
        <f t="shared" si="0"/>
        <v>-107080.16180913364</v>
      </c>
      <c r="CA2" s="184">
        <f t="shared" si="0"/>
        <v>-108849.2830157803</v>
      </c>
      <c r="CB2" s="184">
        <f t="shared" si="0"/>
        <v>-108849.2830157803</v>
      </c>
      <c r="CC2" s="185">
        <f t="shared" si="0"/>
        <v>-108849.2830157803</v>
      </c>
    </row>
    <row r="3" spans="1:81" ht="14">
      <c r="A3" s="286" t="s">
        <v>83</v>
      </c>
      <c r="B3" s="323"/>
      <c r="C3" s="324">
        <f t="shared" ref="C3:CC3" si="1">SUM(C4:C15)</f>
        <v>-7531.666666666667</v>
      </c>
      <c r="D3" s="325">
        <f t="shared" si="1"/>
        <v>-7631.666666666667</v>
      </c>
      <c r="E3" s="325">
        <f t="shared" si="1"/>
        <v>-7531.666666666667</v>
      </c>
      <c r="F3" s="325">
        <f t="shared" si="1"/>
        <v>-7531.666666666667</v>
      </c>
      <c r="G3" s="325">
        <f t="shared" si="1"/>
        <v>-7631.666666666667</v>
      </c>
      <c r="H3" s="325">
        <f t="shared" si="1"/>
        <v>-7631.666666666667</v>
      </c>
      <c r="I3" s="326">
        <f t="shared" si="1"/>
        <v>-7431.666666666667</v>
      </c>
      <c r="J3" s="324">
        <f t="shared" si="1"/>
        <v>-11535.854166666668</v>
      </c>
      <c r="K3" s="325">
        <f t="shared" si="1"/>
        <v>-11118.291666666668</v>
      </c>
      <c r="L3" s="325">
        <f t="shared" si="1"/>
        <v>-21072.260416666668</v>
      </c>
      <c r="M3" s="325">
        <f t="shared" si="1"/>
        <v>-11796.166666666668</v>
      </c>
      <c r="N3" s="325">
        <f t="shared" si="1"/>
        <v>-11896.166666666668</v>
      </c>
      <c r="O3" s="325">
        <f t="shared" si="1"/>
        <v>-11896.166666666668</v>
      </c>
      <c r="P3" s="325">
        <f t="shared" si="1"/>
        <v>-13198.541666666668</v>
      </c>
      <c r="Q3" s="325">
        <f t="shared" si="1"/>
        <v>-13298.541666666668</v>
      </c>
      <c r="R3" s="325">
        <f t="shared" si="1"/>
        <v>-38198.541666666672</v>
      </c>
      <c r="S3" s="325">
        <f t="shared" si="1"/>
        <v>-13298.541666666668</v>
      </c>
      <c r="T3" s="325">
        <f t="shared" si="1"/>
        <v>-13298.541666666668</v>
      </c>
      <c r="U3" s="326">
        <f t="shared" si="1"/>
        <v>-13298.541666666668</v>
      </c>
      <c r="V3" s="324">
        <f t="shared" si="1"/>
        <v>-14143.802500000002</v>
      </c>
      <c r="W3" s="325">
        <f t="shared" si="1"/>
        <v>-14444.291666666668</v>
      </c>
      <c r="X3" s="325">
        <f t="shared" si="1"/>
        <v>-25853.197916666668</v>
      </c>
      <c r="Y3" s="325">
        <f t="shared" si="1"/>
        <v>-14444.291666666668</v>
      </c>
      <c r="Z3" s="325">
        <f t="shared" si="1"/>
        <v>-14444.291666666668</v>
      </c>
      <c r="AA3" s="325">
        <f t="shared" si="1"/>
        <v>-14444.291666666668</v>
      </c>
      <c r="AB3" s="325">
        <f t="shared" si="1"/>
        <v>-14444.291666666668</v>
      </c>
      <c r="AC3" s="325">
        <f t="shared" si="1"/>
        <v>-14444.291666666668</v>
      </c>
      <c r="AD3" s="325">
        <f t="shared" si="1"/>
        <v>-14444.291666666668</v>
      </c>
      <c r="AE3" s="325">
        <f t="shared" si="1"/>
        <v>-14444.291666666668</v>
      </c>
      <c r="AF3" s="325">
        <f t="shared" si="1"/>
        <v>-14444.291666666668</v>
      </c>
      <c r="AG3" s="326">
        <f t="shared" si="1"/>
        <v>-14444.291666666668</v>
      </c>
      <c r="AH3" s="324">
        <f t="shared" si="1"/>
        <v>-14456.591666666667</v>
      </c>
      <c r="AI3" s="325">
        <f t="shared" si="1"/>
        <v>-14456.291666666668</v>
      </c>
      <c r="AJ3" s="325">
        <f t="shared" si="1"/>
        <v>-25865.197916666668</v>
      </c>
      <c r="AK3" s="325">
        <f t="shared" si="1"/>
        <v>-14456.291666666668</v>
      </c>
      <c r="AL3" s="325">
        <f t="shared" si="1"/>
        <v>-14456.291666666668</v>
      </c>
      <c r="AM3" s="325">
        <f t="shared" si="1"/>
        <v>-14456.291666666668</v>
      </c>
      <c r="AN3" s="325">
        <f t="shared" si="1"/>
        <v>-14456.291666666668</v>
      </c>
      <c r="AO3" s="325">
        <f t="shared" si="1"/>
        <v>-14456.291666666668</v>
      </c>
      <c r="AP3" s="325">
        <f t="shared" si="1"/>
        <v>-14456.291666666668</v>
      </c>
      <c r="AQ3" s="325">
        <f t="shared" si="1"/>
        <v>-14456.291666666668</v>
      </c>
      <c r="AR3" s="325">
        <f t="shared" si="1"/>
        <v>-14456.291666666668</v>
      </c>
      <c r="AS3" s="326">
        <f t="shared" si="1"/>
        <v>-14456.291666666668</v>
      </c>
      <c r="AT3" s="324">
        <f t="shared" si="1"/>
        <v>-16666.166250000002</v>
      </c>
      <c r="AU3" s="325">
        <f t="shared" si="1"/>
        <v>-16666.166250000002</v>
      </c>
      <c r="AV3" s="325">
        <f t="shared" si="1"/>
        <v>-30562.510000000002</v>
      </c>
      <c r="AW3" s="325">
        <f t="shared" si="1"/>
        <v>-16666.166250000002</v>
      </c>
      <c r="AX3" s="325">
        <f t="shared" si="1"/>
        <v>-16666.166250000002</v>
      </c>
      <c r="AY3" s="325">
        <f t="shared" si="1"/>
        <v>-16666.166250000002</v>
      </c>
      <c r="AZ3" s="325">
        <f t="shared" si="1"/>
        <v>-16666.166250000002</v>
      </c>
      <c r="BA3" s="325">
        <f t="shared" si="1"/>
        <v>-16666.166250000002</v>
      </c>
      <c r="BB3" s="325">
        <f t="shared" si="1"/>
        <v>-17187.009999999998</v>
      </c>
      <c r="BC3" s="325">
        <f t="shared" si="1"/>
        <v>-17707.853749999998</v>
      </c>
      <c r="BD3" s="325">
        <f t="shared" si="1"/>
        <v>-18228.697499999998</v>
      </c>
      <c r="BE3" s="326">
        <f t="shared" si="1"/>
        <v>-18228.697499999998</v>
      </c>
      <c r="BF3" s="324">
        <f t="shared" si="1"/>
        <v>-12128.539175</v>
      </c>
      <c r="BG3" s="325">
        <f t="shared" si="1"/>
        <v>-15194.125393039772</v>
      </c>
      <c r="BH3" s="325">
        <f t="shared" si="1"/>
        <v>-38767.83515866477</v>
      </c>
      <c r="BI3" s="325">
        <f t="shared" si="1"/>
        <v>-18399.607820833335</v>
      </c>
      <c r="BJ3" s="325">
        <f t="shared" si="1"/>
        <v>-20131.531825862068</v>
      </c>
      <c r="BK3" s="325">
        <f t="shared" si="1"/>
        <v>-20840.234023790323</v>
      </c>
      <c r="BL3" s="325">
        <f t="shared" si="1"/>
        <v>-23454.631112499999</v>
      </c>
      <c r="BM3" s="325">
        <f t="shared" si="1"/>
        <v>-24589.621151351352</v>
      </c>
      <c r="BN3" s="325">
        <f t="shared" si="1"/>
        <v>-25995.633646153845</v>
      </c>
      <c r="BO3" s="325">
        <f t="shared" si="1"/>
        <v>-25995.633646153845</v>
      </c>
      <c r="BP3" s="325">
        <f t="shared" si="1"/>
        <v>-27022.113839062498</v>
      </c>
      <c r="BQ3" s="326">
        <f t="shared" si="1"/>
        <v>-28275.089331249997</v>
      </c>
      <c r="BR3" s="324">
        <f t="shared" si="1"/>
        <v>-62634.020824826068</v>
      </c>
      <c r="BS3" s="325">
        <f t="shared" si="1"/>
        <v>-64184.626081239585</v>
      </c>
      <c r="BT3" s="325">
        <f t="shared" si="1"/>
        <v>-97313.461892788488</v>
      </c>
      <c r="BU3" s="325">
        <f t="shared" si="1"/>
        <v>-66208.324451382243</v>
      </c>
      <c r="BV3" s="325">
        <f t="shared" si="1"/>
        <v>-66208.324451382243</v>
      </c>
      <c r="BW3" s="325">
        <f t="shared" si="1"/>
        <v>-68277.169912489582</v>
      </c>
      <c r="BX3" s="325">
        <f t="shared" si="1"/>
        <v>-69080.7309185052</v>
      </c>
      <c r="BY3" s="325">
        <f t="shared" si="1"/>
        <v>-70977.917803630495</v>
      </c>
      <c r="BZ3" s="325">
        <f t="shared" si="1"/>
        <v>-71177.917803630495</v>
      </c>
      <c r="CA3" s="325">
        <f t="shared" si="1"/>
        <v>-72046.713571083324</v>
      </c>
      <c r="CB3" s="325">
        <f t="shared" si="1"/>
        <v>-72046.713571083324</v>
      </c>
      <c r="CC3" s="326">
        <f t="shared" si="1"/>
        <v>-72046.713571083324</v>
      </c>
    </row>
    <row r="4" spans="1:81" ht="14">
      <c r="A4" s="305" t="s">
        <v>185</v>
      </c>
      <c r="B4" s="61"/>
      <c r="C4" s="307">
        <v>-900</v>
      </c>
      <c r="D4" s="308">
        <v>-900</v>
      </c>
      <c r="E4" s="308">
        <v>-900</v>
      </c>
      <c r="F4" s="308">
        <v>-900</v>
      </c>
      <c r="G4" s="308">
        <v>-900</v>
      </c>
      <c r="H4" s="308">
        <v>-900</v>
      </c>
      <c r="I4" s="327">
        <v>-900</v>
      </c>
      <c r="J4" s="129">
        <f>-('Annexe A  Plan RH'!X93*Hypothèses!$B$95+'Annexe A  Plan RH'!X95*Hypothèses!$B$97)</f>
        <v>-1920</v>
      </c>
      <c r="K4" s="130">
        <f>-('Annexe A  Plan RH'!Y93*Hypothèses!$B$95+'Annexe A  Plan RH'!Y95*Hypothèses!$B$97)</f>
        <v>-1760</v>
      </c>
      <c r="L4" s="130">
        <f>-('Annexe A  Plan RH'!Z93*Hypothèses!$B$95+'Annexe A  Plan RH'!Z95*Hypothèses!$B$97)</f>
        <v>-1920</v>
      </c>
      <c r="M4" s="130">
        <f>-('Annexe A  Plan RH'!AA93*Hypothèses!$B$95+'Annexe A  Plan RH'!AA95*Hypothèses!$B$97)</f>
        <v>-1920</v>
      </c>
      <c r="N4" s="130">
        <f>-('Annexe A  Plan RH'!AB93*Hypothèses!$B$95+'Annexe A  Plan RH'!AB95*Hypothèses!$B$97)</f>
        <v>-1920</v>
      </c>
      <c r="O4" s="130">
        <f>-('Annexe A  Plan RH'!AC93*Hypothèses!$B$95+'Annexe A  Plan RH'!AC95*Hypothèses!$B$97)</f>
        <v>-1920</v>
      </c>
      <c r="P4" s="130">
        <f>-('Annexe A  Plan RH'!AD93*Hypothèses!$B$95+'Annexe A  Plan RH'!AD95*Hypothèses!$B$97)</f>
        <v>-2400</v>
      </c>
      <c r="Q4" s="130">
        <f>-('Annexe A  Plan RH'!AE93*Hypothèses!$B$95+'Annexe A  Plan RH'!AE95*Hypothèses!$B$97)</f>
        <v>-2400</v>
      </c>
      <c r="R4" s="130">
        <f>-('Annexe A  Plan RH'!AF93*Hypothèses!$B$95+'Annexe A  Plan RH'!AF95*Hypothèses!$B$97)</f>
        <v>-2400</v>
      </c>
      <c r="S4" s="130">
        <f>-('Annexe A  Plan RH'!AG93*Hypothèses!$B$95+'Annexe A  Plan RH'!AG95*Hypothèses!$B$97)</f>
        <v>-2400</v>
      </c>
      <c r="T4" s="130">
        <f>-('Annexe A  Plan RH'!AH93*Hypothèses!$B$95+'Annexe A  Plan RH'!AH95*Hypothèses!$B$97)</f>
        <v>-2400</v>
      </c>
      <c r="U4" s="131">
        <f>-('Annexe A  Plan RH'!AI93*Hypothèses!$B$95+'Annexe A  Plan RH'!AI95*Hypothèses!$B$97)</f>
        <v>-2400</v>
      </c>
      <c r="V4" s="129">
        <f>-('Annexe A  Plan RH'!AJ93*Hypothèses!$B$95+'Annexe A  Plan RH'!AJ95*Hypothèses!$B$97)</f>
        <v>-2400</v>
      </c>
      <c r="W4" s="130">
        <f>-('Annexe A  Plan RH'!AK93*Hypothèses!$B$95+'Annexe A  Plan RH'!AK95*Hypothèses!$B$97)</f>
        <v>-2400</v>
      </c>
      <c r="X4" s="130">
        <f>-('Annexe A  Plan RH'!AL93*Hypothèses!$B$95+'Annexe A  Plan RH'!AL95*Hypothèses!$B$97)</f>
        <v>-2400</v>
      </c>
      <c r="Y4" s="130">
        <f>-('Annexe A  Plan RH'!AM93*Hypothèses!$B$95+'Annexe A  Plan RH'!AM95*Hypothèses!$B$97)</f>
        <v>-2400</v>
      </c>
      <c r="Z4" s="130">
        <f>-('Annexe A  Plan RH'!AN93*Hypothèses!$B$95+'Annexe A  Plan RH'!AN95*Hypothèses!$B$97)</f>
        <v>-2400</v>
      </c>
      <c r="AA4" s="130">
        <f>-('Annexe A  Plan RH'!AO93*Hypothèses!$B$95+'Annexe A  Plan RH'!AO95*Hypothèses!$B$97)</f>
        <v>-2400</v>
      </c>
      <c r="AB4" s="130">
        <f>-('Annexe A  Plan RH'!AP93*Hypothèses!$B$95+'Annexe A  Plan RH'!AP95*Hypothèses!$B$97)</f>
        <v>-2400</v>
      </c>
      <c r="AC4" s="130">
        <f>-('Annexe A  Plan RH'!AQ93*Hypothèses!$B$95+'Annexe A  Plan RH'!AQ95*Hypothèses!$B$97)</f>
        <v>-2400</v>
      </c>
      <c r="AD4" s="130">
        <f>-('Annexe A  Plan RH'!AR93*Hypothèses!$B$95+'Annexe A  Plan RH'!AR95*Hypothèses!$B$97)</f>
        <v>-2400</v>
      </c>
      <c r="AE4" s="130">
        <f>-('Annexe A  Plan RH'!AS93*Hypothèses!$B$95+'Annexe A  Plan RH'!AS95*Hypothèses!$B$97)</f>
        <v>-2400</v>
      </c>
      <c r="AF4" s="130">
        <f>-('Annexe A  Plan RH'!AT93*Hypothèses!$B$95+'Annexe A  Plan RH'!AT95*Hypothèses!$B$97)</f>
        <v>-2400</v>
      </c>
      <c r="AG4" s="131">
        <f>-('Annexe A  Plan RH'!AU93*Hypothèses!$B$95+'Annexe A  Plan RH'!AU95*Hypothèses!$B$97)</f>
        <v>-2400</v>
      </c>
      <c r="AH4" s="129">
        <f>-('Annexe A  Plan RH'!AV93*Hypothèses!$B$95+'Annexe A  Plan RH'!AV95*Hypothèses!$B$97)</f>
        <v>-2400</v>
      </c>
      <c r="AI4" s="130">
        <f>-('Annexe A  Plan RH'!AW93*Hypothèses!$B$95+'Annexe A  Plan RH'!AW95*Hypothèses!$B$97)</f>
        <v>-2400</v>
      </c>
      <c r="AJ4" s="130">
        <f>-('Annexe A  Plan RH'!AX93*Hypothèses!$B$95+'Annexe A  Plan RH'!AX95*Hypothèses!$B$97)</f>
        <v>-2400</v>
      </c>
      <c r="AK4" s="130">
        <f>-('Annexe A  Plan RH'!AY93*Hypothèses!$B$95+'Annexe A  Plan RH'!AY95*Hypothèses!$B$97)</f>
        <v>-2400</v>
      </c>
      <c r="AL4" s="130">
        <f>-('Annexe A  Plan RH'!AZ93*Hypothèses!$B$95+'Annexe A  Plan RH'!AZ95*Hypothèses!$B$97)</f>
        <v>-2400</v>
      </c>
      <c r="AM4" s="130">
        <f>-('Annexe A  Plan RH'!BA93*Hypothèses!$B$95+'Annexe A  Plan RH'!BA95*Hypothèses!$B$97)</f>
        <v>-2400</v>
      </c>
      <c r="AN4" s="130">
        <f>-('Annexe A  Plan RH'!BB93*Hypothèses!$B$95+'Annexe A  Plan RH'!BB95*Hypothèses!$B$97)</f>
        <v>-2400</v>
      </c>
      <c r="AO4" s="130">
        <f>-('Annexe A  Plan RH'!BC93*Hypothèses!$B$95+'Annexe A  Plan RH'!BC95*Hypothèses!$B$97)</f>
        <v>-2400</v>
      </c>
      <c r="AP4" s="130">
        <f>-('Annexe A  Plan RH'!BD93*Hypothèses!$B$95+'Annexe A  Plan RH'!BD95*Hypothèses!$B$97)</f>
        <v>-2400</v>
      </c>
      <c r="AQ4" s="130">
        <f>-('Annexe A  Plan RH'!BE93*Hypothèses!$B$95+'Annexe A  Plan RH'!BE95*Hypothèses!$B$97)</f>
        <v>-2400</v>
      </c>
      <c r="AR4" s="130">
        <f>-('Annexe A  Plan RH'!BF93*Hypothèses!$B$95+'Annexe A  Plan RH'!BF95*Hypothèses!$B$97)</f>
        <v>-2400</v>
      </c>
      <c r="AS4" s="131">
        <f>-('Annexe A  Plan RH'!BG93*Hypothèses!$B$95+'Annexe A  Plan RH'!BG95*Hypothèses!$B$97)</f>
        <v>-2400</v>
      </c>
      <c r="AT4" s="129">
        <f>-('Annexe A  Plan RH'!BH93*Hypothèses!$B$95+'Annexe A  Plan RH'!BH95*Hypothèses!$B$97)</f>
        <v>-2400</v>
      </c>
      <c r="AU4" s="130">
        <f>-('Annexe A  Plan RH'!BI93*Hypothèses!$B$95+'Annexe A  Plan RH'!BI95*Hypothèses!$B$97)</f>
        <v>-2400</v>
      </c>
      <c r="AV4" s="130">
        <f>-('Annexe A  Plan RH'!BJ93*Hypothèses!$B$95+'Annexe A  Plan RH'!BJ95*Hypothèses!$B$97)</f>
        <v>-2400</v>
      </c>
      <c r="AW4" s="130">
        <f>-('Annexe A  Plan RH'!BK93*Hypothèses!$B$95+'Annexe A  Plan RH'!BK95*Hypothèses!$B$97)</f>
        <v>-2400</v>
      </c>
      <c r="AX4" s="130">
        <f>-('Annexe A  Plan RH'!BL93*Hypothèses!$B$95+'Annexe A  Plan RH'!BL95*Hypothèses!$B$97)</f>
        <v>-2400</v>
      </c>
      <c r="AY4" s="130">
        <f>-('Annexe A  Plan RH'!BM93*Hypothèses!$B$95+'Annexe A  Plan RH'!BM95*Hypothèses!$B$97)</f>
        <v>-2400</v>
      </c>
      <c r="AZ4" s="130">
        <f>-('Annexe A  Plan RH'!BN93*Hypothèses!$B$95+'Annexe A  Plan RH'!BN95*Hypothèses!$B$97)</f>
        <v>-2400</v>
      </c>
      <c r="BA4" s="130">
        <f>-('Annexe A  Plan RH'!BO93*Hypothèses!$B$95+'Annexe A  Plan RH'!BO95*Hypothèses!$B$97)</f>
        <v>-2400</v>
      </c>
      <c r="BB4" s="130">
        <f>-('Annexe A  Plan RH'!BP93*Hypothèses!$B$95+'Annexe A  Plan RH'!BP95*Hypothèses!$B$97)</f>
        <v>-2560</v>
      </c>
      <c r="BC4" s="130">
        <f>-('Annexe A  Plan RH'!BQ93*Hypothèses!$B$95+'Annexe A  Plan RH'!BQ95*Hypothèses!$B$97)</f>
        <v>-2720</v>
      </c>
      <c r="BD4" s="130">
        <f>-('Annexe A  Plan RH'!BR93*Hypothèses!$B$95+'Annexe A  Plan RH'!BR95*Hypothèses!$B$97)</f>
        <v>-2880</v>
      </c>
      <c r="BE4" s="131">
        <f>-('Annexe A  Plan RH'!BS93*Hypothèses!$B$95+'Annexe A  Plan RH'!BS95*Hypothèses!$B$97)</f>
        <v>-2880</v>
      </c>
      <c r="BF4" s="129">
        <f>-('Annexe A  Plan RH'!BT93*Hypothèses!$B$95+'Annexe A  Plan RH'!BT95*Hypothèses!$B$97)</f>
        <v>-2880</v>
      </c>
      <c r="BG4" s="130">
        <f>-('Annexe A  Plan RH'!BU93*Hypothèses!$B$95+'Annexe A  Plan RH'!BU95*Hypothèses!$B$97)</f>
        <v>-3360</v>
      </c>
      <c r="BH4" s="130">
        <f>-('Annexe A  Plan RH'!BV93*Hypothèses!$B$95+'Annexe A  Plan RH'!BV95*Hypothèses!$B$97)</f>
        <v>-3360</v>
      </c>
      <c r="BI4" s="130">
        <f>-('Annexe A  Plan RH'!BW93*Hypothèses!$B$95+'Annexe A  Plan RH'!BW95*Hypothèses!$B$97)</f>
        <v>-4160</v>
      </c>
      <c r="BJ4" s="130">
        <f>-('Annexe A  Plan RH'!BX93*Hypothèses!$B$95+'Annexe A  Plan RH'!BX95*Hypothèses!$B$97)</f>
        <v>-4480</v>
      </c>
      <c r="BK4" s="130">
        <f>-('Annexe A  Plan RH'!BY93*Hypothèses!$B$95+'Annexe A  Plan RH'!BY95*Hypothèses!$B$97)</f>
        <v>-4640</v>
      </c>
      <c r="BL4" s="130">
        <f>-('Annexe A  Plan RH'!BZ93*Hypothèses!$B$95+'Annexe A  Plan RH'!BZ95*Hypothèses!$B$97)</f>
        <v>-5280</v>
      </c>
      <c r="BM4" s="130">
        <f>-('Annexe A  Plan RH'!CA93*Hypothèses!$B$95+'Annexe A  Plan RH'!CA95*Hypothèses!$B$97)</f>
        <v>-5600</v>
      </c>
      <c r="BN4" s="130">
        <f>-('Annexe A  Plan RH'!CB93*Hypothèses!$B$95+'Annexe A  Plan RH'!CB95*Hypothèses!$B$97)</f>
        <v>-5920</v>
      </c>
      <c r="BO4" s="130">
        <f>-('Annexe A  Plan RH'!CC93*Hypothèses!$B$95+'Annexe A  Plan RH'!CC95*Hypothèses!$B$97)</f>
        <v>-5920</v>
      </c>
      <c r="BP4" s="130">
        <f>-('Annexe A  Plan RH'!CD93*Hypothèses!$B$95+'Annexe A  Plan RH'!CD95*Hypothèses!$B$97)</f>
        <v>-6080</v>
      </c>
      <c r="BQ4" s="131">
        <f>-('Annexe A  Plan RH'!CE93*Hypothèses!$B$95+'Annexe A  Plan RH'!CE95*Hypothèses!$B$97)</f>
        <v>-6400</v>
      </c>
      <c r="BR4" s="129">
        <f>-('Annexe A  Plan RH'!CF93*Hypothèses!$B$95+'Annexe A  Plan RH'!CF95*Hypothèses!$B$97)</f>
        <v>-6400</v>
      </c>
      <c r="BS4" s="130">
        <f>-('Annexe A  Plan RH'!CG93*Hypothèses!$B$95+'Annexe A  Plan RH'!CG95*Hypothèses!$B$97)</f>
        <v>-6720</v>
      </c>
      <c r="BT4" s="130">
        <f>-('Annexe A  Plan RH'!CH93*Hypothèses!$B$95+'Annexe A  Plan RH'!CH95*Hypothèses!$B$97)</f>
        <v>-6920</v>
      </c>
      <c r="BU4" s="130">
        <f>-('Annexe A  Plan RH'!CI93*Hypothèses!$B$95+'Annexe A  Plan RH'!CI95*Hypothèses!$B$97)</f>
        <v>-6920</v>
      </c>
      <c r="BV4" s="130">
        <f>-('Annexe A  Plan RH'!CJ93*Hypothèses!$B$95+'Annexe A  Plan RH'!CJ95*Hypothèses!$B$97)</f>
        <v>-6920</v>
      </c>
      <c r="BW4" s="130">
        <f>-('Annexe A  Plan RH'!CK93*Hypothèses!$B$95+'Annexe A  Plan RH'!CK95*Hypothèses!$B$97)</f>
        <v>-7120</v>
      </c>
      <c r="BX4" s="130">
        <f>-('Annexe A  Plan RH'!CL93*Hypothèses!$B$95+'Annexe A  Plan RH'!CL95*Hypothèses!$B$97)</f>
        <v>-7280</v>
      </c>
      <c r="BY4" s="130">
        <f>-('Annexe A  Plan RH'!CM93*Hypothèses!$B$95+'Annexe A  Plan RH'!CM95*Hypothèses!$B$97)</f>
        <v>-7840</v>
      </c>
      <c r="BZ4" s="130">
        <f>-('Annexe A  Plan RH'!CN93*Hypothèses!$B$95+'Annexe A  Plan RH'!CN95*Hypothèses!$B$97)</f>
        <v>-7840</v>
      </c>
      <c r="CA4" s="130">
        <f>-('Annexe A  Plan RH'!CO93*Hypothèses!$B$95+'Annexe A  Plan RH'!CO95*Hypothèses!$B$97)</f>
        <v>-7840</v>
      </c>
      <c r="CB4" s="130">
        <f>-('Annexe A  Plan RH'!CP93*Hypothèses!$B$95+'Annexe A  Plan RH'!CP95*Hypothèses!$B$97)</f>
        <v>-7840</v>
      </c>
      <c r="CC4" s="131">
        <f>-('Annexe A  Plan RH'!CQ93*Hypothèses!$B$95+'Annexe A  Plan RH'!CQ95*Hypothèses!$B$97)</f>
        <v>-7840</v>
      </c>
    </row>
    <row r="5" spans="1:81" ht="14">
      <c r="A5" s="305" t="s">
        <v>186</v>
      </c>
      <c r="B5" s="306"/>
      <c r="C5" s="307">
        <v>-700</v>
      </c>
      <c r="D5" s="308">
        <v>-700</v>
      </c>
      <c r="E5" s="308">
        <v>-700</v>
      </c>
      <c r="F5" s="308">
        <v>-700</v>
      </c>
      <c r="G5" s="308">
        <v>-700</v>
      </c>
      <c r="H5" s="308">
        <v>-700</v>
      </c>
      <c r="I5" s="327">
        <v>-700</v>
      </c>
      <c r="J5" s="328">
        <f>1%*'Couts RH'!J5*'Annexe A  Plan RH'!X93/'Annexe A  Plan RH'!X$92</f>
        <v>-538.34375</v>
      </c>
      <c r="K5" s="328">
        <f>1%*'Couts RH'!K5*'Annexe A  Plan RH'!Y93/'Annexe A  Plan RH'!Y$92</f>
        <v>-521.9375</v>
      </c>
      <c r="L5" s="328">
        <f>1%*'Couts RH'!L5*'Annexe A  Plan RH'!Z93/'Annexe A  Plan RH'!Z$92</f>
        <v>-576.625</v>
      </c>
      <c r="M5" s="328">
        <f>1%*'Couts RH'!M5*'Annexe A  Plan RH'!AA93/'Annexe A  Plan RH'!AA$92</f>
        <v>-576.625</v>
      </c>
      <c r="N5" s="328">
        <f>1%*'Couts RH'!N5*'Annexe A  Plan RH'!AB93/'Annexe A  Plan RH'!AB$92</f>
        <v>-576.625</v>
      </c>
      <c r="O5" s="328">
        <f>1%*'Couts RH'!O5*'Annexe A  Plan RH'!AC93/'Annexe A  Plan RH'!AC$92</f>
        <v>-576.625</v>
      </c>
      <c r="P5" s="328">
        <f>1%*'Couts RH'!P5*'Annexe A  Plan RH'!AD93/'Annexe A  Plan RH'!AD$92</f>
        <v>-718.8125</v>
      </c>
      <c r="Q5" s="328">
        <f>1%*'Couts RH'!Q5*'Annexe A  Plan RH'!AE93/'Annexe A  Plan RH'!AE$92</f>
        <v>-718.8125</v>
      </c>
      <c r="R5" s="328">
        <f>1%*'Couts RH'!R5*'Annexe A  Plan RH'!AF93/'Annexe A  Plan RH'!AF$92</f>
        <v>-718.8125</v>
      </c>
      <c r="S5" s="328">
        <f>1%*'Couts RH'!S5*'Annexe A  Plan RH'!AG93/'Annexe A  Plan RH'!AG$92</f>
        <v>-718.8125</v>
      </c>
      <c r="T5" s="328">
        <f>1%*'Couts RH'!T5*'Annexe A  Plan RH'!AH93/'Annexe A  Plan RH'!AH$92</f>
        <v>-718.8125</v>
      </c>
      <c r="U5" s="328">
        <f>1%*'Couts RH'!U5*'Annexe A  Plan RH'!AI93/'Annexe A  Plan RH'!AI$92</f>
        <v>-718.8125</v>
      </c>
      <c r="V5" s="329">
        <f>1%*'Couts RH'!V5*'Annexe A  Plan RH'!AJ93/'Annexe A  Plan RH'!AJ$92</f>
        <v>-718.8125</v>
      </c>
      <c r="W5" s="328">
        <f>1%*'Couts RH'!W5*'Annexe A  Plan RH'!AK93/'Annexe A  Plan RH'!AK$92</f>
        <v>-718.8125</v>
      </c>
      <c r="X5" s="328">
        <f>1%*'Couts RH'!X5*'Annexe A  Plan RH'!AL93/'Annexe A  Plan RH'!AL$92</f>
        <v>-718.8125</v>
      </c>
      <c r="Y5" s="328">
        <f>1%*'Couts RH'!Y5*'Annexe A  Plan RH'!AM93/'Annexe A  Plan RH'!AM$92</f>
        <v>-718.8125</v>
      </c>
      <c r="Z5" s="328">
        <f>1%*'Couts RH'!Z5*'Annexe A  Plan RH'!AN93/'Annexe A  Plan RH'!AN$92</f>
        <v>-718.8125</v>
      </c>
      <c r="AA5" s="328">
        <f>1%*'Couts RH'!AA5*'Annexe A  Plan RH'!AO93/'Annexe A  Plan RH'!AO$92</f>
        <v>-718.8125</v>
      </c>
      <c r="AB5" s="328">
        <f>1%*'Couts RH'!AB5*'Annexe A  Plan RH'!AP93/'Annexe A  Plan RH'!AP$92</f>
        <v>-718.8125</v>
      </c>
      <c r="AC5" s="328">
        <f>1%*'Couts RH'!AC5*'Annexe A  Plan RH'!AQ93/'Annexe A  Plan RH'!AQ$92</f>
        <v>-718.8125</v>
      </c>
      <c r="AD5" s="328">
        <f>1%*'Couts RH'!AD5*'Annexe A  Plan RH'!AR93/'Annexe A  Plan RH'!AR$92</f>
        <v>-718.8125</v>
      </c>
      <c r="AE5" s="328">
        <f>1%*'Couts RH'!AE5*'Annexe A  Plan RH'!AS93/'Annexe A  Plan RH'!AS$92</f>
        <v>-718.8125</v>
      </c>
      <c r="AF5" s="328">
        <f>1%*'Couts RH'!AF5*'Annexe A  Plan RH'!AT93/'Annexe A  Plan RH'!AT$92</f>
        <v>-718.8125</v>
      </c>
      <c r="AG5" s="328">
        <f>1%*'Couts RH'!AG5*'Annexe A  Plan RH'!AU93/'Annexe A  Plan RH'!AU$92</f>
        <v>-718.8125</v>
      </c>
      <c r="AH5" s="329">
        <f>1%*'Couts RH'!AH5*'Annexe A  Plan RH'!AV93/'Annexe A  Plan RH'!AV$92</f>
        <v>-718.8125</v>
      </c>
      <c r="AI5" s="328">
        <f>1%*'Couts RH'!AI5*'Annexe A  Plan RH'!AW93/'Annexe A  Plan RH'!AW$92</f>
        <v>-718.8125</v>
      </c>
      <c r="AJ5" s="328">
        <f>1%*'Couts RH'!AJ5*'Annexe A  Plan RH'!AX93/'Annexe A  Plan RH'!AX$92</f>
        <v>-718.8125</v>
      </c>
      <c r="AK5" s="328">
        <f>1%*'Couts RH'!AK5*'Annexe A  Plan RH'!AY93/'Annexe A  Plan RH'!AY$92</f>
        <v>-718.8125</v>
      </c>
      <c r="AL5" s="328">
        <f>1%*'Couts RH'!AL5*'Annexe A  Plan RH'!AZ93/'Annexe A  Plan RH'!AZ$92</f>
        <v>-718.8125</v>
      </c>
      <c r="AM5" s="328">
        <f>1%*'Couts RH'!AM5*'Annexe A  Plan RH'!BA93/'Annexe A  Plan RH'!BA$92</f>
        <v>-718.8125</v>
      </c>
      <c r="AN5" s="328">
        <f>1%*'Couts RH'!AN5*'Annexe A  Plan RH'!BB93/'Annexe A  Plan RH'!BB$92</f>
        <v>-718.8125</v>
      </c>
      <c r="AO5" s="328">
        <f>1%*'Couts RH'!AO5*'Annexe A  Plan RH'!BC93/'Annexe A  Plan RH'!BC$92</f>
        <v>-718.8125</v>
      </c>
      <c r="AP5" s="328">
        <f>1%*'Couts RH'!AP5*'Annexe A  Plan RH'!BD93/'Annexe A  Plan RH'!BD$92</f>
        <v>-718.8125</v>
      </c>
      <c r="AQ5" s="328">
        <f>1%*'Couts RH'!AQ5*'Annexe A  Plan RH'!BE93/'Annexe A  Plan RH'!BE$92</f>
        <v>-718.8125</v>
      </c>
      <c r="AR5" s="328">
        <f>1%*'Couts RH'!AR5*'Annexe A  Plan RH'!BF93/'Annexe A  Plan RH'!BF$92</f>
        <v>-718.8125</v>
      </c>
      <c r="AS5" s="328">
        <f>1%*'Couts RH'!AS5*'Annexe A  Plan RH'!BG93/'Annexe A  Plan RH'!BG$92</f>
        <v>-718.8125</v>
      </c>
      <c r="AT5" s="329">
        <f>1%*'Couts RH'!AT5*'Annexe A  Plan RH'!BH93/'Annexe A  Plan RH'!BH$92</f>
        <v>-754.75312500000007</v>
      </c>
      <c r="AU5" s="328">
        <f>1%*'Couts RH'!AU5*'Annexe A  Plan RH'!BI93/'Annexe A  Plan RH'!BI$92</f>
        <v>-754.75312500000007</v>
      </c>
      <c r="AV5" s="328">
        <f>1%*'Couts RH'!AV5*'Annexe A  Plan RH'!BJ93/'Annexe A  Plan RH'!BJ$92</f>
        <v>-754.75312500000007</v>
      </c>
      <c r="AW5" s="328">
        <f>1%*'Couts RH'!AW5*'Annexe A  Plan RH'!BK93/'Annexe A  Plan RH'!BK$92</f>
        <v>-754.75312500000007</v>
      </c>
      <c r="AX5" s="328">
        <f>1%*'Couts RH'!AX5*'Annexe A  Plan RH'!BL93/'Annexe A  Plan RH'!BL$92</f>
        <v>-754.75312500000007</v>
      </c>
      <c r="AY5" s="328">
        <f>1%*'Couts RH'!AY5*'Annexe A  Plan RH'!BM93/'Annexe A  Plan RH'!BM$92</f>
        <v>-754.75312500000007</v>
      </c>
      <c r="AZ5" s="328">
        <f>1%*'Couts RH'!AZ5*'Annexe A  Plan RH'!BN93/'Annexe A  Plan RH'!BN$92</f>
        <v>-754.75312500000007</v>
      </c>
      <c r="BA5" s="328">
        <f>1%*'Couts RH'!BA5*'Annexe A  Plan RH'!BO93/'Annexe A  Plan RH'!BO$92</f>
        <v>-754.75312500000007</v>
      </c>
      <c r="BB5" s="328">
        <f>1%*'Couts RH'!BB5*'Annexe A  Plan RH'!BP93/'Annexe A  Plan RH'!BP$92</f>
        <v>-812.17500000000007</v>
      </c>
      <c r="BC5" s="328">
        <f>1%*'Couts RH'!BC5*'Annexe A  Plan RH'!BQ93/'Annexe A  Plan RH'!BQ$92</f>
        <v>-869.59687500000007</v>
      </c>
      <c r="BD5" s="328">
        <f>1%*'Couts RH'!BD5*'Annexe A  Plan RH'!BR93/'Annexe A  Plan RH'!BR$92</f>
        <v>-927.01875000000007</v>
      </c>
      <c r="BE5" s="328">
        <f>1%*'Couts RH'!BE5*'Annexe A  Plan RH'!BS93/'Annexe A  Plan RH'!BS$92</f>
        <v>-927.01875000000007</v>
      </c>
      <c r="BF5" s="329">
        <f>1%*'Couts RH'!BF5*'Annexe A  Plan RH'!BT93/'Annexe A  Plan RH'!BT$92</f>
        <v>-973.36968750000005</v>
      </c>
      <c r="BG5" s="328">
        <f>1%*'Couts RH'!BG5*'Annexe A  Plan RH'!BU93/'Annexe A  Plan RH'!BU$92</f>
        <v>-1295.3889524147728</v>
      </c>
      <c r="BH5" s="328">
        <f>1%*'Couts RH'!BH5*'Annexe A  Plan RH'!BV93/'Annexe A  Plan RH'!BV$92</f>
        <v>-1295.3889524147728</v>
      </c>
      <c r="BI5" s="328">
        <f>1%*'Couts RH'!BI5*'Annexe A  Plan RH'!BW93/'Annexe A  Plan RH'!BW$92</f>
        <v>-1544.8577083333334</v>
      </c>
      <c r="BJ5" s="328">
        <f>1%*'Couts RH'!BJ5*'Annexe A  Plan RH'!BX93/'Annexe A  Plan RH'!BX$92</f>
        <v>-1665.3832758620688</v>
      </c>
      <c r="BK5" s="328">
        <f>1%*'Couts RH'!BK5*'Annexe A  Plan RH'!BY93/'Annexe A  Plan RH'!BY$92</f>
        <v>-1688.2575831653226</v>
      </c>
      <c r="BL5" s="328">
        <f>1%*'Couts RH'!BL5*'Annexe A  Plan RH'!BZ93/'Annexe A  Plan RH'!BZ$92</f>
        <v>-1894.8460781249998</v>
      </c>
      <c r="BM5" s="328">
        <f>1%*'Couts RH'!BM5*'Annexe A  Plan RH'!CA93/'Annexe A  Plan RH'!CA$92</f>
        <v>-2055.0451013513516</v>
      </c>
      <c r="BN5" s="328">
        <f>1%*'Couts RH'!BN5*'Annexe A  Plan RH'!CB93/'Annexe A  Plan RH'!CB$92</f>
        <v>-2152.5888461538466</v>
      </c>
      <c r="BO5" s="328">
        <f>1%*'Couts RH'!BO5*'Annexe A  Plan RH'!CC93/'Annexe A  Plan RH'!CC$92</f>
        <v>-2152.5888461538466</v>
      </c>
      <c r="BP5" s="328">
        <f>1%*'Couts RH'!BP5*'Annexe A  Plan RH'!CD93/'Annexe A  Plan RH'!CD$92</f>
        <v>-2212.7760703125</v>
      </c>
      <c r="BQ5" s="328">
        <f>1%*'Couts RH'!BQ5*'Annexe A  Plan RH'!CE93/'Annexe A  Plan RH'!CE$92</f>
        <v>-2333.1656250000001</v>
      </c>
      <c r="BR5" s="329">
        <f>1%*'Couts RH'!BR5*'Annexe A  Plan RH'!CF93/'Annexe A  Plan RH'!CF$92</f>
        <v>-2441.8484084302327</v>
      </c>
      <c r="BS5" s="328">
        <f>1%*'Couts RH'!BS5*'Annexe A  Plan RH'!CG93/'Annexe A  Plan RH'!CG$92</f>
        <v>-2609.5230984375003</v>
      </c>
      <c r="BT5" s="328">
        <f>1%*'Couts RH'!BT5*'Annexe A  Plan RH'!CH93/'Annexe A  Plan RH'!CH$92</f>
        <v>-2719.2658435801632</v>
      </c>
      <c r="BU5" s="328">
        <f>1%*'Couts RH'!BU5*'Annexe A  Plan RH'!CI93/'Annexe A  Plan RH'!CI$92</f>
        <v>-2719.2658435801632</v>
      </c>
      <c r="BV5" s="328">
        <f>1%*'Couts RH'!BV5*'Annexe A  Plan RH'!CJ93/'Annexe A  Plan RH'!CJ$92</f>
        <v>-2719.2658435801632</v>
      </c>
      <c r="BW5" s="328">
        <f>1%*'Couts RH'!BW5*'Annexe A  Plan RH'!CK93/'Annexe A  Plan RH'!CK$92</f>
        <v>-2747.2611796874999</v>
      </c>
      <c r="BX5" s="328">
        <f>1%*'Couts RH'!BX5*'Annexe A  Plan RH'!CL93/'Annexe A  Plan RH'!CL$92</f>
        <v>-2843.5299982031256</v>
      </c>
      <c r="BY5" s="328">
        <f>1%*'Couts RH'!BY5*'Annexe A  Plan RH'!CM93/'Annexe A  Plan RH'!CM$92</f>
        <v>-2943.2069575471696</v>
      </c>
      <c r="BZ5" s="328">
        <f>1%*'Couts RH'!BZ5*'Annexe A  Plan RH'!CN93/'Annexe A  Plan RH'!CN$92</f>
        <v>-2943.2069575471696</v>
      </c>
      <c r="CA5" s="328">
        <f>1%*'Couts RH'!CA5*'Annexe A  Plan RH'!CO93/'Annexe A  Plan RH'!CO$92</f>
        <v>-2920.4563499999999</v>
      </c>
      <c r="CB5" s="328">
        <f>1%*'Couts RH'!CB5*'Annexe A  Plan RH'!CP93/'Annexe A  Plan RH'!CP$92</f>
        <v>-2920.4563499999999</v>
      </c>
      <c r="CC5" s="328">
        <f>1%*'Couts RH'!CC5*'Annexe A  Plan RH'!CQ93/'Annexe A  Plan RH'!CQ$92</f>
        <v>-2920.4563499999999</v>
      </c>
    </row>
    <row r="6" spans="1:81" ht="14">
      <c r="A6" s="194" t="s">
        <v>187</v>
      </c>
      <c r="B6" s="61"/>
      <c r="C6" s="307">
        <v>-200</v>
      </c>
      <c r="D6" s="308">
        <v>-200</v>
      </c>
      <c r="E6" s="308">
        <v>-200</v>
      </c>
      <c r="F6" s="308">
        <v>-200</v>
      </c>
      <c r="G6" s="308">
        <v>-200</v>
      </c>
      <c r="H6" s="308">
        <v>-200</v>
      </c>
      <c r="I6" s="327">
        <v>-200</v>
      </c>
      <c r="J6" s="328">
        <f>0.5%*'Couts RH'!J5</f>
        <v>-269.171875</v>
      </c>
      <c r="K6" s="328">
        <f>0.5%*'Couts RH'!K5</f>
        <v>-260.96875</v>
      </c>
      <c r="L6" s="328">
        <f>0.5%*'Couts RH'!L5</f>
        <v>-288.3125</v>
      </c>
      <c r="M6" s="328">
        <f>0.5%*'Couts RH'!M5</f>
        <v>-288.3125</v>
      </c>
      <c r="N6" s="328">
        <f>0.5%*'Couts RH'!N5</f>
        <v>-288.3125</v>
      </c>
      <c r="O6" s="328">
        <f>0.5%*'Couts RH'!O5</f>
        <v>-288.3125</v>
      </c>
      <c r="P6" s="328">
        <f>0.5%*'Couts RH'!P5</f>
        <v>-359.40625</v>
      </c>
      <c r="Q6" s="328">
        <f>0.5%*'Couts RH'!Q5</f>
        <v>-359.40625</v>
      </c>
      <c r="R6" s="328">
        <f>0.5%*'Couts RH'!R5</f>
        <v>-359.40625</v>
      </c>
      <c r="S6" s="328">
        <f>0.5%*'Couts RH'!S5</f>
        <v>-359.40625</v>
      </c>
      <c r="T6" s="328">
        <f>0.5%*'Couts RH'!T5</f>
        <v>-359.40625</v>
      </c>
      <c r="U6" s="328">
        <f>0.5%*'Couts RH'!U5</f>
        <v>-359.40625</v>
      </c>
      <c r="V6" s="329">
        <f>0.5%*'Couts RH'!V5</f>
        <v>-359.40625</v>
      </c>
      <c r="W6" s="328">
        <f>0.5%*'Couts RH'!W5</f>
        <v>-359.40625</v>
      </c>
      <c r="X6" s="328">
        <f>0.5%*'Couts RH'!X5</f>
        <v>-359.40625</v>
      </c>
      <c r="Y6" s="328">
        <f>0.5%*'Couts RH'!Y5</f>
        <v>-359.40625</v>
      </c>
      <c r="Z6" s="328">
        <f>0.5%*'Couts RH'!Z5</f>
        <v>-359.40625</v>
      </c>
      <c r="AA6" s="328">
        <f>0.5%*'Couts RH'!AA5</f>
        <v>-359.40625</v>
      </c>
      <c r="AB6" s="328">
        <f>0.5%*'Couts RH'!AB5</f>
        <v>-359.40625</v>
      </c>
      <c r="AC6" s="328">
        <f>0.5%*'Couts RH'!AC5</f>
        <v>-359.40625</v>
      </c>
      <c r="AD6" s="328">
        <f>0.5%*'Couts RH'!AD5</f>
        <v>-359.40625</v>
      </c>
      <c r="AE6" s="328">
        <f>0.5%*'Couts RH'!AE5</f>
        <v>-359.40625</v>
      </c>
      <c r="AF6" s="328">
        <f>0.5%*'Couts RH'!AF5</f>
        <v>-359.40625</v>
      </c>
      <c r="AG6" s="330">
        <f>0.5%*'Couts RH'!AG5</f>
        <v>-359.40625</v>
      </c>
      <c r="AH6" s="329">
        <f>0.5%*'Couts RH'!AH5</f>
        <v>-359.40625</v>
      </c>
      <c r="AI6" s="328">
        <f>0.5%*'Couts RH'!AI5</f>
        <v>-359.40625</v>
      </c>
      <c r="AJ6" s="328">
        <f>0.5%*'Couts RH'!AJ5</f>
        <v>-359.40625</v>
      </c>
      <c r="AK6" s="328">
        <f>0.5%*'Couts RH'!AK5</f>
        <v>-359.40625</v>
      </c>
      <c r="AL6" s="328">
        <f>0.5%*'Couts RH'!AL5</f>
        <v>-359.40625</v>
      </c>
      <c r="AM6" s="328">
        <f>0.5%*'Couts RH'!AM5</f>
        <v>-359.40625</v>
      </c>
      <c r="AN6" s="328">
        <f>0.5%*'Couts RH'!AN5</f>
        <v>-359.40625</v>
      </c>
      <c r="AO6" s="328">
        <f>0.5%*'Couts RH'!AO5</f>
        <v>-359.40625</v>
      </c>
      <c r="AP6" s="328">
        <f>0.5%*'Couts RH'!AP5</f>
        <v>-359.40625</v>
      </c>
      <c r="AQ6" s="328">
        <f>0.5%*'Couts RH'!AQ5</f>
        <v>-359.40625</v>
      </c>
      <c r="AR6" s="328">
        <f>0.5%*'Couts RH'!AR5</f>
        <v>-359.40625</v>
      </c>
      <c r="AS6" s="330">
        <f>0.5%*'Couts RH'!AS5</f>
        <v>-359.40625</v>
      </c>
      <c r="AT6" s="329">
        <f>0.5%*'Couts RH'!AT5</f>
        <v>-377.37656250000003</v>
      </c>
      <c r="AU6" s="328">
        <f>0.5%*'Couts RH'!AU5</f>
        <v>-377.37656250000003</v>
      </c>
      <c r="AV6" s="328">
        <f>0.5%*'Couts RH'!AV5</f>
        <v>-377.37656250000003</v>
      </c>
      <c r="AW6" s="328">
        <f>0.5%*'Couts RH'!AW5</f>
        <v>-377.37656250000003</v>
      </c>
      <c r="AX6" s="328">
        <f>0.5%*'Couts RH'!AX5</f>
        <v>-377.37656250000003</v>
      </c>
      <c r="AY6" s="328">
        <f>0.5%*'Couts RH'!AY5</f>
        <v>-377.37656250000003</v>
      </c>
      <c r="AZ6" s="328">
        <f>0.5%*'Couts RH'!AZ5</f>
        <v>-377.37656250000003</v>
      </c>
      <c r="BA6" s="328">
        <f>0.5%*'Couts RH'!BA5</f>
        <v>-377.37656250000003</v>
      </c>
      <c r="BB6" s="328">
        <f>0.5%*'Couts RH'!BB5</f>
        <v>-406.08750000000003</v>
      </c>
      <c r="BC6" s="328">
        <f>0.5%*'Couts RH'!BC5</f>
        <v>-434.79843750000003</v>
      </c>
      <c r="BD6" s="328">
        <f>0.5%*'Couts RH'!BD5</f>
        <v>-463.50937500000003</v>
      </c>
      <c r="BE6" s="330">
        <f>0.5%*'Couts RH'!BE5</f>
        <v>-463.50937500000003</v>
      </c>
      <c r="BF6" s="329">
        <f>0.5%*'Couts RH'!BF5</f>
        <v>-486.68484375000003</v>
      </c>
      <c r="BG6" s="328">
        <f>0.5%*'Couts RH'!BG5</f>
        <v>-678.53707031249996</v>
      </c>
      <c r="BH6" s="328">
        <f>0.5%*'Couts RH'!BH5</f>
        <v>-678.53707031249996</v>
      </c>
      <c r="BI6" s="328">
        <f>0.5%*'Couts RH'!BI5</f>
        <v>-802.13765624999996</v>
      </c>
      <c r="BJ6" s="328">
        <f>0.5%*'Couts RH'!BJ5</f>
        <v>-862.43062499999996</v>
      </c>
      <c r="BK6" s="328">
        <f>0.5%*'Couts RH'!BK5</f>
        <v>-902.34457031249997</v>
      </c>
      <c r="BL6" s="328">
        <f>0.5%*'Couts RH'!BL5</f>
        <v>-1004.8426171875</v>
      </c>
      <c r="BM6" s="328">
        <f>0.5%*'Couts RH'!BM5</f>
        <v>-1086.2381250000001</v>
      </c>
      <c r="BN6" s="328">
        <f>0.5%*'Couts RH'!BN5</f>
        <v>-1134.4725000000001</v>
      </c>
      <c r="BO6" s="328">
        <f>0.5%*'Couts RH'!BO5</f>
        <v>-1134.4725000000001</v>
      </c>
      <c r="BP6" s="328">
        <f>0.5%*'Couts RH'!BP5</f>
        <v>-1164.6189843750001</v>
      </c>
      <c r="BQ6" s="330">
        <f>0.5%*'Couts RH'!BQ5</f>
        <v>-1224.9119531250001</v>
      </c>
      <c r="BR6" s="329">
        <f>0.5%*'Couts RH'!BR5</f>
        <v>-1312.4935195312501</v>
      </c>
      <c r="BS6" s="328">
        <f>0.5%*'Couts RH'!BS5</f>
        <v>-1397.958802734375</v>
      </c>
      <c r="BT6" s="328">
        <f>0.5%*'Couts RH'!BT5</f>
        <v>-1489.1217714843751</v>
      </c>
      <c r="BU6" s="328">
        <f>0.5%*'Couts RH'!BU5</f>
        <v>-1489.1217714843751</v>
      </c>
      <c r="BV6" s="328">
        <f>0.5%*'Couts RH'!BV5</f>
        <v>-1489.1217714843751</v>
      </c>
      <c r="BW6" s="328">
        <f>0.5%*'Couts RH'!BW5</f>
        <v>-1602.5690214843751</v>
      </c>
      <c r="BX6" s="328">
        <f>0.5%*'Couts RH'!BX5</f>
        <v>-1653.2151152343752</v>
      </c>
      <c r="BY6" s="328">
        <f>0.5%*'Couts RH'!BY5</f>
        <v>-1772.61328125</v>
      </c>
      <c r="BZ6" s="328">
        <f>0.5%*'Couts RH'!BZ5</f>
        <v>-1772.61328125</v>
      </c>
      <c r="CA6" s="328">
        <f>0.5%*'Couts RH'!CA5</f>
        <v>-1825.28521875</v>
      </c>
      <c r="CB6" s="328">
        <f>0.5%*'Couts RH'!CB5</f>
        <v>-1825.28521875</v>
      </c>
      <c r="CC6" s="330">
        <f>0.5%*'Couts RH'!CC5</f>
        <v>-1825.28521875</v>
      </c>
    </row>
    <row r="7" spans="1:81" ht="14">
      <c r="A7" s="194" t="s">
        <v>188</v>
      </c>
      <c r="B7" s="61"/>
      <c r="C7" s="307">
        <v>-600</v>
      </c>
      <c r="D7" s="308">
        <v>-600</v>
      </c>
      <c r="E7" s="308">
        <v>-600</v>
      </c>
      <c r="F7" s="308">
        <v>-600</v>
      </c>
      <c r="G7" s="308">
        <v>-600</v>
      </c>
      <c r="H7" s="308">
        <v>-600</v>
      </c>
      <c r="I7" s="327">
        <v>-600</v>
      </c>
      <c r="J7" s="129">
        <f>-'Annexe A  Plan RH'!Q92*Hypothèses!$B$98</f>
        <v>-1200</v>
      </c>
      <c r="K7" s="130">
        <f>-'Annexe A  Plan RH'!R92*Hypothèses!$B$98</f>
        <v>-1300</v>
      </c>
      <c r="L7" s="130">
        <f>-'Annexe A  Plan RH'!S92*Hypothèses!$B$98</f>
        <v>-1200</v>
      </c>
      <c r="M7" s="130">
        <f>-'Annexe A  Plan RH'!T92*Hypothèses!$B$98</f>
        <v>-1200</v>
      </c>
      <c r="N7" s="130">
        <f>-'Annexe A  Plan RH'!U92*Hypothèses!$B$98</f>
        <v>-1300</v>
      </c>
      <c r="O7" s="130">
        <f>-'Annexe A  Plan RH'!V92*Hypothèses!$B$98</f>
        <v>-1300</v>
      </c>
      <c r="P7" s="130">
        <f>-'Annexe A  Plan RH'!W92*Hypothèses!$B$98</f>
        <v>-1100</v>
      </c>
      <c r="Q7" s="130">
        <f>-'Annexe A  Plan RH'!X92*Hypothèses!$B$98</f>
        <v>-1200</v>
      </c>
      <c r="R7" s="130">
        <f>-'Annexe A  Plan RH'!Y92*Hypothèses!$B$98</f>
        <v>-1100</v>
      </c>
      <c r="S7" s="130">
        <f>-'Annexe A  Plan RH'!Z92*Hypothèses!$B$98</f>
        <v>-1200</v>
      </c>
      <c r="T7" s="130">
        <f>-'Annexe A  Plan RH'!AA92*Hypothèses!$B$98</f>
        <v>-1200</v>
      </c>
      <c r="U7" s="131">
        <f>-'Annexe A  Plan RH'!AB92*Hypothèses!$B$98</f>
        <v>-1200</v>
      </c>
      <c r="V7" s="129">
        <f>-'Annexe A  Plan RH'!AC92*Hypothèses!$B$98</f>
        <v>-1200</v>
      </c>
      <c r="W7" s="130">
        <f>-'Annexe A  Plan RH'!AD92*Hypothèses!$B$98</f>
        <v>-1500</v>
      </c>
      <c r="X7" s="130">
        <f>-'Annexe A  Plan RH'!AE92*Hypothèses!$B$98</f>
        <v>-1500</v>
      </c>
      <c r="Y7" s="130">
        <f>-'Annexe A  Plan RH'!AF92*Hypothèses!$B$98</f>
        <v>-1500</v>
      </c>
      <c r="Z7" s="130">
        <f>-'Annexe A  Plan RH'!AG92*Hypothèses!$B$98</f>
        <v>-1500</v>
      </c>
      <c r="AA7" s="130">
        <f>-'Annexe A  Plan RH'!AH92*Hypothèses!$B$98</f>
        <v>-1500</v>
      </c>
      <c r="AB7" s="130">
        <f>-'Annexe A  Plan RH'!AI92*Hypothèses!$B$98</f>
        <v>-1500</v>
      </c>
      <c r="AC7" s="130">
        <f>-'Annexe A  Plan RH'!AJ92*Hypothèses!$B$98</f>
        <v>-1500</v>
      </c>
      <c r="AD7" s="130">
        <f>-'Annexe A  Plan RH'!AK92*Hypothèses!$B$98</f>
        <v>-1500</v>
      </c>
      <c r="AE7" s="130">
        <f>-'Annexe A  Plan RH'!AL92*Hypothèses!$B$98</f>
        <v>-1500</v>
      </c>
      <c r="AF7" s="130">
        <f>-'Annexe A  Plan RH'!AM92*Hypothèses!$B$98</f>
        <v>-1500</v>
      </c>
      <c r="AG7" s="131">
        <f>-'Annexe A  Plan RH'!AN92*Hypothèses!$B$98</f>
        <v>-1500</v>
      </c>
      <c r="AH7" s="129">
        <f>-'Annexe A  Plan RH'!AO92*Hypothèses!$B$98</f>
        <v>-1500</v>
      </c>
      <c r="AI7" s="130">
        <f>-'Annexe A  Plan RH'!AP92*Hypothèses!$B$98</f>
        <v>-1500</v>
      </c>
      <c r="AJ7" s="130">
        <f>-'Annexe A  Plan RH'!AQ92*Hypothèses!$B$98</f>
        <v>-1500</v>
      </c>
      <c r="AK7" s="130">
        <f>-'Annexe A  Plan RH'!AR92*Hypothèses!$B$98</f>
        <v>-1500</v>
      </c>
      <c r="AL7" s="130">
        <f>-'Annexe A  Plan RH'!AS92*Hypothèses!$B$98</f>
        <v>-1500</v>
      </c>
      <c r="AM7" s="130">
        <f>-'Annexe A  Plan RH'!AT92*Hypothèses!$B$98</f>
        <v>-1500</v>
      </c>
      <c r="AN7" s="130">
        <f>-'Annexe A  Plan RH'!AU92*Hypothèses!$B$98</f>
        <v>-1500</v>
      </c>
      <c r="AO7" s="130">
        <f>-'Annexe A  Plan RH'!AV92*Hypothèses!$B$98</f>
        <v>-1500</v>
      </c>
      <c r="AP7" s="130">
        <f>-'Annexe A  Plan RH'!AW92*Hypothèses!$B$98</f>
        <v>-1500</v>
      </c>
      <c r="AQ7" s="130">
        <f>-'Annexe A  Plan RH'!AX92*Hypothèses!$B$98</f>
        <v>-1500</v>
      </c>
      <c r="AR7" s="130">
        <f>-'Annexe A  Plan RH'!AY92*Hypothèses!$B$98</f>
        <v>-1500</v>
      </c>
      <c r="AS7" s="131">
        <f>-'Annexe A  Plan RH'!AZ92*Hypothèses!$B$98</f>
        <v>-1500</v>
      </c>
      <c r="AT7" s="129">
        <f>-'Annexe A  Plan RH'!BA92*Hypothèses!$B$98</f>
        <v>-1500</v>
      </c>
      <c r="AU7" s="130">
        <f>-'Annexe A  Plan RH'!BB92*Hypothèses!$B$98</f>
        <v>-1500</v>
      </c>
      <c r="AV7" s="130">
        <f>-'Annexe A  Plan RH'!BC92*Hypothèses!$B$98</f>
        <v>-1500</v>
      </c>
      <c r="AW7" s="130">
        <f>-'Annexe A  Plan RH'!BD92*Hypothèses!$B$98</f>
        <v>-1500</v>
      </c>
      <c r="AX7" s="130">
        <f>-'Annexe A  Plan RH'!BE92*Hypothèses!$B$98</f>
        <v>-1500</v>
      </c>
      <c r="AY7" s="130">
        <f>-'Annexe A  Plan RH'!BF92*Hypothèses!$B$98</f>
        <v>-1500</v>
      </c>
      <c r="AZ7" s="130">
        <f>-'Annexe A  Plan RH'!BG92*Hypothèses!$B$98</f>
        <v>-1500</v>
      </c>
      <c r="BA7" s="130">
        <f>-'Annexe A  Plan RH'!BH92*Hypothèses!$B$98</f>
        <v>-1500</v>
      </c>
      <c r="BB7" s="130">
        <f>-'Annexe A  Plan RH'!BI92*Hypothèses!$B$98</f>
        <v>-1500</v>
      </c>
      <c r="BC7" s="130">
        <f>-'Annexe A  Plan RH'!BJ92*Hypothèses!$B$98</f>
        <v>-1500</v>
      </c>
      <c r="BD7" s="130">
        <f>-'Annexe A  Plan RH'!BK92*Hypothèses!$B$98</f>
        <v>-1500</v>
      </c>
      <c r="BE7" s="131">
        <f>-'Annexe A  Plan RH'!BL92*Hypothèses!$B$98</f>
        <v>-1500</v>
      </c>
      <c r="BF7" s="129">
        <f>-'Annexe A  Plan RH'!BM92*Hypothèses!$B$98</f>
        <v>-1500</v>
      </c>
      <c r="BG7" s="130">
        <f>-'Annexe A  Plan RH'!BN92*Hypothèses!$B$98</f>
        <v>-1500</v>
      </c>
      <c r="BH7" s="130">
        <f>-'Annexe A  Plan RH'!BO92*Hypothèses!$B$98</f>
        <v>-1500</v>
      </c>
      <c r="BI7" s="130">
        <f>-'Annexe A  Plan RH'!BP92*Hypothèses!$B$98</f>
        <v>-1600</v>
      </c>
      <c r="BJ7" s="130">
        <f>-'Annexe A  Plan RH'!BQ92*Hypothèses!$B$98</f>
        <v>-1700</v>
      </c>
      <c r="BK7" s="130">
        <f>-'Annexe A  Plan RH'!BR92*Hypothèses!$B$98</f>
        <v>-1800</v>
      </c>
      <c r="BL7" s="130">
        <f>-'Annexe A  Plan RH'!BS92*Hypothèses!$B$98</f>
        <v>-1800</v>
      </c>
      <c r="BM7" s="130">
        <f>-'Annexe A  Plan RH'!BT92*Hypothèses!$B$98</f>
        <v>-1800</v>
      </c>
      <c r="BN7" s="130">
        <f>-'Annexe A  Plan RH'!BU92*Hypothèses!$B$98</f>
        <v>-2200</v>
      </c>
      <c r="BO7" s="130">
        <f>-'Annexe A  Plan RH'!BV92*Hypothèses!$B$98</f>
        <v>-2200</v>
      </c>
      <c r="BP7" s="130">
        <f>-'Annexe A  Plan RH'!BW92*Hypothèses!$B$98</f>
        <v>-2700</v>
      </c>
      <c r="BQ7" s="131">
        <f>-'Annexe A  Plan RH'!BX92*Hypothèses!$B$98</f>
        <v>-2900</v>
      </c>
      <c r="BR7" s="129">
        <f>-'Annexe A  Plan RH'!BY92*Hypothèses!$B$98</f>
        <v>-3100</v>
      </c>
      <c r="BS7" s="130">
        <f>-'Annexe A  Plan RH'!BZ92*Hypothèses!$B$98</f>
        <v>-3500</v>
      </c>
      <c r="BT7" s="130">
        <f>-'Annexe A  Plan RH'!CA92*Hypothèses!$B$98</f>
        <v>-3700</v>
      </c>
      <c r="BU7" s="130">
        <f>-'Annexe A  Plan RH'!CB92*Hypothèses!$B$98</f>
        <v>-3900</v>
      </c>
      <c r="BV7" s="130">
        <f>-'Annexe A  Plan RH'!CC92*Hypothèses!$B$98</f>
        <v>-3900</v>
      </c>
      <c r="BW7" s="130">
        <f>-'Annexe A  Plan RH'!CD92*Hypothèses!$B$98</f>
        <v>-4000</v>
      </c>
      <c r="BX7" s="130">
        <f>-'Annexe A  Plan RH'!CE92*Hypothèses!$B$98</f>
        <v>-4200</v>
      </c>
      <c r="BY7" s="130">
        <f>-'Annexe A  Plan RH'!CF92*Hypothèses!$B$98</f>
        <v>-4300</v>
      </c>
      <c r="BZ7" s="130">
        <f>-'Annexe A  Plan RH'!CG92*Hypothèses!$B$98</f>
        <v>-4500</v>
      </c>
      <c r="CA7" s="130">
        <f>-'Annexe A  Plan RH'!CH92*Hypothèses!$B$98</f>
        <v>-4600</v>
      </c>
      <c r="CB7" s="130">
        <f>-'Annexe A  Plan RH'!CI92*Hypothèses!$B$98</f>
        <v>-4600</v>
      </c>
      <c r="CC7" s="131">
        <f>-'Annexe A  Plan RH'!CJ92*Hypothèses!$B$98</f>
        <v>-4600</v>
      </c>
    </row>
    <row r="8" spans="1:81" ht="14">
      <c r="A8" s="305" t="s">
        <v>189</v>
      </c>
      <c r="B8" s="61"/>
      <c r="C8" s="329">
        <f>-'Annexe A  Plan RH'!Q92*Hypothèses!$B$99</f>
        <v>-1200</v>
      </c>
      <c r="D8" s="328">
        <f>-'Annexe A  Plan RH'!R92*Hypothèses!$B$99</f>
        <v>-1300</v>
      </c>
      <c r="E8" s="328">
        <f>-'Annexe A  Plan RH'!S92*Hypothèses!$B$99</f>
        <v>-1200</v>
      </c>
      <c r="F8" s="328">
        <f>-'Annexe A  Plan RH'!T92*Hypothèses!$B$99</f>
        <v>-1200</v>
      </c>
      <c r="G8" s="328">
        <f>-'Annexe A  Plan RH'!U92*Hypothèses!$B$99</f>
        <v>-1300</v>
      </c>
      <c r="H8" s="328">
        <f>-'Annexe A  Plan RH'!V92*Hypothèses!$B$99</f>
        <v>-1300</v>
      </c>
      <c r="I8" s="330">
        <f>-'Annexe A  Plan RH'!W92*Hypothèses!$B$99</f>
        <v>-1100</v>
      </c>
      <c r="J8" s="329">
        <f>-'Annexe A  Plan RH'!X92*Hypothèses!$B$99</f>
        <v>-1200</v>
      </c>
      <c r="K8" s="328">
        <f>-'Annexe A  Plan RH'!Y92*Hypothèses!$B$99</f>
        <v>-1100</v>
      </c>
      <c r="L8" s="328">
        <f>-'Annexe A  Plan RH'!Z92*Hypothèses!$B$99</f>
        <v>-1200</v>
      </c>
      <c r="M8" s="328">
        <f>-'Annexe A  Plan RH'!AA92*Hypothèses!$B$99</f>
        <v>-1200</v>
      </c>
      <c r="N8" s="328">
        <f>-'Annexe A  Plan RH'!AB92*Hypothèses!$B$99</f>
        <v>-1200</v>
      </c>
      <c r="O8" s="328">
        <f>-'Annexe A  Plan RH'!AC92*Hypothèses!$B$99</f>
        <v>-1200</v>
      </c>
      <c r="P8" s="328">
        <f>-'Annexe A  Plan RH'!AD92*Hypothèses!$B$99</f>
        <v>-1500</v>
      </c>
      <c r="Q8" s="328">
        <f>-'Annexe A  Plan RH'!AE92*Hypothèses!$B$99</f>
        <v>-1500</v>
      </c>
      <c r="R8" s="328">
        <f>-'Annexe A  Plan RH'!AF92*Hypothèses!$B$99</f>
        <v>-1500</v>
      </c>
      <c r="S8" s="328">
        <f>-'Annexe A  Plan RH'!AG92*Hypothèses!$B$99</f>
        <v>-1500</v>
      </c>
      <c r="T8" s="328">
        <f>-'Annexe A  Plan RH'!AH92*Hypothèses!$B$99</f>
        <v>-1500</v>
      </c>
      <c r="U8" s="328">
        <f>-'Annexe A  Plan RH'!AI92*Hypothèses!$B$99</f>
        <v>-1500</v>
      </c>
      <c r="V8" s="329">
        <f>-'Annexe A  Plan RH'!AJ92*Hypothèses!$B$99</f>
        <v>-1500</v>
      </c>
      <c r="W8" s="328">
        <f>-'Annexe A  Plan RH'!AK92*Hypothèses!$B$99</f>
        <v>-1500</v>
      </c>
      <c r="X8" s="328">
        <f>-'Annexe A  Plan RH'!AL92*Hypothèses!$B$99</f>
        <v>-1500</v>
      </c>
      <c r="Y8" s="328">
        <f>-'Annexe A  Plan RH'!AM92*Hypothèses!$B$99</f>
        <v>-1500</v>
      </c>
      <c r="Z8" s="328">
        <f>-'Annexe A  Plan RH'!AN92*Hypothèses!$B$99</f>
        <v>-1500</v>
      </c>
      <c r="AA8" s="328">
        <f>-'Annexe A  Plan RH'!AO92*Hypothèses!$B$99</f>
        <v>-1500</v>
      </c>
      <c r="AB8" s="328">
        <f>-'Annexe A  Plan RH'!AP92*Hypothèses!$B$99</f>
        <v>-1500</v>
      </c>
      <c r="AC8" s="328">
        <f>-'Annexe A  Plan RH'!AQ92*Hypothèses!$B$99</f>
        <v>-1500</v>
      </c>
      <c r="AD8" s="328">
        <f>-'Annexe A  Plan RH'!AR92*Hypothèses!$B$99</f>
        <v>-1500</v>
      </c>
      <c r="AE8" s="328">
        <f>-'Annexe A  Plan RH'!AS92*Hypothèses!$B$99</f>
        <v>-1500</v>
      </c>
      <c r="AF8" s="328">
        <f>-'Annexe A  Plan RH'!AT92*Hypothèses!$B$99</f>
        <v>-1500</v>
      </c>
      <c r="AG8" s="330">
        <f>-'Annexe A  Plan RH'!AU92*Hypothèses!$B$99</f>
        <v>-1500</v>
      </c>
      <c r="AH8" s="329">
        <f>-'Annexe A  Plan RH'!AV92*Hypothèses!$B$99</f>
        <v>-1500</v>
      </c>
      <c r="AI8" s="328">
        <f>-'Annexe A  Plan RH'!AW92*Hypothèses!$B$99</f>
        <v>-1500</v>
      </c>
      <c r="AJ8" s="328">
        <f>-'Annexe A  Plan RH'!AX92*Hypothèses!$B$99</f>
        <v>-1500</v>
      </c>
      <c r="AK8" s="328">
        <f>-'Annexe A  Plan RH'!AY92*Hypothèses!$B$99</f>
        <v>-1500</v>
      </c>
      <c r="AL8" s="328">
        <f>-'Annexe A  Plan RH'!AZ92*Hypothèses!$B$99</f>
        <v>-1500</v>
      </c>
      <c r="AM8" s="328">
        <f>-'Annexe A  Plan RH'!BA92*Hypothèses!$B$99</f>
        <v>-1500</v>
      </c>
      <c r="AN8" s="328">
        <f>-'Annexe A  Plan RH'!BB92*Hypothèses!$B$99</f>
        <v>-1500</v>
      </c>
      <c r="AO8" s="328">
        <f>-'Annexe A  Plan RH'!BC92*Hypothèses!$B$99</f>
        <v>-1500</v>
      </c>
      <c r="AP8" s="328">
        <f>-'Annexe A  Plan RH'!BD92*Hypothèses!$B$99</f>
        <v>-1500</v>
      </c>
      <c r="AQ8" s="328">
        <f>-'Annexe A  Plan RH'!BE92*Hypothèses!$B$99</f>
        <v>-1500</v>
      </c>
      <c r="AR8" s="328">
        <f>-'Annexe A  Plan RH'!BF92*Hypothèses!$B$99</f>
        <v>-1500</v>
      </c>
      <c r="AS8" s="328">
        <f>-'Annexe A  Plan RH'!BG92*Hypothèses!$B$99</f>
        <v>-1500</v>
      </c>
      <c r="AT8" s="329">
        <f>-'Annexe A  Plan RH'!BH92*Hypothèses!$B$99</f>
        <v>-1500</v>
      </c>
      <c r="AU8" s="328">
        <f>-'Annexe A  Plan RH'!BI92*Hypothèses!$B$99</f>
        <v>-1500</v>
      </c>
      <c r="AV8" s="328">
        <f>-'Annexe A  Plan RH'!BJ92*Hypothèses!$B$99</f>
        <v>-1500</v>
      </c>
      <c r="AW8" s="328">
        <f>-'Annexe A  Plan RH'!BK92*Hypothèses!$B$99</f>
        <v>-1500</v>
      </c>
      <c r="AX8" s="328">
        <f>-'Annexe A  Plan RH'!BL92*Hypothèses!$B$99</f>
        <v>-1500</v>
      </c>
      <c r="AY8" s="328">
        <f>-'Annexe A  Plan RH'!BM92*Hypothèses!$B$99</f>
        <v>-1500</v>
      </c>
      <c r="AZ8" s="328">
        <f>-'Annexe A  Plan RH'!BN92*Hypothèses!$B$99</f>
        <v>-1500</v>
      </c>
      <c r="BA8" s="328">
        <f>-'Annexe A  Plan RH'!BO92*Hypothèses!$B$99</f>
        <v>-1500</v>
      </c>
      <c r="BB8" s="328">
        <f>-'Annexe A  Plan RH'!BP92*Hypothèses!$B$99</f>
        <v>-1600</v>
      </c>
      <c r="BC8" s="328">
        <f>-'Annexe A  Plan RH'!BQ92*Hypothèses!$B$99</f>
        <v>-1700</v>
      </c>
      <c r="BD8" s="328">
        <f>-'Annexe A  Plan RH'!BR92*Hypothèses!$B$99</f>
        <v>-1800</v>
      </c>
      <c r="BE8" s="330">
        <f>-'Annexe A  Plan RH'!BS92*Hypothèses!$B$99</f>
        <v>-1800</v>
      </c>
      <c r="BF8" s="329">
        <f>-'Annexe A  Plan RH'!BT92*Hypothèses!$B$99</f>
        <v>-1800</v>
      </c>
      <c r="BG8" s="328">
        <f>-'Annexe A  Plan RH'!BU92*Hypothèses!$B$99</f>
        <v>-2200</v>
      </c>
      <c r="BH8" s="328">
        <f>-'Annexe A  Plan RH'!BV92*Hypothèses!$B$99</f>
        <v>-2200</v>
      </c>
      <c r="BI8" s="328">
        <f>-'Annexe A  Plan RH'!BW92*Hypothèses!$B$99</f>
        <v>-2700</v>
      </c>
      <c r="BJ8" s="328">
        <f>-'Annexe A  Plan RH'!BX92*Hypothèses!$B$99</f>
        <v>-2900</v>
      </c>
      <c r="BK8" s="328">
        <f>-'Annexe A  Plan RH'!BY92*Hypothèses!$B$99</f>
        <v>-3100</v>
      </c>
      <c r="BL8" s="328">
        <f>-'Annexe A  Plan RH'!BZ92*Hypothèses!$B$99</f>
        <v>-3500</v>
      </c>
      <c r="BM8" s="328">
        <f>-'Annexe A  Plan RH'!CA92*Hypothèses!$B$99</f>
        <v>-3700</v>
      </c>
      <c r="BN8" s="328">
        <f>-'Annexe A  Plan RH'!CB92*Hypothèses!$B$99</f>
        <v>-3900</v>
      </c>
      <c r="BO8" s="328">
        <f>-'Annexe A  Plan RH'!CC92*Hypothèses!$B$99</f>
        <v>-3900</v>
      </c>
      <c r="BP8" s="328">
        <f>-'Annexe A  Plan RH'!CD92*Hypothèses!$B$99</f>
        <v>-4000</v>
      </c>
      <c r="BQ8" s="328">
        <f>-'Annexe A  Plan RH'!CE92*Hypothèses!$B$99</f>
        <v>-4200</v>
      </c>
      <c r="BR8" s="329">
        <f>-'Annexe A  Plan RH'!CF92*Hypothèses!$B$99</f>
        <v>-4300</v>
      </c>
      <c r="BS8" s="328">
        <f>-'Annexe A  Plan RH'!CG92*Hypothèses!$B$99</f>
        <v>-4500</v>
      </c>
      <c r="BT8" s="328">
        <f>-'Annexe A  Plan RH'!CH92*Hypothèses!$B$99</f>
        <v>-4600</v>
      </c>
      <c r="BU8" s="328">
        <f>-'Annexe A  Plan RH'!CI92*Hypothèses!$B$99</f>
        <v>-4600</v>
      </c>
      <c r="BV8" s="328">
        <f>-'Annexe A  Plan RH'!CJ92*Hypothèses!$B$99</f>
        <v>-4600</v>
      </c>
      <c r="BW8" s="328">
        <f>-'Annexe A  Plan RH'!CK92*Hypothèses!$B$99</f>
        <v>-4900</v>
      </c>
      <c r="BX8" s="328">
        <f>-'Annexe A  Plan RH'!CL92*Hypothèses!$B$99</f>
        <v>-5000</v>
      </c>
      <c r="BY8" s="328">
        <f>-'Annexe A  Plan RH'!CM92*Hypothèses!$B$99</f>
        <v>-5300</v>
      </c>
      <c r="BZ8" s="328">
        <f>-'Annexe A  Plan RH'!CN92*Hypothèses!$B$99</f>
        <v>-5300</v>
      </c>
      <c r="CA8" s="328">
        <f>-'Annexe A  Plan RH'!CO92*Hypothèses!$B$99</f>
        <v>-5500</v>
      </c>
      <c r="CB8" s="328">
        <f>-'Annexe A  Plan RH'!CP92*Hypothèses!$B$99</f>
        <v>-5500</v>
      </c>
      <c r="CC8" s="330">
        <f>-'Annexe A  Plan RH'!CQ92*Hypothèses!$B$99</f>
        <v>-5500</v>
      </c>
    </row>
    <row r="9" spans="1:81" ht="14">
      <c r="A9" s="305" t="s">
        <v>190</v>
      </c>
      <c r="B9" s="61"/>
      <c r="C9" s="307">
        <v>-800</v>
      </c>
      <c r="D9" s="308">
        <v>-800</v>
      </c>
      <c r="E9" s="308">
        <v>-800</v>
      </c>
      <c r="F9" s="308">
        <v>-800</v>
      </c>
      <c r="G9" s="308">
        <v>-800</v>
      </c>
      <c r="H9" s="308">
        <v>-800</v>
      </c>
      <c r="I9" s="308">
        <v>-800</v>
      </c>
      <c r="J9" s="328">
        <f>-'Annexe A  Plan RH'!X93*50</f>
        <v>-600</v>
      </c>
      <c r="K9" s="328">
        <f>-'Annexe A  Plan RH'!Y93*50</f>
        <v>-550</v>
      </c>
      <c r="L9" s="331">
        <f>-'Annexe A  Plan RH'!Z93*50</f>
        <v>-600</v>
      </c>
      <c r="M9" s="328">
        <f>-'Annexe A  Plan RH'!AA93*50</f>
        <v>-600</v>
      </c>
      <c r="N9" s="328">
        <f>-'Annexe A  Plan RH'!AB93*50</f>
        <v>-600</v>
      </c>
      <c r="O9" s="328">
        <f>-'Annexe A  Plan RH'!AC93*50</f>
        <v>-600</v>
      </c>
      <c r="P9" s="328">
        <f>-'Annexe A  Plan RH'!AD93*50</f>
        <v>-750</v>
      </c>
      <c r="Q9" s="328">
        <f>-'Annexe A  Plan RH'!AE93*50</f>
        <v>-750</v>
      </c>
      <c r="R9" s="328">
        <f>-'Annexe A  Plan RH'!AF93*50</f>
        <v>-750</v>
      </c>
      <c r="S9" s="328">
        <f>-'Annexe A  Plan RH'!AG93*50</f>
        <v>-750</v>
      </c>
      <c r="T9" s="328">
        <f>-'Annexe A  Plan RH'!AH93*50</f>
        <v>-750</v>
      </c>
      <c r="U9" s="328">
        <f>-'Annexe A  Plan RH'!AI93*50</f>
        <v>-750</v>
      </c>
      <c r="V9" s="329">
        <f>-'Annexe A  Plan RH'!AJ93*50</f>
        <v>-750</v>
      </c>
      <c r="W9" s="328">
        <f>-'Annexe A  Plan RH'!AK93*50</f>
        <v>-750</v>
      </c>
      <c r="X9" s="328">
        <f>-'Annexe A  Plan RH'!AL93*50</f>
        <v>-750</v>
      </c>
      <c r="Y9" s="328">
        <f>-'Annexe A  Plan RH'!AM93*50</f>
        <v>-750</v>
      </c>
      <c r="Z9" s="328">
        <f>-'Annexe A  Plan RH'!AN93*50</f>
        <v>-750</v>
      </c>
      <c r="AA9" s="328">
        <f>-'Annexe A  Plan RH'!AO93*50</f>
        <v>-750</v>
      </c>
      <c r="AB9" s="328">
        <f>-'Annexe A  Plan RH'!AP93*50</f>
        <v>-750</v>
      </c>
      <c r="AC9" s="328">
        <f>-'Annexe A  Plan RH'!AQ93*50</f>
        <v>-750</v>
      </c>
      <c r="AD9" s="328">
        <f>-'Annexe A  Plan RH'!AR93*50</f>
        <v>-750</v>
      </c>
      <c r="AE9" s="328">
        <f>-'Annexe A  Plan RH'!AS93*50</f>
        <v>-750</v>
      </c>
      <c r="AF9" s="328">
        <f>-'Annexe A  Plan RH'!AT93*50</f>
        <v>-750</v>
      </c>
      <c r="AG9" s="330">
        <f>-'Annexe A  Plan RH'!AU93*50</f>
        <v>-750</v>
      </c>
      <c r="AH9" s="328">
        <f>-'Annexe A  Plan RH'!AV93*50</f>
        <v>-750</v>
      </c>
      <c r="AI9" s="328">
        <f>-'Annexe A  Plan RH'!AW93*50</f>
        <v>-750</v>
      </c>
      <c r="AJ9" s="328">
        <f>-'Annexe A  Plan RH'!AX93*50</f>
        <v>-750</v>
      </c>
      <c r="AK9" s="328">
        <f>-'Annexe A  Plan RH'!AY93*50</f>
        <v>-750</v>
      </c>
      <c r="AL9" s="328">
        <f>-'Annexe A  Plan RH'!AZ93*50</f>
        <v>-750</v>
      </c>
      <c r="AM9" s="328">
        <f>-'Annexe A  Plan RH'!BA93*50</f>
        <v>-750</v>
      </c>
      <c r="AN9" s="328">
        <f>-'Annexe A  Plan RH'!BB93*50</f>
        <v>-750</v>
      </c>
      <c r="AO9" s="328">
        <f>-'Annexe A  Plan RH'!BC93*50</f>
        <v>-750</v>
      </c>
      <c r="AP9" s="328">
        <f>-'Annexe A  Plan RH'!BD93*50</f>
        <v>-750</v>
      </c>
      <c r="AQ9" s="328">
        <f>-'Annexe A  Plan RH'!BE93*50</f>
        <v>-750</v>
      </c>
      <c r="AR9" s="328">
        <f>-'Annexe A  Plan RH'!BF93*50</f>
        <v>-750</v>
      </c>
      <c r="AS9" s="328">
        <f>-'Annexe A  Plan RH'!BG93*50</f>
        <v>-750</v>
      </c>
      <c r="AT9" s="329">
        <f>-'Annexe A  Plan RH'!BH93*50</f>
        <v>-750</v>
      </c>
      <c r="AU9" s="328">
        <f>-'Annexe A  Plan RH'!BI93*50</f>
        <v>-750</v>
      </c>
      <c r="AV9" s="328">
        <f>-'Annexe A  Plan RH'!BJ93*50</f>
        <v>-750</v>
      </c>
      <c r="AW9" s="328">
        <f>-'Annexe A  Plan RH'!BK93*50</f>
        <v>-750</v>
      </c>
      <c r="AX9" s="328">
        <f>-'Annexe A  Plan RH'!BL93*50</f>
        <v>-750</v>
      </c>
      <c r="AY9" s="328">
        <f>-'Annexe A  Plan RH'!BM93*50</f>
        <v>-750</v>
      </c>
      <c r="AZ9" s="328">
        <f>-'Annexe A  Plan RH'!BN93*50</f>
        <v>-750</v>
      </c>
      <c r="BA9" s="328">
        <f>-'Annexe A  Plan RH'!BO93*50</f>
        <v>-750</v>
      </c>
      <c r="BB9" s="328">
        <f>-'Annexe A  Plan RH'!BP93*50</f>
        <v>-800</v>
      </c>
      <c r="BC9" s="328">
        <f>-'Annexe A  Plan RH'!BQ93*50</f>
        <v>-850</v>
      </c>
      <c r="BD9" s="328">
        <f>-'Annexe A  Plan RH'!BR93*50</f>
        <v>-900</v>
      </c>
      <c r="BE9" s="330">
        <f>-'Annexe A  Plan RH'!BS93*50</f>
        <v>-900</v>
      </c>
      <c r="BF9" s="329">
        <f>-'Annexe A  Plan RH'!BT93*50</f>
        <v>-900</v>
      </c>
      <c r="BG9" s="328">
        <f>-'Annexe A  Plan RH'!BU93*50</f>
        <v>-1050</v>
      </c>
      <c r="BH9" s="328">
        <f>-'Annexe A  Plan RH'!BV93*50</f>
        <v>-1050</v>
      </c>
      <c r="BI9" s="328">
        <f>-'Annexe A  Plan RH'!BW93*50</f>
        <v>-1300</v>
      </c>
      <c r="BJ9" s="328">
        <f>-'Annexe A  Plan RH'!BX93*50</f>
        <v>-1400</v>
      </c>
      <c r="BK9" s="328">
        <f>-'Annexe A  Plan RH'!BY93*50</f>
        <v>-1450</v>
      </c>
      <c r="BL9" s="328">
        <f>-'Annexe A  Plan RH'!BZ93*50</f>
        <v>-1650</v>
      </c>
      <c r="BM9" s="328">
        <f>-'Annexe A  Plan RH'!CA93*50</f>
        <v>-1750</v>
      </c>
      <c r="BN9" s="328">
        <f>-'Annexe A  Plan RH'!CB93*50</f>
        <v>-1850</v>
      </c>
      <c r="BO9" s="328">
        <f>-'Annexe A  Plan RH'!CC93*50</f>
        <v>-1850</v>
      </c>
      <c r="BP9" s="328">
        <f>-'Annexe A  Plan RH'!CD93*50</f>
        <v>-1900</v>
      </c>
      <c r="BQ9" s="330">
        <f>-'Annexe A  Plan RH'!CE93*50</f>
        <v>-2000</v>
      </c>
      <c r="BR9" s="329">
        <f>-'Annexe A  Plan RH'!CF93*50</f>
        <v>-2000</v>
      </c>
      <c r="BS9" s="328">
        <f>-'Annexe A  Plan RH'!CG93*50</f>
        <v>-2100</v>
      </c>
      <c r="BT9" s="328">
        <f>-'Annexe A  Plan RH'!CH93*50</f>
        <v>-2100</v>
      </c>
      <c r="BU9" s="328">
        <f>-'Annexe A  Plan RH'!CI93*50</f>
        <v>-2100</v>
      </c>
      <c r="BV9" s="328">
        <f>-'Annexe A  Plan RH'!CJ93*50</f>
        <v>-2100</v>
      </c>
      <c r="BW9" s="328">
        <f>-'Annexe A  Plan RH'!CK93*50</f>
        <v>-2100</v>
      </c>
      <c r="BX9" s="328">
        <f>-'Annexe A  Plan RH'!CL93*50</f>
        <v>-2150</v>
      </c>
      <c r="BY9" s="328">
        <f>-'Annexe A  Plan RH'!CM93*50</f>
        <v>-2200</v>
      </c>
      <c r="BZ9" s="328">
        <f>-'Annexe A  Plan RH'!CN93*50</f>
        <v>-2200</v>
      </c>
      <c r="CA9" s="328">
        <f>-'Annexe A  Plan RH'!CO93*50</f>
        <v>-2200</v>
      </c>
      <c r="CB9" s="328">
        <f>-'Annexe A  Plan RH'!CP93*50</f>
        <v>-2200</v>
      </c>
      <c r="CC9" s="330">
        <f>-'Annexe A  Plan RH'!CQ93*50</f>
        <v>-2200</v>
      </c>
    </row>
    <row r="10" spans="1:81" ht="14">
      <c r="A10" s="194" t="s">
        <v>191</v>
      </c>
      <c r="B10" s="61"/>
      <c r="C10" s="329">
        <f>-Hypothèses!$B$61/12</f>
        <v>-1666.6666666666667</v>
      </c>
      <c r="D10" s="328">
        <f>-Hypothèses!$B$61/12</f>
        <v>-1666.6666666666667</v>
      </c>
      <c r="E10" s="328">
        <f>-Hypothèses!$B$61/12</f>
        <v>-1666.6666666666667</v>
      </c>
      <c r="F10" s="328">
        <f>-Hypothèses!$B$61/12</f>
        <v>-1666.6666666666667</v>
      </c>
      <c r="G10" s="328">
        <f>-Hypothèses!$B$61/12</f>
        <v>-1666.6666666666667</v>
      </c>
      <c r="H10" s="328">
        <f>-Hypothèses!$B$61/12</f>
        <v>-1666.6666666666667</v>
      </c>
      <c r="I10" s="330">
        <f>-Hypothèses!$B$61/12</f>
        <v>-1666.6666666666667</v>
      </c>
      <c r="J10" s="328">
        <f>-Hypothèses!$C$61/12</f>
        <v>-3333.3333333333335</v>
      </c>
      <c r="K10" s="328">
        <f>-Hypothèses!$C$61/12</f>
        <v>-3333.3333333333335</v>
      </c>
      <c r="L10" s="328">
        <f>-Hypothèses!$C$61/12</f>
        <v>-3333.3333333333335</v>
      </c>
      <c r="M10" s="328">
        <f>-Hypothèses!$C$61/12</f>
        <v>-3333.3333333333335</v>
      </c>
      <c r="N10" s="328">
        <f>-Hypothèses!$C$61/12</f>
        <v>-3333.3333333333335</v>
      </c>
      <c r="O10" s="328">
        <f>-Hypothèses!$C$61/12</f>
        <v>-3333.3333333333335</v>
      </c>
      <c r="P10" s="328">
        <f>-Hypothèses!$C$61/12</f>
        <v>-3333.3333333333335</v>
      </c>
      <c r="Q10" s="328">
        <f>-Hypothèses!$C$61/12</f>
        <v>-3333.3333333333335</v>
      </c>
      <c r="R10" s="328">
        <f>-Hypothèses!$C$61/12</f>
        <v>-3333.3333333333335</v>
      </c>
      <c r="S10" s="328">
        <f>-Hypothèses!$C$61/12</f>
        <v>-3333.3333333333335</v>
      </c>
      <c r="T10" s="328">
        <f>-Hypothèses!$C$61/12</f>
        <v>-3333.3333333333335</v>
      </c>
      <c r="U10" s="330">
        <f>-Hypothèses!$C$61/12</f>
        <v>-3333.3333333333335</v>
      </c>
      <c r="V10" s="329">
        <f>-Hypothèses!$D$61/12</f>
        <v>-4166.666666666667</v>
      </c>
      <c r="W10" s="328">
        <f>-Hypothèses!$D$61/12</f>
        <v>-4166.666666666667</v>
      </c>
      <c r="X10" s="328">
        <f>-Hypothèses!$D$61/12</f>
        <v>-4166.666666666667</v>
      </c>
      <c r="Y10" s="328">
        <f>-Hypothèses!$D$61/12</f>
        <v>-4166.666666666667</v>
      </c>
      <c r="Z10" s="328">
        <f>-Hypothèses!$D$61/12</f>
        <v>-4166.666666666667</v>
      </c>
      <c r="AA10" s="328">
        <f>-Hypothèses!$D$61/12</f>
        <v>-4166.666666666667</v>
      </c>
      <c r="AB10" s="328">
        <f>-Hypothèses!$D$61/12</f>
        <v>-4166.666666666667</v>
      </c>
      <c r="AC10" s="328">
        <f>-Hypothèses!$D$61/12</f>
        <v>-4166.666666666667</v>
      </c>
      <c r="AD10" s="328">
        <f>-Hypothèses!$D$61/12</f>
        <v>-4166.666666666667</v>
      </c>
      <c r="AE10" s="328">
        <f>-Hypothèses!$D$61/12</f>
        <v>-4166.666666666667</v>
      </c>
      <c r="AF10" s="328">
        <f>-Hypothèses!$D$61/12</f>
        <v>-4166.666666666667</v>
      </c>
      <c r="AG10" s="330">
        <f>-Hypothèses!$D$61/12</f>
        <v>-4166.666666666667</v>
      </c>
      <c r="AH10" s="328">
        <f>-Hypothèses!$E$61/12</f>
        <v>-4166.666666666667</v>
      </c>
      <c r="AI10" s="328">
        <f>-Hypothèses!$E$61/12</f>
        <v>-4166.666666666667</v>
      </c>
      <c r="AJ10" s="328">
        <f>-Hypothèses!$E$61/12</f>
        <v>-4166.666666666667</v>
      </c>
      <c r="AK10" s="328">
        <f>-Hypothèses!$E$61/12</f>
        <v>-4166.666666666667</v>
      </c>
      <c r="AL10" s="328">
        <f>-Hypothèses!$E$61/12</f>
        <v>-4166.666666666667</v>
      </c>
      <c r="AM10" s="328">
        <f>-Hypothèses!$E$61/12</f>
        <v>-4166.666666666667</v>
      </c>
      <c r="AN10" s="328">
        <f>-Hypothèses!$E$61/12</f>
        <v>-4166.666666666667</v>
      </c>
      <c r="AO10" s="328">
        <f>-Hypothèses!$E$61/12</f>
        <v>-4166.666666666667</v>
      </c>
      <c r="AP10" s="328">
        <f>-Hypothèses!$E$61/12</f>
        <v>-4166.666666666667</v>
      </c>
      <c r="AQ10" s="328">
        <f>-Hypothèses!$E$61/12</f>
        <v>-4166.666666666667</v>
      </c>
      <c r="AR10" s="328">
        <f>-Hypothèses!$E$61/12</f>
        <v>-4166.666666666667</v>
      </c>
      <c r="AS10" s="328">
        <f>-Hypothèses!$E$61/12</f>
        <v>-4166.666666666667</v>
      </c>
      <c r="AT10" s="329">
        <f>-Hypothèses!$F$61/12</f>
        <v>-6250</v>
      </c>
      <c r="AU10" s="328">
        <f>-Hypothèses!$F$61/12</f>
        <v>-6250</v>
      </c>
      <c r="AV10" s="328">
        <f>-Hypothèses!$F$61/12</f>
        <v>-6250</v>
      </c>
      <c r="AW10" s="328">
        <f>-Hypothèses!$F$61/12</f>
        <v>-6250</v>
      </c>
      <c r="AX10" s="328">
        <f>-Hypothèses!$F$61/12</f>
        <v>-6250</v>
      </c>
      <c r="AY10" s="328">
        <f>-Hypothèses!$F$61/12</f>
        <v>-6250</v>
      </c>
      <c r="AZ10" s="328">
        <f>-Hypothèses!$F$61/12</f>
        <v>-6250</v>
      </c>
      <c r="BA10" s="328">
        <f>-Hypothèses!$F$61/12</f>
        <v>-6250</v>
      </c>
      <c r="BB10" s="328">
        <f>-Hypothèses!$F$61/12</f>
        <v>-6250</v>
      </c>
      <c r="BC10" s="328">
        <f>-Hypothèses!$F$61/12</f>
        <v>-6250</v>
      </c>
      <c r="BD10" s="328">
        <f>-Hypothèses!$F$61/12</f>
        <v>-6250</v>
      </c>
      <c r="BE10" s="330">
        <f>-Hypothèses!$F$61/12</f>
        <v>-6250</v>
      </c>
      <c r="BF10" s="328">
        <f>-Hypothèses!$G$61/12</f>
        <v>0</v>
      </c>
      <c r="BG10" s="328">
        <f>-Hypothèses!$G$61/12</f>
        <v>0</v>
      </c>
      <c r="BH10" s="328">
        <f>-Hypothèses!$G$61/12</f>
        <v>0</v>
      </c>
      <c r="BI10" s="328">
        <f>-Hypothèses!$G$61/12</f>
        <v>0</v>
      </c>
      <c r="BJ10" s="328">
        <f>-Hypothèses!$G$61/12</f>
        <v>0</v>
      </c>
      <c r="BK10" s="328">
        <f>-Hypothèses!$G$61/12</f>
        <v>0</v>
      </c>
      <c r="BL10" s="328">
        <f>-Hypothèses!$G$61/12</f>
        <v>0</v>
      </c>
      <c r="BM10" s="328">
        <f>-Hypothèses!$G$61/12</f>
        <v>0</v>
      </c>
      <c r="BN10" s="328">
        <f>-Hypothèses!$G$61/12</f>
        <v>0</v>
      </c>
      <c r="BO10" s="328">
        <f>-Hypothèses!$G$61/12</f>
        <v>0</v>
      </c>
      <c r="BP10" s="328">
        <f>-Hypothèses!$G$61/12</f>
        <v>0</v>
      </c>
      <c r="BQ10" s="330">
        <f>-Hypothèses!$G$61/12</f>
        <v>0</v>
      </c>
      <c r="BR10" s="329">
        <f>-Hypothèses!$H$61/12</f>
        <v>-33333.333333333336</v>
      </c>
      <c r="BS10" s="328">
        <f>-Hypothèses!$H$61/12</f>
        <v>-33333.333333333336</v>
      </c>
      <c r="BT10" s="328">
        <f>-Hypothèses!$H$61/12</f>
        <v>-33333.333333333336</v>
      </c>
      <c r="BU10" s="328">
        <f>-Hypothèses!$H$61/12</f>
        <v>-33333.333333333336</v>
      </c>
      <c r="BV10" s="328">
        <f>-Hypothèses!$H$61/12</f>
        <v>-33333.333333333336</v>
      </c>
      <c r="BW10" s="328">
        <f>-Hypothèses!$H$61/12</f>
        <v>-33333.333333333336</v>
      </c>
      <c r="BX10" s="328">
        <f>-Hypothèses!$H$61/12</f>
        <v>-33333.333333333336</v>
      </c>
      <c r="BY10" s="328">
        <f>-Hypothèses!$H$61/12</f>
        <v>-33333.333333333336</v>
      </c>
      <c r="BZ10" s="328">
        <f>-Hypothèses!$H$61/12</f>
        <v>-33333.333333333336</v>
      </c>
      <c r="CA10" s="328">
        <f>-Hypothèses!$H$61/12</f>
        <v>-33333.333333333336</v>
      </c>
      <c r="CB10" s="328">
        <f>-Hypothèses!$H$61/12</f>
        <v>-33333.333333333336</v>
      </c>
      <c r="CC10" s="330">
        <f>-Hypothèses!$H$61/12</f>
        <v>-33333.333333333336</v>
      </c>
    </row>
    <row r="11" spans="1:81" ht="14">
      <c r="A11" s="194" t="s">
        <v>192</v>
      </c>
      <c r="B11" s="3"/>
      <c r="C11" s="307">
        <v>-300</v>
      </c>
      <c r="D11" s="308">
        <v>-300</v>
      </c>
      <c r="E11" s="308">
        <v>-300</v>
      </c>
      <c r="F11" s="308">
        <v>-300</v>
      </c>
      <c r="G11" s="308">
        <v>-300</v>
      </c>
      <c r="H11" s="308">
        <v>-300</v>
      </c>
      <c r="I11" s="327">
        <v>-300</v>
      </c>
      <c r="J11" s="328">
        <f>0.5%*'Couts RH'!J5</f>
        <v>-269.171875</v>
      </c>
      <c r="K11" s="328">
        <f>0.5%*'Couts RH'!K5</f>
        <v>-260.96875</v>
      </c>
      <c r="L11" s="328">
        <f>0.5%*'Couts RH'!L5</f>
        <v>-288.3125</v>
      </c>
      <c r="M11" s="328">
        <f>0.5%*'Couts RH'!M5</f>
        <v>-288.3125</v>
      </c>
      <c r="N11" s="328">
        <f>0.5%*'Couts RH'!N5</f>
        <v>-288.3125</v>
      </c>
      <c r="O11" s="328">
        <f>0.5%*'Couts RH'!O5</f>
        <v>-288.3125</v>
      </c>
      <c r="P11" s="328">
        <f>0.5%*'Couts RH'!P5</f>
        <v>-359.40625</v>
      </c>
      <c r="Q11" s="328">
        <f>0.5%*'Couts RH'!Q5</f>
        <v>-359.40625</v>
      </c>
      <c r="R11" s="328">
        <f>0.5%*'Couts RH'!R5</f>
        <v>-359.40625</v>
      </c>
      <c r="S11" s="328">
        <f>0.5%*'Couts RH'!S5</f>
        <v>-359.40625</v>
      </c>
      <c r="T11" s="328">
        <f>0.5%*'Couts RH'!T5</f>
        <v>-359.40625</v>
      </c>
      <c r="U11" s="328">
        <f>0.5%*'Couts RH'!U5</f>
        <v>-359.40625</v>
      </c>
      <c r="V11" s="329">
        <f>0.5%*'Couts RH'!V5</f>
        <v>-359.40625</v>
      </c>
      <c r="W11" s="328">
        <f>0.5%*'Couts RH'!W5</f>
        <v>-359.40625</v>
      </c>
      <c r="X11" s="328">
        <f>0.5%*'Couts RH'!X5</f>
        <v>-359.40625</v>
      </c>
      <c r="Y11" s="328">
        <f>0.5%*'Couts RH'!Y5</f>
        <v>-359.40625</v>
      </c>
      <c r="Z11" s="328">
        <f>0.5%*'Couts RH'!Z5</f>
        <v>-359.40625</v>
      </c>
      <c r="AA11" s="328">
        <f>0.5%*'Couts RH'!AA5</f>
        <v>-359.40625</v>
      </c>
      <c r="AB11" s="328">
        <f>0.5%*'Couts RH'!AB5</f>
        <v>-359.40625</v>
      </c>
      <c r="AC11" s="328">
        <f>0.5%*'Couts RH'!AC5</f>
        <v>-359.40625</v>
      </c>
      <c r="AD11" s="328">
        <f>0.5%*'Couts RH'!AD5</f>
        <v>-359.40625</v>
      </c>
      <c r="AE11" s="328">
        <f>0.5%*'Couts RH'!AE5</f>
        <v>-359.40625</v>
      </c>
      <c r="AF11" s="328">
        <f>0.5%*'Couts RH'!AF5</f>
        <v>-359.40625</v>
      </c>
      <c r="AG11" s="330">
        <f>0.5%*'Couts RH'!AG5</f>
        <v>-359.40625</v>
      </c>
      <c r="AH11" s="328">
        <f>0.5%*'Couts RH'!AH5</f>
        <v>-359.40625</v>
      </c>
      <c r="AI11" s="328">
        <f>0.5%*'Couts RH'!AI5</f>
        <v>-359.40625</v>
      </c>
      <c r="AJ11" s="328">
        <f>0.5%*'Couts RH'!AJ5</f>
        <v>-359.40625</v>
      </c>
      <c r="AK11" s="328">
        <f>0.5%*'Couts RH'!AK5</f>
        <v>-359.40625</v>
      </c>
      <c r="AL11" s="328">
        <f>0.5%*'Couts RH'!AL5</f>
        <v>-359.40625</v>
      </c>
      <c r="AM11" s="328">
        <f>0.5%*'Couts RH'!AM5</f>
        <v>-359.40625</v>
      </c>
      <c r="AN11" s="328">
        <f>0.5%*'Couts RH'!AN5</f>
        <v>-359.40625</v>
      </c>
      <c r="AO11" s="328">
        <f>0.5%*'Couts RH'!AO5</f>
        <v>-359.40625</v>
      </c>
      <c r="AP11" s="328">
        <f>0.5%*'Couts RH'!AP5</f>
        <v>-359.40625</v>
      </c>
      <c r="AQ11" s="328">
        <f>0.5%*'Couts RH'!AQ5</f>
        <v>-359.40625</v>
      </c>
      <c r="AR11" s="328">
        <f>0.5%*'Couts RH'!AR5</f>
        <v>-359.40625</v>
      </c>
      <c r="AS11" s="328">
        <f>0.5%*'Couts RH'!AS5</f>
        <v>-359.40625</v>
      </c>
      <c r="AT11" s="328">
        <f>0.5%*'Couts RH'!AT5</f>
        <v>-377.37656250000003</v>
      </c>
      <c r="AU11" s="328">
        <f>0.5%*'Couts RH'!AU5</f>
        <v>-377.37656250000003</v>
      </c>
      <c r="AV11" s="328">
        <f>0.5%*'Couts RH'!AV5</f>
        <v>-377.37656250000003</v>
      </c>
      <c r="AW11" s="328">
        <f>0.5%*'Couts RH'!AW5</f>
        <v>-377.37656250000003</v>
      </c>
      <c r="AX11" s="328">
        <f>0.5%*'Couts RH'!AX5</f>
        <v>-377.37656250000003</v>
      </c>
      <c r="AY11" s="328">
        <f>0.5%*'Couts RH'!AY5</f>
        <v>-377.37656250000003</v>
      </c>
      <c r="AZ11" s="328">
        <f>0.5%*'Couts RH'!AZ5</f>
        <v>-377.37656250000003</v>
      </c>
      <c r="BA11" s="328">
        <f>0.5%*'Couts RH'!BA5</f>
        <v>-377.37656250000003</v>
      </c>
      <c r="BB11" s="328">
        <f>0.5%*'Couts RH'!BB5</f>
        <v>-406.08750000000003</v>
      </c>
      <c r="BC11" s="328">
        <f>0.5%*'Couts RH'!BC5</f>
        <v>-434.79843750000003</v>
      </c>
      <c r="BD11" s="328">
        <f>0.5%*'Couts RH'!BD5</f>
        <v>-463.50937500000003</v>
      </c>
      <c r="BE11" s="330">
        <f>0.5%*'Couts RH'!BE5</f>
        <v>-463.50937500000003</v>
      </c>
      <c r="BF11" s="328">
        <f>0.5%*'Couts RH'!BF5</f>
        <v>-486.68484375000003</v>
      </c>
      <c r="BG11" s="328">
        <f>0.5%*'Couts RH'!BG5</f>
        <v>-678.53707031249996</v>
      </c>
      <c r="BH11" s="328">
        <f>0.5%*'Couts RH'!BH5</f>
        <v>-678.53707031249996</v>
      </c>
      <c r="BI11" s="328">
        <f>0.5%*'Couts RH'!BI5</f>
        <v>-802.13765624999996</v>
      </c>
      <c r="BJ11" s="328">
        <f>0.5%*'Couts RH'!BJ5</f>
        <v>-862.43062499999996</v>
      </c>
      <c r="BK11" s="328">
        <f>0.5%*'Couts RH'!BK5</f>
        <v>-902.34457031249997</v>
      </c>
      <c r="BL11" s="328">
        <f>0.5%*'Couts RH'!BL5</f>
        <v>-1004.8426171875</v>
      </c>
      <c r="BM11" s="328">
        <f>0.5%*'Couts RH'!BM5</f>
        <v>-1086.2381250000001</v>
      </c>
      <c r="BN11" s="328">
        <f>0.5%*'Couts RH'!BN5</f>
        <v>-1134.4725000000001</v>
      </c>
      <c r="BO11" s="328">
        <f>0.5%*'Couts RH'!BO5</f>
        <v>-1134.4725000000001</v>
      </c>
      <c r="BP11" s="328">
        <f>0.5%*'Couts RH'!BP5</f>
        <v>-1164.6189843750001</v>
      </c>
      <c r="BQ11" s="328">
        <f>0.5%*'Couts RH'!BQ5</f>
        <v>-1224.9119531250001</v>
      </c>
      <c r="BR11" s="329">
        <f>0.5%*'Couts RH'!BR5</f>
        <v>-1312.4935195312501</v>
      </c>
      <c r="BS11" s="328">
        <f>0.5%*'Couts RH'!BS5</f>
        <v>-1397.958802734375</v>
      </c>
      <c r="BT11" s="328">
        <f>0.5%*'Couts RH'!BT5</f>
        <v>-1489.1217714843751</v>
      </c>
      <c r="BU11" s="328">
        <f>0.5%*'Couts RH'!BU5</f>
        <v>-1489.1217714843751</v>
      </c>
      <c r="BV11" s="328">
        <f>0.5%*'Couts RH'!BV5</f>
        <v>-1489.1217714843751</v>
      </c>
      <c r="BW11" s="328">
        <f>0.5%*'Couts RH'!BW5</f>
        <v>-1602.5690214843751</v>
      </c>
      <c r="BX11" s="328">
        <f>0.5%*'Couts RH'!BX5</f>
        <v>-1653.2151152343752</v>
      </c>
      <c r="BY11" s="328">
        <f>0.5%*'Couts RH'!BY5</f>
        <v>-1772.61328125</v>
      </c>
      <c r="BZ11" s="328">
        <f>0.5%*'Couts RH'!BZ5</f>
        <v>-1772.61328125</v>
      </c>
      <c r="CA11" s="328">
        <f>0.5%*'Couts RH'!CA5</f>
        <v>-1825.28521875</v>
      </c>
      <c r="CB11" s="328">
        <f>0.5%*'Couts RH'!CB5</f>
        <v>-1825.28521875</v>
      </c>
      <c r="CC11" s="330">
        <f>0.5%*'Couts RH'!CC5</f>
        <v>-1825.28521875</v>
      </c>
    </row>
    <row r="12" spans="1:81" ht="14">
      <c r="A12" s="194" t="s">
        <v>193</v>
      </c>
      <c r="B12" s="61"/>
      <c r="C12" s="329">
        <f t="shared" ref="C12:CC12" si="2">60%*C4</f>
        <v>-540</v>
      </c>
      <c r="D12" s="328">
        <f t="shared" si="2"/>
        <v>-540</v>
      </c>
      <c r="E12" s="328">
        <f t="shared" si="2"/>
        <v>-540</v>
      </c>
      <c r="F12" s="328">
        <f t="shared" si="2"/>
        <v>-540</v>
      </c>
      <c r="G12" s="328">
        <f t="shared" si="2"/>
        <v>-540</v>
      </c>
      <c r="H12" s="328">
        <f t="shared" si="2"/>
        <v>-540</v>
      </c>
      <c r="I12" s="330">
        <f t="shared" si="2"/>
        <v>-540</v>
      </c>
      <c r="J12" s="328">
        <f t="shared" si="2"/>
        <v>-1152</v>
      </c>
      <c r="K12" s="328">
        <f t="shared" si="2"/>
        <v>-1056</v>
      </c>
      <c r="L12" s="328">
        <f t="shared" si="2"/>
        <v>-1152</v>
      </c>
      <c r="M12" s="328">
        <f t="shared" si="2"/>
        <v>-1152</v>
      </c>
      <c r="N12" s="328">
        <f t="shared" si="2"/>
        <v>-1152</v>
      </c>
      <c r="O12" s="328">
        <f t="shared" si="2"/>
        <v>-1152</v>
      </c>
      <c r="P12" s="328">
        <f t="shared" si="2"/>
        <v>-1440</v>
      </c>
      <c r="Q12" s="328">
        <f t="shared" si="2"/>
        <v>-1440</v>
      </c>
      <c r="R12" s="328">
        <f t="shared" si="2"/>
        <v>-1440</v>
      </c>
      <c r="S12" s="328">
        <f t="shared" si="2"/>
        <v>-1440</v>
      </c>
      <c r="T12" s="328">
        <f t="shared" si="2"/>
        <v>-1440</v>
      </c>
      <c r="U12" s="328">
        <f t="shared" si="2"/>
        <v>-1440</v>
      </c>
      <c r="V12" s="329">
        <f t="shared" si="2"/>
        <v>-1440</v>
      </c>
      <c r="W12" s="328">
        <f t="shared" si="2"/>
        <v>-1440</v>
      </c>
      <c r="X12" s="328">
        <f t="shared" si="2"/>
        <v>-1440</v>
      </c>
      <c r="Y12" s="328">
        <f t="shared" si="2"/>
        <v>-1440</v>
      </c>
      <c r="Z12" s="328">
        <f t="shared" si="2"/>
        <v>-1440</v>
      </c>
      <c r="AA12" s="328">
        <f t="shared" si="2"/>
        <v>-1440</v>
      </c>
      <c r="AB12" s="328">
        <f t="shared" si="2"/>
        <v>-1440</v>
      </c>
      <c r="AC12" s="328">
        <f t="shared" si="2"/>
        <v>-1440</v>
      </c>
      <c r="AD12" s="328">
        <f t="shared" si="2"/>
        <v>-1440</v>
      </c>
      <c r="AE12" s="328">
        <f t="shared" si="2"/>
        <v>-1440</v>
      </c>
      <c r="AF12" s="328">
        <f t="shared" si="2"/>
        <v>-1440</v>
      </c>
      <c r="AG12" s="330">
        <f t="shared" si="2"/>
        <v>-1440</v>
      </c>
      <c r="AH12" s="328">
        <f t="shared" si="2"/>
        <v>-1440</v>
      </c>
      <c r="AI12" s="328">
        <f t="shared" si="2"/>
        <v>-1440</v>
      </c>
      <c r="AJ12" s="328">
        <f t="shared" si="2"/>
        <v>-1440</v>
      </c>
      <c r="AK12" s="328">
        <f t="shared" si="2"/>
        <v>-1440</v>
      </c>
      <c r="AL12" s="328">
        <f t="shared" si="2"/>
        <v>-1440</v>
      </c>
      <c r="AM12" s="328">
        <f t="shared" si="2"/>
        <v>-1440</v>
      </c>
      <c r="AN12" s="328">
        <f t="shared" si="2"/>
        <v>-1440</v>
      </c>
      <c r="AO12" s="328">
        <f t="shared" si="2"/>
        <v>-1440</v>
      </c>
      <c r="AP12" s="328">
        <f t="shared" si="2"/>
        <v>-1440</v>
      </c>
      <c r="AQ12" s="328">
        <f t="shared" si="2"/>
        <v>-1440</v>
      </c>
      <c r="AR12" s="328">
        <f t="shared" si="2"/>
        <v>-1440</v>
      </c>
      <c r="AS12" s="328">
        <f t="shared" si="2"/>
        <v>-1440</v>
      </c>
      <c r="AT12" s="329">
        <f t="shared" si="2"/>
        <v>-1440</v>
      </c>
      <c r="AU12" s="328">
        <f t="shared" si="2"/>
        <v>-1440</v>
      </c>
      <c r="AV12" s="328">
        <f t="shared" si="2"/>
        <v>-1440</v>
      </c>
      <c r="AW12" s="328">
        <f t="shared" si="2"/>
        <v>-1440</v>
      </c>
      <c r="AX12" s="328">
        <f t="shared" si="2"/>
        <v>-1440</v>
      </c>
      <c r="AY12" s="328">
        <f t="shared" si="2"/>
        <v>-1440</v>
      </c>
      <c r="AZ12" s="328">
        <f t="shared" si="2"/>
        <v>-1440</v>
      </c>
      <c r="BA12" s="328">
        <f t="shared" si="2"/>
        <v>-1440</v>
      </c>
      <c r="BB12" s="328">
        <f t="shared" si="2"/>
        <v>-1536</v>
      </c>
      <c r="BC12" s="328">
        <f t="shared" si="2"/>
        <v>-1632</v>
      </c>
      <c r="BD12" s="328">
        <f t="shared" si="2"/>
        <v>-1728</v>
      </c>
      <c r="BE12" s="330">
        <f t="shared" si="2"/>
        <v>-1728</v>
      </c>
      <c r="BF12" s="328">
        <f t="shared" si="2"/>
        <v>-1728</v>
      </c>
      <c r="BG12" s="328">
        <f t="shared" si="2"/>
        <v>-2016</v>
      </c>
      <c r="BH12" s="328">
        <f t="shared" si="2"/>
        <v>-2016</v>
      </c>
      <c r="BI12" s="328">
        <f t="shared" si="2"/>
        <v>-2496</v>
      </c>
      <c r="BJ12" s="328">
        <f t="shared" si="2"/>
        <v>-2688</v>
      </c>
      <c r="BK12" s="328">
        <f t="shared" si="2"/>
        <v>-2784</v>
      </c>
      <c r="BL12" s="328">
        <f t="shared" si="2"/>
        <v>-3168</v>
      </c>
      <c r="BM12" s="328">
        <f t="shared" si="2"/>
        <v>-3360</v>
      </c>
      <c r="BN12" s="328">
        <f t="shared" si="2"/>
        <v>-3552</v>
      </c>
      <c r="BO12" s="328">
        <f t="shared" si="2"/>
        <v>-3552</v>
      </c>
      <c r="BP12" s="328">
        <f t="shared" si="2"/>
        <v>-3648</v>
      </c>
      <c r="BQ12" s="328">
        <f t="shared" si="2"/>
        <v>-3840</v>
      </c>
      <c r="BR12" s="329">
        <f t="shared" si="2"/>
        <v>-3840</v>
      </c>
      <c r="BS12" s="328">
        <f t="shared" si="2"/>
        <v>-4032</v>
      </c>
      <c r="BT12" s="328">
        <f t="shared" si="2"/>
        <v>-4152</v>
      </c>
      <c r="BU12" s="328">
        <f t="shared" si="2"/>
        <v>-4152</v>
      </c>
      <c r="BV12" s="328">
        <f t="shared" si="2"/>
        <v>-4152</v>
      </c>
      <c r="BW12" s="328">
        <f t="shared" si="2"/>
        <v>-4272</v>
      </c>
      <c r="BX12" s="328">
        <f t="shared" si="2"/>
        <v>-4368</v>
      </c>
      <c r="BY12" s="328">
        <f t="shared" si="2"/>
        <v>-4704</v>
      </c>
      <c r="BZ12" s="328">
        <f t="shared" si="2"/>
        <v>-4704</v>
      </c>
      <c r="CA12" s="328">
        <f t="shared" si="2"/>
        <v>-4704</v>
      </c>
      <c r="CB12" s="328">
        <f t="shared" si="2"/>
        <v>-4704</v>
      </c>
      <c r="CC12" s="328">
        <f t="shared" si="2"/>
        <v>-4704</v>
      </c>
    </row>
    <row r="13" spans="1:81" ht="14">
      <c r="A13" s="194" t="s">
        <v>194</v>
      </c>
      <c r="B13" s="61"/>
      <c r="C13" s="129">
        <f>'Couts RH'!C7</f>
        <v>-625</v>
      </c>
      <c r="D13" s="130">
        <f>'Couts RH'!D7</f>
        <v>-625</v>
      </c>
      <c r="E13" s="130">
        <f>'Couts RH'!E7</f>
        <v>-625</v>
      </c>
      <c r="F13" s="130">
        <f>'Couts RH'!F7</f>
        <v>-625</v>
      </c>
      <c r="G13" s="130">
        <f>'Couts RH'!G7</f>
        <v>-625</v>
      </c>
      <c r="H13" s="130">
        <f>'Couts RH'!H7</f>
        <v>-625</v>
      </c>
      <c r="I13" s="131">
        <f>'Couts RH'!I7</f>
        <v>-625</v>
      </c>
      <c r="J13" s="129">
        <f>'Couts RH'!J7</f>
        <v>-656.25</v>
      </c>
      <c r="K13" s="130">
        <f>'Couts RH'!K7</f>
        <v>-577.5</v>
      </c>
      <c r="L13" s="130">
        <f>'Couts RH'!L7</f>
        <v>-840</v>
      </c>
      <c r="M13" s="130">
        <f>'Couts RH'!M7</f>
        <v>-840</v>
      </c>
      <c r="N13" s="130">
        <f>'Couts RH'!N7</f>
        <v>-840</v>
      </c>
      <c r="O13" s="130">
        <f>'Couts RH'!O7</f>
        <v>-840</v>
      </c>
      <c r="P13" s="130">
        <f>'Couts RH'!P7</f>
        <v>-840</v>
      </c>
      <c r="Q13" s="130">
        <f>'Couts RH'!Q7</f>
        <v>-840</v>
      </c>
      <c r="R13" s="332">
        <f>'Couts RH'!R7-25000</f>
        <v>-25840</v>
      </c>
      <c r="S13" s="333">
        <f>'Couts RH'!S7</f>
        <v>-840</v>
      </c>
      <c r="T13" s="333">
        <f>'Couts RH'!T7</f>
        <v>-840</v>
      </c>
      <c r="U13" s="333">
        <f>'Couts RH'!U7</f>
        <v>-840</v>
      </c>
      <c r="V13" s="333">
        <f>'Couts RH'!V7</f>
        <v>-840</v>
      </c>
      <c r="W13" s="333">
        <f>'Couts RH'!W7</f>
        <v>-840</v>
      </c>
      <c r="X13" s="333">
        <f>'Couts RH'!X7</f>
        <v>-840</v>
      </c>
      <c r="Y13" s="333">
        <f>'Couts RH'!Y7</f>
        <v>-840</v>
      </c>
      <c r="Z13" s="333">
        <f>'Couts RH'!Z7</f>
        <v>-840</v>
      </c>
      <c r="AA13" s="333">
        <f>'Couts RH'!AA7</f>
        <v>-840</v>
      </c>
      <c r="AB13" s="333">
        <f>'Couts RH'!AB7</f>
        <v>-840</v>
      </c>
      <c r="AC13" s="333">
        <f>'Couts RH'!AC7</f>
        <v>-840</v>
      </c>
      <c r="AD13" s="333">
        <f>'Couts RH'!AD7</f>
        <v>-840</v>
      </c>
      <c r="AE13" s="333">
        <f>'Couts RH'!AE7</f>
        <v>-840</v>
      </c>
      <c r="AF13" s="333">
        <f>'Couts RH'!AF7</f>
        <v>-840</v>
      </c>
      <c r="AG13" s="333">
        <f>'Couts RH'!AG7</f>
        <v>-840</v>
      </c>
      <c r="AH13" s="333">
        <f>'Couts RH'!AH7</f>
        <v>-840</v>
      </c>
      <c r="AI13" s="333">
        <f>'Couts RH'!AI7</f>
        <v>-840</v>
      </c>
      <c r="AJ13" s="333">
        <f>'Couts RH'!AJ7</f>
        <v>-840</v>
      </c>
      <c r="AK13" s="333">
        <f>'Couts RH'!AK7</f>
        <v>-840</v>
      </c>
      <c r="AL13" s="333">
        <f>'Couts RH'!AL7</f>
        <v>-840</v>
      </c>
      <c r="AM13" s="333">
        <f>'Couts RH'!AM7</f>
        <v>-840</v>
      </c>
      <c r="AN13" s="333">
        <f>'Couts RH'!AN7</f>
        <v>-840</v>
      </c>
      <c r="AO13" s="333">
        <f>'Couts RH'!AO7</f>
        <v>-840</v>
      </c>
      <c r="AP13" s="333">
        <f>'Couts RH'!AP7</f>
        <v>-840</v>
      </c>
      <c r="AQ13" s="333">
        <f>'Couts RH'!AQ7</f>
        <v>-840</v>
      </c>
      <c r="AR13" s="333">
        <f>'Couts RH'!AR7</f>
        <v>-840</v>
      </c>
      <c r="AS13" s="334">
        <f>'Couts RH'!AS7</f>
        <v>-840</v>
      </c>
      <c r="AT13" s="335">
        <f>'Couts RH'!AT7</f>
        <v>-882</v>
      </c>
      <c r="AU13" s="333">
        <f>'Couts RH'!AU7</f>
        <v>-882</v>
      </c>
      <c r="AV13" s="333">
        <f>'Couts RH'!AV7</f>
        <v>-882</v>
      </c>
      <c r="AW13" s="333">
        <f>'Couts RH'!AW7</f>
        <v>-882</v>
      </c>
      <c r="AX13" s="333">
        <f>'Couts RH'!AX7</f>
        <v>-882</v>
      </c>
      <c r="AY13" s="333">
        <f>'Couts RH'!AY7</f>
        <v>-882</v>
      </c>
      <c r="AZ13" s="333">
        <f>'Couts RH'!AZ7</f>
        <v>-882</v>
      </c>
      <c r="BA13" s="333">
        <f>'Couts RH'!BA7</f>
        <v>-882</v>
      </c>
      <c r="BB13" s="333">
        <f>'Couts RH'!BB7</f>
        <v>-882</v>
      </c>
      <c r="BC13" s="333">
        <f>'Couts RH'!BC7</f>
        <v>-882</v>
      </c>
      <c r="BD13" s="333">
        <f>'Couts RH'!BD7</f>
        <v>-882</v>
      </c>
      <c r="BE13" s="334">
        <f>'Couts RH'!BE7</f>
        <v>-882</v>
      </c>
      <c r="BF13" s="335">
        <f>'Couts RH'!BF7</f>
        <v>-926.1</v>
      </c>
      <c r="BG13" s="333">
        <f>'Couts RH'!BG7</f>
        <v>-1967.9625000000001</v>
      </c>
      <c r="BH13" s="333">
        <f>'Couts RH'!BH7</f>
        <v>-1967.9625000000001</v>
      </c>
      <c r="BI13" s="333">
        <f>'Couts RH'!BI7</f>
        <v>-2546.7750000000001</v>
      </c>
      <c r="BJ13" s="333">
        <f>'Couts RH'!BJ7</f>
        <v>-3125.5875000000001</v>
      </c>
      <c r="BK13" s="333">
        <f>'Couts RH'!BK7</f>
        <v>-3125.5875000000001</v>
      </c>
      <c r="BL13" s="333">
        <f>'Couts RH'!BL7</f>
        <v>-3704.4</v>
      </c>
      <c r="BM13" s="333">
        <f>'Couts RH'!BM7</f>
        <v>-3704.4</v>
      </c>
      <c r="BN13" s="333">
        <f>'Couts RH'!BN7</f>
        <v>-3704.4</v>
      </c>
      <c r="BO13" s="333">
        <f>'Couts RH'!BO7</f>
        <v>-3704.4</v>
      </c>
      <c r="BP13" s="333">
        <f>'Couts RH'!BP7</f>
        <v>-3704.4</v>
      </c>
      <c r="BQ13" s="334">
        <f>'Couts RH'!BQ7</f>
        <v>-3704.4</v>
      </c>
      <c r="BR13" s="335">
        <f>'Couts RH'!BR7</f>
        <v>-4132.7212500000005</v>
      </c>
      <c r="BS13" s="333">
        <f>'Couts RH'!BS7</f>
        <v>-4132.7212500000005</v>
      </c>
      <c r="BT13" s="333">
        <f>'Couts RH'!BT7</f>
        <v>-5044.3509375000003</v>
      </c>
      <c r="BU13" s="333">
        <f>'Couts RH'!BU7</f>
        <v>-5044.3509375000003</v>
      </c>
      <c r="BV13" s="333">
        <f>'Couts RH'!BV7</f>
        <v>-5044.3509375000003</v>
      </c>
      <c r="BW13" s="333">
        <f>'Couts RH'!BW7</f>
        <v>-6138.3065624999999</v>
      </c>
      <c r="BX13" s="333">
        <f>'Couts RH'!BX7</f>
        <v>-6138.3065624999999</v>
      </c>
      <c r="BY13" s="333">
        <f>'Couts RH'!BY7</f>
        <v>-6351.0201562500006</v>
      </c>
      <c r="BZ13" s="333">
        <f>'Couts RH'!BZ7</f>
        <v>-6351.0201562500006</v>
      </c>
      <c r="CA13" s="333">
        <f>'Couts RH'!CA7</f>
        <v>-6837.22265625</v>
      </c>
      <c r="CB13" s="333">
        <f>'Couts RH'!CB7</f>
        <v>-6837.22265625</v>
      </c>
      <c r="CC13" s="334">
        <f>'Couts RH'!CC7</f>
        <v>-6837.22265625</v>
      </c>
    </row>
    <row r="14" spans="1:81" ht="14">
      <c r="A14" s="194" t="s">
        <v>195</v>
      </c>
      <c r="B14" s="61"/>
      <c r="C14" s="129"/>
      <c r="D14" s="130"/>
      <c r="E14" s="130"/>
      <c r="F14" s="130"/>
      <c r="G14" s="130"/>
      <c r="H14" s="130"/>
      <c r="I14" s="131"/>
      <c r="J14" s="129">
        <f t="shared" ref="J14:U14" si="3">-4771/12</f>
        <v>-397.58333333333331</v>
      </c>
      <c r="K14" s="130">
        <f t="shared" si="3"/>
        <v>-397.58333333333331</v>
      </c>
      <c r="L14" s="130">
        <f t="shared" si="3"/>
        <v>-397.58333333333331</v>
      </c>
      <c r="M14" s="130">
        <f t="shared" si="3"/>
        <v>-397.58333333333331</v>
      </c>
      <c r="N14" s="130">
        <f t="shared" si="3"/>
        <v>-397.58333333333331</v>
      </c>
      <c r="O14" s="130">
        <f t="shared" si="3"/>
        <v>-397.58333333333331</v>
      </c>
      <c r="P14" s="130">
        <f t="shared" si="3"/>
        <v>-397.58333333333331</v>
      </c>
      <c r="Q14" s="130">
        <f t="shared" si="3"/>
        <v>-397.58333333333331</v>
      </c>
      <c r="R14" s="130">
        <f t="shared" si="3"/>
        <v>-397.58333333333331</v>
      </c>
      <c r="S14" s="130">
        <f t="shared" si="3"/>
        <v>-397.58333333333331</v>
      </c>
      <c r="T14" s="130">
        <f t="shared" si="3"/>
        <v>-397.58333333333331</v>
      </c>
      <c r="U14" s="131">
        <f t="shared" si="3"/>
        <v>-397.58333333333331</v>
      </c>
      <c r="V14" s="129">
        <f>U14*(1+3%)</f>
        <v>-409.51083333333332</v>
      </c>
      <c r="W14" s="130">
        <v>-410</v>
      </c>
      <c r="X14" s="130">
        <v>-410</v>
      </c>
      <c r="Y14" s="130">
        <v>-410</v>
      </c>
      <c r="Z14" s="130">
        <v>-410</v>
      </c>
      <c r="AA14" s="130">
        <v>-410</v>
      </c>
      <c r="AB14" s="130">
        <v>-410</v>
      </c>
      <c r="AC14" s="130">
        <v>-410</v>
      </c>
      <c r="AD14" s="130">
        <v>-410</v>
      </c>
      <c r="AE14" s="130">
        <v>-410</v>
      </c>
      <c r="AF14" s="130">
        <v>-410</v>
      </c>
      <c r="AG14" s="130">
        <v>-410</v>
      </c>
      <c r="AH14" s="129">
        <f>AG14*(1+3%)</f>
        <v>-422.3</v>
      </c>
      <c r="AI14" s="130">
        <v>-422</v>
      </c>
      <c r="AJ14" s="130">
        <v>-422</v>
      </c>
      <c r="AK14" s="130">
        <v>-422</v>
      </c>
      <c r="AL14" s="130">
        <v>-422</v>
      </c>
      <c r="AM14" s="130">
        <v>-422</v>
      </c>
      <c r="AN14" s="130">
        <v>-422</v>
      </c>
      <c r="AO14" s="130">
        <v>-422</v>
      </c>
      <c r="AP14" s="130">
        <v>-422</v>
      </c>
      <c r="AQ14" s="130">
        <v>-422</v>
      </c>
      <c r="AR14" s="130">
        <v>-422</v>
      </c>
      <c r="AS14" s="130">
        <v>-422</v>
      </c>
      <c r="AT14" s="129">
        <f>AS14*(1+3%)</f>
        <v>-434.66</v>
      </c>
      <c r="AU14" s="130">
        <f t="shared" ref="AU14:BE14" si="4">AT14</f>
        <v>-434.66</v>
      </c>
      <c r="AV14" s="130">
        <f t="shared" si="4"/>
        <v>-434.66</v>
      </c>
      <c r="AW14" s="130">
        <f t="shared" si="4"/>
        <v>-434.66</v>
      </c>
      <c r="AX14" s="130">
        <f t="shared" si="4"/>
        <v>-434.66</v>
      </c>
      <c r="AY14" s="130">
        <f t="shared" si="4"/>
        <v>-434.66</v>
      </c>
      <c r="AZ14" s="130">
        <f t="shared" si="4"/>
        <v>-434.66</v>
      </c>
      <c r="BA14" s="130">
        <f t="shared" si="4"/>
        <v>-434.66</v>
      </c>
      <c r="BB14" s="130">
        <f t="shared" si="4"/>
        <v>-434.66</v>
      </c>
      <c r="BC14" s="130">
        <f t="shared" si="4"/>
        <v>-434.66</v>
      </c>
      <c r="BD14" s="130">
        <f t="shared" si="4"/>
        <v>-434.66</v>
      </c>
      <c r="BE14" s="130">
        <f t="shared" si="4"/>
        <v>-434.66</v>
      </c>
      <c r="BF14" s="129">
        <f>BE14*(1+3%)</f>
        <v>-447.69980000000004</v>
      </c>
      <c r="BG14" s="130">
        <f t="shared" ref="BG14:BQ14" si="5">BF14</f>
        <v>-447.69980000000004</v>
      </c>
      <c r="BH14" s="130">
        <f t="shared" si="5"/>
        <v>-447.69980000000004</v>
      </c>
      <c r="BI14" s="130">
        <f t="shared" si="5"/>
        <v>-447.69980000000004</v>
      </c>
      <c r="BJ14" s="130">
        <f t="shared" si="5"/>
        <v>-447.69980000000004</v>
      </c>
      <c r="BK14" s="130">
        <f t="shared" si="5"/>
        <v>-447.69980000000004</v>
      </c>
      <c r="BL14" s="130">
        <f t="shared" si="5"/>
        <v>-447.69980000000004</v>
      </c>
      <c r="BM14" s="130">
        <f t="shared" si="5"/>
        <v>-447.69980000000004</v>
      </c>
      <c r="BN14" s="130">
        <f t="shared" si="5"/>
        <v>-447.69980000000004</v>
      </c>
      <c r="BO14" s="130">
        <f t="shared" si="5"/>
        <v>-447.69980000000004</v>
      </c>
      <c r="BP14" s="130">
        <f t="shared" si="5"/>
        <v>-447.69980000000004</v>
      </c>
      <c r="BQ14" s="130">
        <f t="shared" si="5"/>
        <v>-447.69980000000004</v>
      </c>
      <c r="BR14" s="129">
        <f>BQ14*(1+3%)</f>
        <v>-461.13079400000004</v>
      </c>
      <c r="BS14" s="130">
        <f t="shared" ref="BS14:CC14" si="6">BR14</f>
        <v>-461.13079400000004</v>
      </c>
      <c r="BT14" s="130">
        <f t="shared" si="6"/>
        <v>-461.13079400000004</v>
      </c>
      <c r="BU14" s="130">
        <f t="shared" si="6"/>
        <v>-461.13079400000004</v>
      </c>
      <c r="BV14" s="130">
        <f t="shared" si="6"/>
        <v>-461.13079400000004</v>
      </c>
      <c r="BW14" s="130">
        <f t="shared" si="6"/>
        <v>-461.13079400000004</v>
      </c>
      <c r="BX14" s="130">
        <f t="shared" si="6"/>
        <v>-461.13079400000004</v>
      </c>
      <c r="BY14" s="130">
        <f t="shared" si="6"/>
        <v>-461.13079400000004</v>
      </c>
      <c r="BZ14" s="130">
        <f t="shared" si="6"/>
        <v>-461.13079400000004</v>
      </c>
      <c r="CA14" s="130">
        <f t="shared" si="6"/>
        <v>-461.13079400000004</v>
      </c>
      <c r="CB14" s="130">
        <f t="shared" si="6"/>
        <v>-461.13079400000004</v>
      </c>
      <c r="CC14" s="130">
        <f t="shared" si="6"/>
        <v>-461.13079400000004</v>
      </c>
    </row>
    <row r="15" spans="1:81" ht="14">
      <c r="A15" s="305" t="s">
        <v>196</v>
      </c>
      <c r="B15" s="61"/>
      <c r="C15" s="129"/>
      <c r="D15" s="130"/>
      <c r="E15" s="130"/>
      <c r="F15" s="130"/>
      <c r="G15" s="130"/>
      <c r="H15" s="130"/>
      <c r="I15" s="131"/>
      <c r="J15" s="129"/>
      <c r="K15" s="130"/>
      <c r="L15" s="192">
        <f>-10%*'Annexe E  Financement'!L39</f>
        <v>-9276.09375</v>
      </c>
      <c r="M15" s="130"/>
      <c r="N15" s="130"/>
      <c r="O15" s="130"/>
      <c r="P15" s="130"/>
      <c r="Q15" s="130"/>
      <c r="R15" s="130"/>
      <c r="S15" s="130"/>
      <c r="T15" s="130"/>
      <c r="U15" s="131"/>
      <c r="V15" s="129"/>
      <c r="W15" s="130"/>
      <c r="X15" s="192">
        <f>-10%*'Annexe E  Financement'!X39</f>
        <v>-11408.90625</v>
      </c>
      <c r="Y15" s="130"/>
      <c r="Z15" s="130"/>
      <c r="AA15" s="130"/>
      <c r="AB15" s="130"/>
      <c r="AC15" s="130"/>
      <c r="AD15" s="130"/>
      <c r="AE15" s="130"/>
      <c r="AF15" s="130"/>
      <c r="AG15" s="131"/>
      <c r="AH15" s="129"/>
      <c r="AI15" s="130"/>
      <c r="AJ15" s="130">
        <f>-10%*'Annexe E  Financement'!AJ39</f>
        <v>-11408.90625</v>
      </c>
      <c r="AK15" s="130"/>
      <c r="AL15" s="130"/>
      <c r="AM15" s="130"/>
      <c r="AN15" s="130"/>
      <c r="AO15" s="130"/>
      <c r="AP15" s="130"/>
      <c r="AQ15" s="130"/>
      <c r="AR15" s="130"/>
      <c r="AS15" s="131"/>
      <c r="AT15" s="129"/>
      <c r="AU15" s="130"/>
      <c r="AV15" s="130">
        <f>-10%*'Annexe E  Financement'!AV39</f>
        <v>-13896.34375</v>
      </c>
      <c r="AW15" s="130"/>
      <c r="AX15" s="130"/>
      <c r="AY15" s="130"/>
      <c r="AZ15" s="130"/>
      <c r="BA15" s="130"/>
      <c r="BB15" s="130"/>
      <c r="BC15" s="130"/>
      <c r="BD15" s="130"/>
      <c r="BE15" s="131"/>
      <c r="BF15" s="129"/>
      <c r="BG15" s="130"/>
      <c r="BH15" s="130">
        <f>-10%*'Annexe E  Financement'!BH39</f>
        <v>-23573.709765624997</v>
      </c>
      <c r="BI15" s="130"/>
      <c r="BJ15" s="130"/>
      <c r="BK15" s="130"/>
      <c r="BL15" s="130"/>
      <c r="BM15" s="130"/>
      <c r="BN15" s="130"/>
      <c r="BO15" s="130"/>
      <c r="BP15" s="130"/>
      <c r="BQ15" s="131"/>
      <c r="BR15" s="129"/>
      <c r="BS15" s="130"/>
      <c r="BT15" s="130">
        <f>-10%*'Annexe E  Financement'!BT39</f>
        <v>-31305.137441406248</v>
      </c>
      <c r="BU15" s="130"/>
      <c r="BV15" s="130"/>
      <c r="BW15" s="130"/>
      <c r="BX15" s="130"/>
      <c r="BY15" s="130"/>
      <c r="BZ15" s="130"/>
      <c r="CA15" s="130"/>
      <c r="CB15" s="130"/>
      <c r="CC15" s="131"/>
    </row>
    <row r="16" spans="1:81" ht="14">
      <c r="A16" s="194" t="s">
        <v>197</v>
      </c>
      <c r="B16" s="61"/>
      <c r="C16" s="129"/>
      <c r="D16" s="130"/>
      <c r="E16" s="130"/>
      <c r="F16" s="130"/>
      <c r="G16" s="130"/>
      <c r="H16" s="130"/>
      <c r="I16" s="131"/>
      <c r="J16" s="129">
        <f>-(Ventes!J43-Ventes!I43)*Hypothèses!$B$42*$B$84</f>
        <v>-437.1332967934797</v>
      </c>
      <c r="K16" s="130">
        <f ca="1">-(Ventes!K43-Ventes!J43)*Hypothèses!$B$42*$B$84</f>
        <v>-461.57424829932893</v>
      </c>
      <c r="L16" s="130">
        <f ca="1">-(Ventes!L43-Ventes!K43)*Hypothèses!$B$42*$B$84</f>
        <v>-407.19698172405634</v>
      </c>
      <c r="M16" s="130">
        <f ca="1">-(Ventes!M43-Ventes!L43)*Hypothèses!$B$42*$B$84</f>
        <v>-486.27051460665541</v>
      </c>
      <c r="N16" s="130">
        <f ca="1">-(Ventes!N43-Ventes!M43)*Hypothèses!$B$42*$B$84</f>
        <v>-500.72538225852725</v>
      </c>
      <c r="O16" s="130">
        <f ca="1">-(Ventes!O43-Ventes!N43)*Hypothèses!$B$42*$B$84</f>
        <v>-514.84622899740225</v>
      </c>
      <c r="P16" s="130">
        <f ca="1">-(Ventes!P43-Ventes!O43)*Hypothèses!$B$42*$B$84</f>
        <v>-528.64121178555251</v>
      </c>
      <c r="Q16" s="130">
        <f ca="1">-(Ventes!Q43-Ventes!P43)*Hypothèses!$B$42*$B$84</f>
        <v>-587.04521847338754</v>
      </c>
      <c r="R16" s="130">
        <f ca="1">-(Ventes!R43-Ventes!Q43)*Hypothèses!$B$42*$B$84</f>
        <v>-604.88517100063461</v>
      </c>
      <c r="S16" s="130">
        <f ca="1">-(Ventes!S43-Ventes!R43)*Hypothèses!$B$42*$B$84</f>
        <v>-622.28098356247301</v>
      </c>
      <c r="T16" s="130">
        <f ca="1">-(Ventes!T43-Ventes!S43)*Hypothèses!$B$42*$B$84</f>
        <v>-639.24473432995057</v>
      </c>
      <c r="U16" s="131">
        <f ca="1">-(Ventes!U43-Ventes!T43)*Hypothèses!$B$42*$B$84</f>
        <v>-655.78812900846515</v>
      </c>
      <c r="V16" s="129">
        <f ca="1">-(Ventes!V43-Ventes!U43)*Hypothèses!$B$42*$B$84</f>
        <v>-854.71810983205569</v>
      </c>
      <c r="W16" s="130">
        <f ca="1">-(Ventes!W43-Ventes!V43)*Hypothèses!$B$42*$B$84</f>
        <v>-880.20872739653794</v>
      </c>
      <c r="X16" s="130">
        <f ca="1">-(Ventes!X43-Ventes!W43)*Hypothèses!$B$42*$B$84</f>
        <v>-905.25286265255045</v>
      </c>
      <c r="Y16" s="130">
        <f ca="1">-(Ventes!Y43-Ventes!X43)*Hypothèses!$B$42*$B$84</f>
        <v>-929.8589437116932</v>
      </c>
      <c r="Z16" s="130">
        <f ca="1">-(Ventes!Z43-Ventes!Y43)*Hypothèses!$B$42*$B$84</f>
        <v>-954.03522182014456</v>
      </c>
      <c r="AA16" s="130">
        <f ca="1">-(Ventes!AA43-Ventes!Z43)*Hypothèses!$B$42*$B$84</f>
        <v>-977.78977560051146</v>
      </c>
      <c r="AB16" s="130">
        <f ca="1">-(Ventes!AB43-Ventes!AA43)*Hypothèses!$B$42*$B$84</f>
        <v>-1001.1305151752146</v>
      </c>
      <c r="AC16" s="130">
        <f ca="1">-(Ventes!AC43-Ventes!AB43)*Hypothèses!$B$42*$B$84</f>
        <v>-1067.1201819772079</v>
      </c>
      <c r="AD16" s="130">
        <f ca="1">-(Ventes!AD43-Ventes!AC43)*Hypothèses!$B$42*$B$84</f>
        <v>-1092.6769581893564</v>
      </c>
      <c r="AE16" s="130">
        <f ca="1">-(Ventes!AE43-Ventes!AD43)*Hypothèses!$B$42*$B$84</f>
        <v>-1117.7688538208702</v>
      </c>
      <c r="AF16" s="130">
        <f ca="1">-(Ventes!AF43-Ventes!AE43)*Hypothèses!$B$42*$B$84</f>
        <v>-1142.4053305456096</v>
      </c>
      <c r="AG16" s="131">
        <f ca="1">-(Ventes!AG43-Ventes!AF43)*Hypothèses!$B$42*$B$84</f>
        <v>-1166.5956253369359</v>
      </c>
      <c r="AH16" s="129">
        <f ca="1">-(Ventes!AH43-Ventes!AG43)*Hypothèses!$B$42*$B$84</f>
        <v>-1028.0060764979987</v>
      </c>
      <c r="AI16" s="130">
        <f ca="1">-(Ventes!AI43-Ventes!AH43)*Hypothèses!$B$42*$B$84</f>
        <v>-1047.4914643050602</v>
      </c>
      <c r="AJ16" s="130">
        <f ca="1">-(Ventes!AJ43-Ventes!AI43)*Hypothèses!$B$42*$B$84</f>
        <v>-1066.7139881792457</v>
      </c>
      <c r="AK16" s="130">
        <f ca="1">-(Ventes!AK43-Ventes!AJ43)*Hypothèses!$B$42*$B$84</f>
        <v>-1085.6770040496076</v>
      </c>
      <c r="AL16" s="130">
        <f ca="1">-(Ventes!AL43-Ventes!AK43)*Hypothèses!$B$42*$B$84</f>
        <v>-1104.3838372680591</v>
      </c>
      <c r="AM16" s="130">
        <f ca="1">-(Ventes!AM43-Ventes!AL43)*Hypothèses!$B$42*$B$84</f>
        <v>-1122.837782302181</v>
      </c>
      <c r="AN16" s="130">
        <f ca="1">-(Ventes!AN43-Ventes!AM43)*Hypothèses!$B$42*$B$84</f>
        <v>-1141.0421024609138</v>
      </c>
      <c r="AO16" s="130">
        <f ca="1">-(Ventes!AO43-Ventes!AN43)*Hypothèses!$B$42*$B$84</f>
        <v>-1159.0000296520634</v>
      </c>
      <c r="AP16" s="130">
        <f ca="1">-(Ventes!AP43-Ventes!AO43)*Hypothèses!$B$42*$B$84</f>
        <v>-1176.7147641695988</v>
      </c>
      <c r="AQ16" s="130">
        <f ca="1">-(Ventes!AQ43-Ventes!AP43)*Hypothèses!$B$42*$B$84</f>
        <v>-1194.1894745099876</v>
      </c>
      <c r="AR16" s="130">
        <f ca="1">-(Ventes!AR43-Ventes!AQ43)*Hypothèses!$B$42*$B$84</f>
        <v>-1211.4272972155777</v>
      </c>
      <c r="AS16" s="131">
        <f ca="1">-(Ventes!AS43-Ventes!AR43)*Hypothèses!$B$42*$B$84</f>
        <v>-1228.4313367442405</v>
      </c>
      <c r="AT16" s="129">
        <f ca="1">-(Ventes!AT43-Ventes!AS43)*Hypothèses!$B$42*$B$84</f>
        <v>-772.92291188017089</v>
      </c>
      <c r="AU16" s="130">
        <f ca="1">-(Ventes!AU43-Ventes!AT43)*Hypothèses!$B$42*$B$84</f>
        <v>-776.97975321264266</v>
      </c>
      <c r="AV16" s="130">
        <f ca="1">-(Ventes!AV43-Ventes!AU43)*Hypothèses!$B$42*$B$84</f>
        <v>-780.96942735832044</v>
      </c>
      <c r="AW16" s="130">
        <f ca="1">-(Ventes!AW43-Ventes!AV43)*Hypothèses!$B$42*$B$84</f>
        <v>-784.89284648658213</v>
      </c>
      <c r="AX16" s="130">
        <f ca="1">-(Ventes!AX43-Ventes!AW43)*Hypothèses!$B$42*$B$84</f>
        <v>-788.75091648903447</v>
      </c>
      <c r="AY16" s="130">
        <f ca="1">-(Ventes!AY43-Ventes!AX43)*Hypothèses!$B$42*$B$84</f>
        <v>-792.54453670999965</v>
      </c>
      <c r="AZ16" s="130">
        <f ca="1">-(Ventes!AZ43-Ventes!AY43)*Hypothèses!$B$42*$B$84</f>
        <v>-796.27459969636232</v>
      </c>
      <c r="BA16" s="130">
        <f ca="1">-(Ventes!BA43-Ventes!AZ43)*Hypothèses!$B$42*$B$84</f>
        <v>-977.7778431906745</v>
      </c>
      <c r="BB16" s="130">
        <f ca="1">-(Ventes!BB43-Ventes!BA43)*Hypothèses!$B$42*$B$84</f>
        <v>-981.75432236639381</v>
      </c>
      <c r="BC16" s="130">
        <f ca="1">-(Ventes!BC43-Ventes!BB43)*Hypothèses!$B$42*$B$84</f>
        <v>-985.66226006892532</v>
      </c>
      <c r="BD16" s="130">
        <f ca="1">-(Ventes!BD43-Ventes!BC43)*Hypothèses!$B$42*$B$84</f>
        <v>-989.50266906497291</v>
      </c>
      <c r="BE16" s="131">
        <f ca="1">-(Ventes!BE43-Ventes!BD43)*Hypothèses!$B$42*$B$84</f>
        <v>-993.27654991181362</v>
      </c>
      <c r="BF16" s="129">
        <f ca="1">-(Ventes!BF43-Ventes!BE43)*Hypothèses!$B$42*$B$84</f>
        <v>-742.03694664980958</v>
      </c>
      <c r="BG16" s="130">
        <f ca="1">-(Ventes!BG43-Ventes!BF43)*Hypothèses!$B$42*$B$84</f>
        <v>-736.62645751321179</v>
      </c>
      <c r="BH16" s="130">
        <f ca="1">-(Ventes!BH43-Ventes!BG43)*Hypothèses!$B$42*$B$84</f>
        <v>-1058.8604038304061</v>
      </c>
      <c r="BI16" s="130">
        <f ca="1">-(Ventes!BI43-Ventes!BH43)*Hypothèses!$B$42*$B$84</f>
        <v>-1050.3279265398805</v>
      </c>
      <c r="BJ16" s="130">
        <f ca="1">-(Ventes!BJ43-Ventes!BI43)*Hypothèses!$B$42*$B$84</f>
        <v>-1697.0827983886193</v>
      </c>
      <c r="BK16" s="130">
        <f ca="1">-(Ventes!BK43-Ventes!BJ43)*Hypothèses!$B$42*$B$84</f>
        <v>-2337.5028953391643</v>
      </c>
      <c r="BL16" s="130">
        <f ca="1">-(Ventes!BL43-Ventes!BK43)*Hypothèses!$B$42*$B$84</f>
        <v>-2316.4744114636824</v>
      </c>
      <c r="BM16" s="130">
        <f ca="1">-(Ventes!BM43-Ventes!BL43)*Hypothèses!$B$42*$B$84</f>
        <v>-2403.3557102836767</v>
      </c>
      <c r="BN16" s="130">
        <f ca="1">-(Ventes!BN43-Ventes!BM43)*Hypothèses!$B$42*$B$84</f>
        <v>-2381.7820203701126</v>
      </c>
      <c r="BO16" s="130">
        <f ca="1">-(Ventes!BO43-Ventes!BN43)*Hypothèses!$B$42*$B$84</f>
        <v>-2360.4713138502962</v>
      </c>
      <c r="BP16" s="130">
        <f ca="1">-(Ventes!BP43-Ventes!BO43)*Hypothèses!$B$42*$B$84</f>
        <v>-2339.4192698309598</v>
      </c>
      <c r="BQ16" s="131">
        <f ca="1">-(Ventes!BQ43-Ventes!BP43)*Hypothèses!$B$42*$B$84</f>
        <v>-2318.621655881584</v>
      </c>
      <c r="BR16" s="129">
        <f ca="1">-(Ventes!BR43-Ventes!BQ43)*Hypothèses!$B$42*$B$84</f>
        <v>-2290.6502052959195</v>
      </c>
      <c r="BS16" s="130">
        <f ca="1">-(Ventes!BS43-Ventes!BR43)*Hypothèses!$B$42*$B$84</f>
        <v>-2269.7734705924677</v>
      </c>
      <c r="BT16" s="130">
        <f ca="1">-(Ventes!BT43-Ventes!BS43)*Hypothèses!$B$42*$B$84</f>
        <v>-2249.1419229879466</v>
      </c>
      <c r="BU16" s="130">
        <f ca="1">-(Ventes!BU43-Ventes!BT43)*Hypothèses!$B$42*$B$84</f>
        <v>-2228.752037030049</v>
      </c>
      <c r="BV16" s="130">
        <f ca="1">-(Ventes!BV43-Ventes!BU43)*Hypothèses!$B$42*$B$84</f>
        <v>-2208.6003459052745</v>
      </c>
      <c r="BW16" s="130">
        <f ca="1">-(Ventes!BW43-Ventes!BV43)*Hypothèses!$B$42*$B$84</f>
        <v>-2188.6834403582725</v>
      </c>
      <c r="BX16" s="130">
        <f ca="1">-(Ventes!BX43-Ventes!BW43)*Hypothèses!$B$42*$B$84</f>
        <v>-2168.9979676327812</v>
      </c>
      <c r="BY16" s="130">
        <f ca="1">-(Ventes!BY43-Ventes!BX43)*Hypothèses!$B$42*$B$84</f>
        <v>-5069.7925196021242</v>
      </c>
      <c r="BZ16" s="130">
        <f ca="1">-(Ventes!BZ43-Ventes!BY43)*Hypothèses!$B$42*$B$84</f>
        <v>-5349.3955939678572</v>
      </c>
      <c r="CA16" s="130">
        <f ca="1">-(Ventes!CA43-Ventes!BZ43)*Hypothèses!$B$42*$B$84</f>
        <v>-5298.756936947485</v>
      </c>
      <c r="CB16" s="130">
        <f ca="1">-(Ventes!CB43-Ventes!CA43)*Hypothèses!$B$42*$B$84</f>
        <v>-5248.7354968847058</v>
      </c>
      <c r="CC16" s="131">
        <f ca="1">-(Ventes!CC43-Ventes!CB43)*Hypothèses!$B$42*$B$84</f>
        <v>-5199.3221182930984</v>
      </c>
    </row>
    <row r="17" spans="1:81" ht="14">
      <c r="A17" s="207"/>
      <c r="B17" s="167"/>
      <c r="C17" s="336"/>
      <c r="D17" s="337"/>
      <c r="E17" s="337"/>
      <c r="F17" s="337"/>
      <c r="G17" s="337"/>
      <c r="H17" s="337"/>
      <c r="I17" s="338"/>
      <c r="J17" s="336"/>
      <c r="K17" s="337"/>
      <c r="L17" s="337"/>
      <c r="M17" s="337"/>
      <c r="N17" s="337"/>
      <c r="O17" s="337"/>
      <c r="P17" s="337"/>
      <c r="Q17" s="337"/>
      <c r="R17" s="337"/>
      <c r="S17" s="337"/>
      <c r="T17" s="337"/>
      <c r="U17" s="338"/>
      <c r="V17" s="336"/>
      <c r="W17" s="337"/>
      <c r="X17" s="337"/>
      <c r="Y17" s="337"/>
      <c r="Z17" s="337"/>
      <c r="AA17" s="337"/>
      <c r="AB17" s="337"/>
      <c r="AC17" s="337"/>
      <c r="AD17" s="337"/>
      <c r="AE17" s="337"/>
      <c r="AF17" s="337"/>
      <c r="AG17" s="338"/>
      <c r="AH17" s="336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  <c r="AS17" s="338"/>
      <c r="AT17" s="336"/>
      <c r="AU17" s="337"/>
      <c r="AV17" s="337"/>
      <c r="AW17" s="337"/>
      <c r="AX17" s="337"/>
      <c r="AY17" s="337"/>
      <c r="AZ17" s="337"/>
      <c r="BA17" s="337"/>
      <c r="BB17" s="337"/>
      <c r="BC17" s="337"/>
      <c r="BD17" s="337"/>
      <c r="BE17" s="338"/>
      <c r="BF17" s="336"/>
      <c r="BG17" s="337"/>
      <c r="BH17" s="337"/>
      <c r="BI17" s="337"/>
      <c r="BJ17" s="337"/>
      <c r="BK17" s="337"/>
      <c r="BL17" s="337"/>
      <c r="BM17" s="337"/>
      <c r="BN17" s="337"/>
      <c r="BO17" s="337"/>
      <c r="BP17" s="337"/>
      <c r="BQ17" s="338"/>
      <c r="BR17" s="336"/>
      <c r="BS17" s="337"/>
      <c r="BT17" s="337"/>
      <c r="BU17" s="337"/>
      <c r="BV17" s="337"/>
      <c r="BW17" s="337"/>
      <c r="BX17" s="337"/>
      <c r="BY17" s="337"/>
      <c r="BZ17" s="337"/>
      <c r="CA17" s="337"/>
      <c r="CB17" s="337"/>
      <c r="CC17" s="338"/>
    </row>
    <row r="18" spans="1:81" ht="14">
      <c r="A18" s="286" t="s">
        <v>84</v>
      </c>
      <c r="B18" s="323"/>
      <c r="C18" s="339"/>
      <c r="D18" s="340"/>
      <c r="E18" s="340"/>
      <c r="F18" s="340"/>
      <c r="G18" s="340"/>
      <c r="H18" s="340"/>
      <c r="I18" s="341"/>
      <c r="J18" s="339">
        <f t="shared" ref="J18:CC18" si="7">SUM(J19:J30)</f>
        <v>0</v>
      </c>
      <c r="K18" s="340">
        <f t="shared" si="7"/>
        <v>0</v>
      </c>
      <c r="L18" s="340">
        <f t="shared" si="7"/>
        <v>0</v>
      </c>
      <c r="M18" s="340">
        <f t="shared" si="7"/>
        <v>0</v>
      </c>
      <c r="N18" s="340">
        <f t="shared" si="7"/>
        <v>0</v>
      </c>
      <c r="O18" s="340">
        <f t="shared" si="7"/>
        <v>0</v>
      </c>
      <c r="P18" s="340">
        <f t="shared" si="7"/>
        <v>0</v>
      </c>
      <c r="Q18" s="340">
        <f t="shared" si="7"/>
        <v>0</v>
      </c>
      <c r="R18" s="340">
        <f t="shared" si="7"/>
        <v>0</v>
      </c>
      <c r="S18" s="340">
        <f t="shared" si="7"/>
        <v>-25000</v>
      </c>
      <c r="T18" s="340">
        <f t="shared" si="7"/>
        <v>0</v>
      </c>
      <c r="U18" s="341">
        <f t="shared" si="7"/>
        <v>0</v>
      </c>
      <c r="V18" s="342">
        <f t="shared" si="7"/>
        <v>0</v>
      </c>
      <c r="W18" s="343">
        <f t="shared" si="7"/>
        <v>0</v>
      </c>
      <c r="X18" s="343">
        <f t="shared" si="7"/>
        <v>0</v>
      </c>
      <c r="Y18" s="343">
        <f t="shared" si="7"/>
        <v>0</v>
      </c>
      <c r="Z18" s="343">
        <f t="shared" si="7"/>
        <v>0</v>
      </c>
      <c r="AA18" s="343">
        <f t="shared" si="7"/>
        <v>0</v>
      </c>
      <c r="AB18" s="343">
        <f t="shared" si="7"/>
        <v>0</v>
      </c>
      <c r="AC18" s="343">
        <f t="shared" si="7"/>
        <v>0</v>
      </c>
      <c r="AD18" s="343">
        <f t="shared" si="7"/>
        <v>0</v>
      </c>
      <c r="AE18" s="343">
        <f t="shared" si="7"/>
        <v>0</v>
      </c>
      <c r="AF18" s="343">
        <f t="shared" si="7"/>
        <v>0</v>
      </c>
      <c r="AG18" s="344">
        <f t="shared" si="7"/>
        <v>0</v>
      </c>
      <c r="AH18" s="342">
        <f t="shared" si="7"/>
        <v>0</v>
      </c>
      <c r="AI18" s="343">
        <f t="shared" si="7"/>
        <v>0</v>
      </c>
      <c r="AJ18" s="343">
        <f t="shared" si="7"/>
        <v>0</v>
      </c>
      <c r="AK18" s="343">
        <f t="shared" si="7"/>
        <v>0</v>
      </c>
      <c r="AL18" s="343">
        <f t="shared" si="7"/>
        <v>0</v>
      </c>
      <c r="AM18" s="343">
        <f t="shared" si="7"/>
        <v>0</v>
      </c>
      <c r="AN18" s="343">
        <f t="shared" si="7"/>
        <v>0</v>
      </c>
      <c r="AO18" s="343">
        <f t="shared" si="7"/>
        <v>0</v>
      </c>
      <c r="AP18" s="343">
        <f t="shared" si="7"/>
        <v>0</v>
      </c>
      <c r="AQ18" s="343">
        <f t="shared" si="7"/>
        <v>0</v>
      </c>
      <c r="AR18" s="343">
        <f t="shared" si="7"/>
        <v>0</v>
      </c>
      <c r="AS18" s="344">
        <f t="shared" si="7"/>
        <v>0</v>
      </c>
      <c r="AT18" s="342">
        <f t="shared" si="7"/>
        <v>0</v>
      </c>
      <c r="AU18" s="343">
        <f t="shared" si="7"/>
        <v>0</v>
      </c>
      <c r="AV18" s="343">
        <f t="shared" si="7"/>
        <v>0</v>
      </c>
      <c r="AW18" s="343">
        <f t="shared" si="7"/>
        <v>0</v>
      </c>
      <c r="AX18" s="343">
        <f t="shared" si="7"/>
        <v>0</v>
      </c>
      <c r="AY18" s="343">
        <f t="shared" si="7"/>
        <v>0</v>
      </c>
      <c r="AZ18" s="343">
        <f t="shared" si="7"/>
        <v>0</v>
      </c>
      <c r="BA18" s="343">
        <f t="shared" si="7"/>
        <v>0</v>
      </c>
      <c r="BB18" s="343">
        <f t="shared" si="7"/>
        <v>0</v>
      </c>
      <c r="BC18" s="343">
        <f t="shared" si="7"/>
        <v>0</v>
      </c>
      <c r="BD18" s="343">
        <f t="shared" si="7"/>
        <v>0</v>
      </c>
      <c r="BE18" s="344">
        <f t="shared" si="7"/>
        <v>0</v>
      </c>
      <c r="BF18" s="342">
        <f t="shared" si="7"/>
        <v>-23125</v>
      </c>
      <c r="BG18" s="343">
        <f t="shared" si="7"/>
        <v>-23568.370376420455</v>
      </c>
      <c r="BH18" s="343">
        <f t="shared" si="7"/>
        <v>-23568.370376420455</v>
      </c>
      <c r="BI18" s="343">
        <f t="shared" si="7"/>
        <v>-23563.835208333334</v>
      </c>
      <c r="BJ18" s="343">
        <f t="shared" si="7"/>
        <v>-23563.955948275863</v>
      </c>
      <c r="BK18" s="343">
        <f t="shared" si="7"/>
        <v>-23997.863114919353</v>
      </c>
      <c r="BL18" s="343">
        <f t="shared" si="7"/>
        <v>-23994.678312499997</v>
      </c>
      <c r="BM18" s="343">
        <f t="shared" si="7"/>
        <v>-23999.862297297295</v>
      </c>
      <c r="BN18" s="343">
        <f t="shared" si="7"/>
        <v>-24097.712307692305</v>
      </c>
      <c r="BO18" s="343">
        <f t="shared" si="7"/>
        <v>-24097.712307692305</v>
      </c>
      <c r="BP18" s="343">
        <f t="shared" si="7"/>
        <v>-24097.923796874999</v>
      </c>
      <c r="BQ18" s="344">
        <f t="shared" si="7"/>
        <v>-24098.3165625</v>
      </c>
      <c r="BR18" s="342">
        <f t="shared" si="7"/>
        <v>-34859.610594597871</v>
      </c>
      <c r="BS18" s="343">
        <f t="shared" si="7"/>
        <v>-34866.122347395838</v>
      </c>
      <c r="BT18" s="343">
        <f t="shared" si="7"/>
        <v>-34881.79988241622</v>
      </c>
      <c r="BU18" s="343">
        <f t="shared" si="7"/>
        <v>-34881.79988241622</v>
      </c>
      <c r="BV18" s="343">
        <f t="shared" si="7"/>
        <v>-34881.79988241622</v>
      </c>
      <c r="BW18" s="343">
        <f t="shared" si="7"/>
        <v>-35787.443138020833</v>
      </c>
      <c r="BX18" s="343">
        <f t="shared" si="7"/>
        <v>-35794.61937942708</v>
      </c>
      <c r="BY18" s="343">
        <f t="shared" si="7"/>
        <v>-35902.244005503147</v>
      </c>
      <c r="BZ18" s="343">
        <f t="shared" si="7"/>
        <v>-35902.244005503147</v>
      </c>
      <c r="CA18" s="343">
        <f t="shared" si="7"/>
        <v>-36802.569444696972</v>
      </c>
      <c r="CB18" s="343">
        <f t="shared" si="7"/>
        <v>-36802.569444696972</v>
      </c>
      <c r="CC18" s="344">
        <f t="shared" si="7"/>
        <v>-36802.569444696972</v>
      </c>
    </row>
    <row r="19" spans="1:81" ht="14">
      <c r="A19" s="305"/>
      <c r="B19" s="61"/>
      <c r="C19" s="345"/>
      <c r="D19" s="108"/>
      <c r="E19" s="108"/>
      <c r="F19" s="108"/>
      <c r="G19" s="108"/>
      <c r="H19" s="108"/>
      <c r="I19" s="346"/>
      <c r="J19" s="144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346"/>
      <c r="V19" s="40"/>
      <c r="AG19" s="10"/>
      <c r="AH19" s="40"/>
      <c r="AS19" s="10"/>
      <c r="AT19" s="40"/>
      <c r="BE19" s="10"/>
      <c r="BF19" s="40"/>
      <c r="BQ19" s="10"/>
      <c r="BR19" s="40"/>
      <c r="CC19" s="10"/>
    </row>
    <row r="20" spans="1:81" ht="14">
      <c r="A20" s="305" t="s">
        <v>185</v>
      </c>
      <c r="B20" s="61"/>
      <c r="C20" s="345"/>
      <c r="D20" s="108"/>
      <c r="E20" s="108"/>
      <c r="F20" s="108"/>
      <c r="G20" s="108"/>
      <c r="H20" s="108"/>
      <c r="I20" s="346"/>
      <c r="J20" s="129">
        <f>-'Annexe A  Plan RH'!X94*Hypothèses!$B$96</f>
        <v>0</v>
      </c>
      <c r="K20" s="130">
        <f>-'Annexe A  Plan RH'!Y94*Hypothèses!$B$96</f>
        <v>0</v>
      </c>
      <c r="L20" s="130">
        <f>-'Annexe A  Plan RH'!Z94*Hypothèses!$B$96</f>
        <v>0</v>
      </c>
      <c r="M20" s="130">
        <f>-'Annexe A  Plan RH'!AA94*Hypothèses!$B$96</f>
        <v>0</v>
      </c>
      <c r="N20" s="130">
        <f>-'Annexe A  Plan RH'!AB94*Hypothèses!$B$96</f>
        <v>0</v>
      </c>
      <c r="O20" s="130">
        <f>-'Annexe A  Plan RH'!AC94*Hypothèses!$B$96</f>
        <v>0</v>
      </c>
      <c r="P20" s="130">
        <f>-'Annexe A  Plan RH'!AD94*Hypothèses!$B$96</f>
        <v>0</v>
      </c>
      <c r="Q20" s="130">
        <f>-'Annexe A  Plan RH'!AE94*Hypothèses!$B$96</f>
        <v>0</v>
      </c>
      <c r="R20" s="130">
        <f>-'Annexe A  Plan RH'!AF94*Hypothèses!$B$96</f>
        <v>0</v>
      </c>
      <c r="S20" s="130">
        <f>-'Annexe A  Plan RH'!AG94*Hypothèses!$B$96</f>
        <v>0</v>
      </c>
      <c r="T20" s="130">
        <f>-'Annexe A  Plan RH'!AH94*Hypothèses!$B$96</f>
        <v>0</v>
      </c>
      <c r="U20" s="131">
        <f>-'Annexe A  Plan RH'!AI94*Hypothèses!$B$96</f>
        <v>0</v>
      </c>
      <c r="V20" s="129">
        <f>-'Annexe A  Plan RH'!AJ94*Hypothèses!$B$96</f>
        <v>0</v>
      </c>
      <c r="W20" s="130">
        <f>-'Annexe A  Plan RH'!AK94*Hypothèses!$B$96</f>
        <v>0</v>
      </c>
      <c r="X20" s="130">
        <f>-'Annexe A  Plan RH'!AL94*Hypothèses!$B$96</f>
        <v>0</v>
      </c>
      <c r="Y20" s="130">
        <f>-'Annexe A  Plan RH'!AM94*Hypothèses!$B$96</f>
        <v>0</v>
      </c>
      <c r="Z20" s="130">
        <f>-'Annexe A  Plan RH'!AN94*Hypothèses!$B$96</f>
        <v>0</v>
      </c>
      <c r="AA20" s="130">
        <f>-'Annexe A  Plan RH'!AO94*Hypothèses!$B$96</f>
        <v>0</v>
      </c>
      <c r="AB20" s="130">
        <f>-'Annexe A  Plan RH'!AP94*Hypothèses!$B$96</f>
        <v>0</v>
      </c>
      <c r="AC20" s="130">
        <f>-'Annexe A  Plan RH'!AQ94*Hypothèses!$B$96</f>
        <v>0</v>
      </c>
      <c r="AD20" s="130">
        <f>-'Annexe A  Plan RH'!AR94*Hypothèses!$B$96</f>
        <v>0</v>
      </c>
      <c r="AE20" s="130">
        <f>-'Annexe A  Plan RH'!AS94*Hypothèses!$B$96</f>
        <v>0</v>
      </c>
      <c r="AF20" s="130">
        <f>-'Annexe A  Plan RH'!AT94*Hypothèses!$B$96</f>
        <v>0</v>
      </c>
      <c r="AG20" s="131">
        <f>-'Annexe A  Plan RH'!AU94*Hypothèses!$B$96</f>
        <v>0</v>
      </c>
      <c r="AH20" s="129">
        <f>-'Annexe A  Plan RH'!AV94*Hypothèses!$B$96</f>
        <v>0</v>
      </c>
      <c r="AI20" s="130">
        <f>-'Annexe A  Plan RH'!AW94*Hypothèses!$B$96</f>
        <v>0</v>
      </c>
      <c r="AJ20" s="130">
        <f>-'Annexe A  Plan RH'!AX94*Hypothèses!$B$96</f>
        <v>0</v>
      </c>
      <c r="AK20" s="130">
        <f>-'Annexe A  Plan RH'!AY94*Hypothèses!$B$96</f>
        <v>0</v>
      </c>
      <c r="AL20" s="130">
        <f>-'Annexe A  Plan RH'!AZ94*Hypothèses!$B$96</f>
        <v>0</v>
      </c>
      <c r="AM20" s="130">
        <f>-'Annexe A  Plan RH'!BA94*Hypothèses!$B$96</f>
        <v>0</v>
      </c>
      <c r="AN20" s="130">
        <f>-'Annexe A  Plan RH'!BB94*Hypothèses!$B$96</f>
        <v>0</v>
      </c>
      <c r="AO20" s="130">
        <f>-'Annexe A  Plan RH'!BC94*Hypothèses!$B$96</f>
        <v>0</v>
      </c>
      <c r="AP20" s="130">
        <f>-'Annexe A  Plan RH'!BD94*Hypothèses!$B$96</f>
        <v>0</v>
      </c>
      <c r="AQ20" s="130">
        <f>-'Annexe A  Plan RH'!BE94*Hypothèses!$B$96</f>
        <v>0</v>
      </c>
      <c r="AR20" s="130">
        <f>-'Annexe A  Plan RH'!BF94*Hypothèses!$B$96</f>
        <v>0</v>
      </c>
      <c r="AS20" s="131">
        <f>-'Annexe A  Plan RH'!BG94*Hypothèses!$B$96</f>
        <v>0</v>
      </c>
      <c r="AT20" s="129">
        <f>-'Annexe A  Plan RH'!BH94*Hypothèses!$B$96</f>
        <v>0</v>
      </c>
      <c r="AU20" s="130">
        <f>-'Annexe A  Plan RH'!BI94*Hypothèses!$B$96</f>
        <v>0</v>
      </c>
      <c r="AV20" s="130">
        <f>-'Annexe A  Plan RH'!BJ94*Hypothèses!$B$96</f>
        <v>0</v>
      </c>
      <c r="AW20" s="130">
        <f>-'Annexe A  Plan RH'!BK94*Hypothèses!$B$96</f>
        <v>0</v>
      </c>
      <c r="AX20" s="130">
        <f>-'Annexe A  Plan RH'!BL94*Hypothèses!$B$96</f>
        <v>0</v>
      </c>
      <c r="AY20" s="130">
        <f>-'Annexe A  Plan RH'!BM94*Hypothèses!$B$96</f>
        <v>0</v>
      </c>
      <c r="AZ20" s="130">
        <f>-'Annexe A  Plan RH'!BN94*Hypothèses!$B$96</f>
        <v>0</v>
      </c>
      <c r="BA20" s="130">
        <f>-'Annexe A  Plan RH'!BO94*Hypothèses!$B$96</f>
        <v>0</v>
      </c>
      <c r="BB20" s="130">
        <f>-'Annexe A  Plan RH'!BP94*Hypothèses!$B$96</f>
        <v>0</v>
      </c>
      <c r="BC20" s="130">
        <f>-'Annexe A  Plan RH'!BQ94*Hypothèses!$B$96</f>
        <v>0</v>
      </c>
      <c r="BD20" s="130">
        <f>-'Annexe A  Plan RH'!BR94*Hypothèses!$B$96</f>
        <v>0</v>
      </c>
      <c r="BE20" s="131">
        <f>-'Annexe A  Plan RH'!BS94*Hypothèses!$B$96</f>
        <v>0</v>
      </c>
      <c r="BF20" s="129">
        <f>-'Annexe A  Plan RH'!BT94*Hypothèses!$B$96</f>
        <v>0</v>
      </c>
      <c r="BG20" s="130">
        <f>-'Annexe A  Plan RH'!BU94*Hypothèses!$B$96</f>
        <v>-130</v>
      </c>
      <c r="BH20" s="130">
        <f>-'Annexe A  Plan RH'!BV94*Hypothèses!$B$96</f>
        <v>-130</v>
      </c>
      <c r="BI20" s="130">
        <f>-'Annexe A  Plan RH'!BW94*Hypothèses!$B$96</f>
        <v>-130</v>
      </c>
      <c r="BJ20" s="130">
        <f>-'Annexe A  Plan RH'!BX94*Hypothèses!$B$96</f>
        <v>-130</v>
      </c>
      <c r="BK20" s="130">
        <f>-'Annexe A  Plan RH'!BY94*Hypothèses!$B$96</f>
        <v>-260</v>
      </c>
      <c r="BL20" s="130">
        <f>-'Annexe A  Plan RH'!BZ94*Hypothèses!$B$96</f>
        <v>-260</v>
      </c>
      <c r="BM20" s="130">
        <f>-'Annexe A  Plan RH'!CA94*Hypothèses!$B$96</f>
        <v>-260</v>
      </c>
      <c r="BN20" s="130">
        <f>-'Annexe A  Plan RH'!CB94*Hypothèses!$B$96</f>
        <v>-260</v>
      </c>
      <c r="BO20" s="130">
        <f>-'Annexe A  Plan RH'!CC94*Hypothèses!$B$96</f>
        <v>-260</v>
      </c>
      <c r="BP20" s="130">
        <f>-'Annexe A  Plan RH'!CD94*Hypothèses!$B$96</f>
        <v>-260</v>
      </c>
      <c r="BQ20" s="131">
        <f>-'Annexe A  Plan RH'!CE94*Hypothèses!$B$96</f>
        <v>-260</v>
      </c>
      <c r="BR20" s="129">
        <f>-'Annexe A  Plan RH'!CF94*Hypothèses!$B$96</f>
        <v>-390</v>
      </c>
      <c r="BS20" s="130">
        <f>-'Annexe A  Plan RH'!CG94*Hypothèses!$B$96</f>
        <v>-390</v>
      </c>
      <c r="BT20" s="130">
        <f>-'Annexe A  Plan RH'!CH94*Hypothèses!$B$96</f>
        <v>-390</v>
      </c>
      <c r="BU20" s="130">
        <f>-'Annexe A  Plan RH'!CI94*Hypothèses!$B$96</f>
        <v>-390</v>
      </c>
      <c r="BV20" s="130">
        <f>-'Annexe A  Plan RH'!CJ94*Hypothèses!$B$96</f>
        <v>-390</v>
      </c>
      <c r="BW20" s="130">
        <f>-'Annexe A  Plan RH'!CK94*Hypothèses!$B$96</f>
        <v>-650</v>
      </c>
      <c r="BX20" s="130">
        <f>-'Annexe A  Plan RH'!CL94*Hypothèses!$B$96</f>
        <v>-650</v>
      </c>
      <c r="BY20" s="130">
        <f>-'Annexe A  Plan RH'!CM94*Hypothèses!$B$96</f>
        <v>-650</v>
      </c>
      <c r="BZ20" s="130">
        <f>-'Annexe A  Plan RH'!CN94*Hypothèses!$B$96</f>
        <v>-650</v>
      </c>
      <c r="CA20" s="130">
        <f>-'Annexe A  Plan RH'!CO94*Hypothèses!$B$96</f>
        <v>-910</v>
      </c>
      <c r="CB20" s="130">
        <f>-'Annexe A  Plan RH'!CP94*Hypothèses!$B$96</f>
        <v>-910</v>
      </c>
      <c r="CC20" s="131">
        <f>-'Annexe A  Plan RH'!CQ94*Hypothèses!$B$96</f>
        <v>-910</v>
      </c>
    </row>
    <row r="21" spans="1:81" ht="14">
      <c r="A21" s="305" t="s">
        <v>186</v>
      </c>
      <c r="B21" s="61"/>
      <c r="C21" s="345"/>
      <c r="D21" s="108"/>
      <c r="E21" s="108"/>
      <c r="F21" s="108"/>
      <c r="G21" s="108"/>
      <c r="H21" s="108"/>
      <c r="I21" s="346"/>
      <c r="J21" s="328">
        <f>1%*'Couts RH'!J$5*'Annexe A  Plan RH'!X$94/'Annexe A  Plan RH'!X$92</f>
        <v>0</v>
      </c>
      <c r="K21" s="328">
        <f>1%*'Couts RH'!K$5*'Annexe A  Plan RH'!Y94/'Annexe A  Plan RH'!Y$92</f>
        <v>0</v>
      </c>
      <c r="L21" s="328">
        <f>1%*'Couts RH'!L$5*'Annexe A  Plan RH'!Z94/'Annexe A  Plan RH'!Z$92</f>
        <v>0</v>
      </c>
      <c r="M21" s="328">
        <f>1%*'Couts RH'!M$5*'Annexe A  Plan RH'!AA94/'Annexe A  Plan RH'!AA$92</f>
        <v>0</v>
      </c>
      <c r="N21" s="328">
        <f>1%*'Couts RH'!N$5*'Annexe A  Plan RH'!AB94/'Annexe A  Plan RH'!AB$92</f>
        <v>0</v>
      </c>
      <c r="O21" s="328">
        <f>1%*'Couts RH'!O$5*'Annexe A  Plan RH'!AC94/'Annexe A  Plan RH'!AC$92</f>
        <v>0</v>
      </c>
      <c r="P21" s="328">
        <f>1%*'Couts RH'!P$5*'Annexe A  Plan RH'!AD94/'Annexe A  Plan RH'!AD$92</f>
        <v>0</v>
      </c>
      <c r="Q21" s="328">
        <f>1%*'Couts RH'!Q$5*'Annexe A  Plan RH'!AE94/'Annexe A  Plan RH'!AE$92</f>
        <v>0</v>
      </c>
      <c r="R21" s="328">
        <f>1%*'Couts RH'!R$5*'Annexe A  Plan RH'!AF94/'Annexe A  Plan RH'!AF$92</f>
        <v>0</v>
      </c>
      <c r="S21" s="328">
        <f>1%*'Couts RH'!S$5*'Annexe A  Plan RH'!AG94/'Annexe A  Plan RH'!AG$92</f>
        <v>0</v>
      </c>
      <c r="T21" s="328">
        <f>1%*'Couts RH'!T$5*'Annexe A  Plan RH'!AH94/'Annexe A  Plan RH'!AH$92</f>
        <v>0</v>
      </c>
      <c r="U21" s="328">
        <f>1%*'Couts RH'!U$5*'Annexe A  Plan RH'!AI94/'Annexe A  Plan RH'!AI$92</f>
        <v>0</v>
      </c>
      <c r="V21" s="329">
        <f>1%*'Couts RH'!V$5*'Annexe A  Plan RH'!AJ94/'Annexe A  Plan RH'!AJ$92</f>
        <v>0</v>
      </c>
      <c r="W21" s="328">
        <f>1%*'Couts RH'!W$5*'Annexe A  Plan RH'!AK94/'Annexe A  Plan RH'!AK$92</f>
        <v>0</v>
      </c>
      <c r="X21" s="328">
        <f>1%*'Couts RH'!X$5*'Annexe A  Plan RH'!AL94/'Annexe A  Plan RH'!AL$92</f>
        <v>0</v>
      </c>
      <c r="Y21" s="328">
        <f>1%*'Couts RH'!Y$5*'Annexe A  Plan RH'!AM94/'Annexe A  Plan RH'!AM$92</f>
        <v>0</v>
      </c>
      <c r="Z21" s="328">
        <f>1%*'Couts RH'!Z$5*'Annexe A  Plan RH'!AN94/'Annexe A  Plan RH'!AN$92</f>
        <v>0</v>
      </c>
      <c r="AA21" s="328">
        <f>1%*'Couts RH'!AA$5*'Annexe A  Plan RH'!AO94/'Annexe A  Plan RH'!AO$92</f>
        <v>0</v>
      </c>
      <c r="AB21" s="328">
        <f>1%*'Couts RH'!AB$5*'Annexe A  Plan RH'!AP94/'Annexe A  Plan RH'!AP$92</f>
        <v>0</v>
      </c>
      <c r="AC21" s="328">
        <f>1%*'Couts RH'!AC$5*'Annexe A  Plan RH'!AQ94/'Annexe A  Plan RH'!AQ$92</f>
        <v>0</v>
      </c>
      <c r="AD21" s="328">
        <f>1%*'Couts RH'!AD$5*'Annexe A  Plan RH'!AR94/'Annexe A  Plan RH'!AR$92</f>
        <v>0</v>
      </c>
      <c r="AE21" s="328">
        <f>1%*'Couts RH'!AE$5*'Annexe A  Plan RH'!AS94/'Annexe A  Plan RH'!AS$92</f>
        <v>0</v>
      </c>
      <c r="AF21" s="328">
        <f>1%*'Couts RH'!AF$5*'Annexe A  Plan RH'!AT94/'Annexe A  Plan RH'!AT$92</f>
        <v>0</v>
      </c>
      <c r="AG21" s="330">
        <f>1%*'Couts RH'!AG$5*'Annexe A  Plan RH'!AU94/'Annexe A  Plan RH'!AU$92</f>
        <v>0</v>
      </c>
      <c r="AH21" s="329">
        <f>1%*'Couts RH'!AH$5*'Annexe A  Plan RH'!AV94/'Annexe A  Plan RH'!AV$92</f>
        <v>0</v>
      </c>
      <c r="AI21" s="328">
        <f>1%*'Couts RH'!AI$5*'Annexe A  Plan RH'!AW94/'Annexe A  Plan RH'!AW$92</f>
        <v>0</v>
      </c>
      <c r="AJ21" s="328">
        <f>1%*'Couts RH'!AJ$5*'Annexe A  Plan RH'!AX94/'Annexe A  Plan RH'!AX$92</f>
        <v>0</v>
      </c>
      <c r="AK21" s="328">
        <f>1%*'Couts RH'!AK$5*'Annexe A  Plan RH'!AY94/'Annexe A  Plan RH'!AY$92</f>
        <v>0</v>
      </c>
      <c r="AL21" s="328">
        <f>1%*'Couts RH'!AL$5*'Annexe A  Plan RH'!AZ94/'Annexe A  Plan RH'!AZ$92</f>
        <v>0</v>
      </c>
      <c r="AM21" s="328">
        <f>1%*'Couts RH'!AM$5*'Annexe A  Plan RH'!BA94/'Annexe A  Plan RH'!BA$92</f>
        <v>0</v>
      </c>
      <c r="AN21" s="328">
        <f>1%*'Couts RH'!AN$5*'Annexe A  Plan RH'!BB94/'Annexe A  Plan RH'!BB$92</f>
        <v>0</v>
      </c>
      <c r="AO21" s="328">
        <f>1%*'Couts RH'!AO$5*'Annexe A  Plan RH'!BC94/'Annexe A  Plan RH'!BC$92</f>
        <v>0</v>
      </c>
      <c r="AP21" s="328">
        <f>1%*'Couts RH'!AP$5*'Annexe A  Plan RH'!BD94/'Annexe A  Plan RH'!BD$92</f>
        <v>0</v>
      </c>
      <c r="AQ21" s="328">
        <f>1%*'Couts RH'!AQ$5*'Annexe A  Plan RH'!BE94/'Annexe A  Plan RH'!BE$92</f>
        <v>0</v>
      </c>
      <c r="AR21" s="328">
        <f>1%*'Couts RH'!AR$5*'Annexe A  Plan RH'!BF94/'Annexe A  Plan RH'!BF$92</f>
        <v>0</v>
      </c>
      <c r="AS21" s="330">
        <f>1%*'Couts RH'!AS$5*'Annexe A  Plan RH'!BG94/'Annexe A  Plan RH'!BG$92</f>
        <v>0</v>
      </c>
      <c r="AT21" s="329">
        <f>1%*'Couts RH'!AT$5*'Annexe A  Plan RH'!BH94/'Annexe A  Plan RH'!BH$92</f>
        <v>0</v>
      </c>
      <c r="AU21" s="328">
        <f>1%*'Couts RH'!AU$5*'Annexe A  Plan RH'!BI94/'Annexe A  Plan RH'!BI$92</f>
        <v>0</v>
      </c>
      <c r="AV21" s="328">
        <f>1%*'Couts RH'!AV$5*'Annexe A  Plan RH'!BJ94/'Annexe A  Plan RH'!BJ$92</f>
        <v>0</v>
      </c>
      <c r="AW21" s="328">
        <f>1%*'Couts RH'!AW$5*'Annexe A  Plan RH'!BK94/'Annexe A  Plan RH'!BK$92</f>
        <v>0</v>
      </c>
      <c r="AX21" s="328">
        <f>1%*'Couts RH'!AX$5*'Annexe A  Plan RH'!BL94/'Annexe A  Plan RH'!BL$92</f>
        <v>0</v>
      </c>
      <c r="AY21" s="328">
        <f>1%*'Couts RH'!AY$5*'Annexe A  Plan RH'!BM94/'Annexe A  Plan RH'!BM$92</f>
        <v>0</v>
      </c>
      <c r="AZ21" s="328">
        <f>1%*'Couts RH'!AZ$5*'Annexe A  Plan RH'!BN94/'Annexe A  Plan RH'!BN$92</f>
        <v>0</v>
      </c>
      <c r="BA21" s="328">
        <f>1%*'Couts RH'!BA$5*'Annexe A  Plan RH'!BO94/'Annexe A  Plan RH'!BO$92</f>
        <v>0</v>
      </c>
      <c r="BB21" s="328">
        <f>1%*'Couts RH'!BB$5*'Annexe A  Plan RH'!BP94/'Annexe A  Plan RH'!BP$92</f>
        <v>0</v>
      </c>
      <c r="BC21" s="328">
        <f>1%*'Couts RH'!BC$5*'Annexe A  Plan RH'!BQ94/'Annexe A  Plan RH'!BQ$92</f>
        <v>0</v>
      </c>
      <c r="BD21" s="328">
        <f>1%*'Couts RH'!BD$5*'Annexe A  Plan RH'!BR94/'Annexe A  Plan RH'!BR$92</f>
        <v>0</v>
      </c>
      <c r="BE21" s="330">
        <f>1%*'Couts RH'!BE$5*'Annexe A  Plan RH'!BS94/'Annexe A  Plan RH'!BS$92</f>
        <v>0</v>
      </c>
      <c r="BF21" s="329">
        <f>1%*'Couts RH'!BF$5*'Annexe A  Plan RH'!BT94/'Annexe A  Plan RH'!BT$92</f>
        <v>0</v>
      </c>
      <c r="BG21" s="328">
        <f>1%*'Couts RH'!BG$5*'Annexe A  Plan RH'!BU94/'Annexe A  Plan RH'!BU$92</f>
        <v>-61.685188210227267</v>
      </c>
      <c r="BH21" s="328">
        <f>1%*'Couts RH'!BH$5*'Annexe A  Plan RH'!BV94/'Annexe A  Plan RH'!BV$92</f>
        <v>-61.685188210227267</v>
      </c>
      <c r="BI21" s="328">
        <f>1%*'Couts RH'!BI$5*'Annexe A  Plan RH'!BW94/'Annexe A  Plan RH'!BW$92</f>
        <v>-59.417604166666663</v>
      </c>
      <c r="BJ21" s="328">
        <f>1%*'Couts RH'!BJ$5*'Annexe A  Plan RH'!BX94/'Annexe A  Plan RH'!BX$92</f>
        <v>-59.477974137931035</v>
      </c>
      <c r="BK21" s="328">
        <f>1%*'Couts RH'!BK$5*'Annexe A  Plan RH'!BY94/'Annexe A  Plan RH'!BY$92</f>
        <v>-116.43155745967742</v>
      </c>
      <c r="BL21" s="328">
        <f>1%*'Couts RH'!BL$5*'Annexe A  Plan RH'!BZ94/'Annexe A  Plan RH'!BZ$92</f>
        <v>-114.83915625</v>
      </c>
      <c r="BM21" s="328">
        <f>1%*'Couts RH'!BM$5*'Annexe A  Plan RH'!CA94/'Annexe A  Plan RH'!CA$92</f>
        <v>-117.43114864864866</v>
      </c>
      <c r="BN21" s="328">
        <f>1%*'Couts RH'!BN$5*'Annexe A  Plan RH'!CB94/'Annexe A  Plan RH'!CB$92</f>
        <v>-116.35615384615386</v>
      </c>
      <c r="BO21" s="328">
        <f>1%*'Couts RH'!BO$5*'Annexe A  Plan RH'!CC94/'Annexe A  Plan RH'!CC$92</f>
        <v>-116.35615384615386</v>
      </c>
      <c r="BP21" s="328">
        <f>1%*'Couts RH'!BP$5*'Annexe A  Plan RH'!CD94/'Annexe A  Plan RH'!CD$92</f>
        <v>-116.46189843750001</v>
      </c>
      <c r="BQ21" s="330">
        <f>1%*'Couts RH'!BQ$5*'Annexe A  Plan RH'!CE94/'Annexe A  Plan RH'!CE$92</f>
        <v>-116.65828125</v>
      </c>
      <c r="BR21" s="329">
        <f>1%*'Couts RH'!BR$5*'Annexe A  Plan RH'!CF94/'Annexe A  Plan RH'!CF$92</f>
        <v>-183.13863063226745</v>
      </c>
      <c r="BS21" s="328">
        <f>1%*'Couts RH'!BS$5*'Annexe A  Plan RH'!CG94/'Annexe A  Plan RH'!CG$92</f>
        <v>-186.39450703124999</v>
      </c>
      <c r="BT21" s="328">
        <f>1%*'Couts RH'!BT$5*'Annexe A  Plan RH'!CH94/'Annexe A  Plan RH'!CH$92</f>
        <v>-194.23327454144024</v>
      </c>
      <c r="BU21" s="328">
        <f>1%*'Couts RH'!BU$5*'Annexe A  Plan RH'!CI94/'Annexe A  Plan RH'!CI$92</f>
        <v>-194.23327454144024</v>
      </c>
      <c r="BV21" s="328">
        <f>1%*'Couts RH'!BV$5*'Annexe A  Plan RH'!CJ94/'Annexe A  Plan RH'!CJ$92</f>
        <v>-194.23327454144024</v>
      </c>
      <c r="BW21" s="328">
        <f>1%*'Couts RH'!BW$5*'Annexe A  Plan RH'!CK94/'Annexe A  Plan RH'!CK$92</f>
        <v>-327.05490234375003</v>
      </c>
      <c r="BX21" s="328">
        <f>1%*'Couts RH'!BX$5*'Annexe A  Plan RH'!CL94/'Annexe A  Plan RH'!CL$92</f>
        <v>-330.64302304687504</v>
      </c>
      <c r="BY21" s="328">
        <f>1%*'Couts RH'!BY$5*'Annexe A  Plan RH'!CM94/'Annexe A  Plan RH'!CM$92</f>
        <v>-334.45533608490564</v>
      </c>
      <c r="BZ21" s="328">
        <f>1%*'Couts RH'!BZ$5*'Annexe A  Plan RH'!CN94/'Annexe A  Plan RH'!CN$92</f>
        <v>-334.45533608490564</v>
      </c>
      <c r="CA21" s="328">
        <f>1%*'Couts RH'!CA$5*'Annexe A  Plan RH'!CO94/'Annexe A  Plan RH'!CO$92</f>
        <v>-464.61805568181819</v>
      </c>
      <c r="CB21" s="328">
        <f>1%*'Couts RH'!CB$5*'Annexe A  Plan RH'!CP94/'Annexe A  Plan RH'!CP$92</f>
        <v>-464.61805568181819</v>
      </c>
      <c r="CC21" s="330">
        <f>1%*'Couts RH'!CC$5*'Annexe A  Plan RH'!CQ94/'Annexe A  Plan RH'!CQ$92</f>
        <v>-464.61805568181819</v>
      </c>
    </row>
    <row r="22" spans="1:81" ht="14">
      <c r="A22" s="194" t="s">
        <v>187</v>
      </c>
      <c r="C22" s="345"/>
      <c r="D22" s="108"/>
      <c r="E22" s="108"/>
      <c r="F22" s="108"/>
      <c r="G22" s="108"/>
      <c r="H22" s="108"/>
      <c r="I22" s="346"/>
      <c r="J22" s="328">
        <f>0.5%*'Couts RH'!J$5*'Annexe A  Plan RH'!X$94/'Annexe A  Plan RH'!X$92</f>
        <v>0</v>
      </c>
      <c r="K22" s="328">
        <f>0.5%*'Couts RH'!K$5*'Annexe A  Plan RH'!Y$94/'Annexe A  Plan RH'!Y$92</f>
        <v>0</v>
      </c>
      <c r="L22" s="328">
        <f>0.5%*'Couts RH'!L$5*'Annexe A  Plan RH'!Z$94/'Annexe A  Plan RH'!Z$92</f>
        <v>0</v>
      </c>
      <c r="M22" s="328">
        <f>0.5%*'Couts RH'!M$5*'Annexe A  Plan RH'!AA$94/'Annexe A  Plan RH'!AA$92</f>
        <v>0</v>
      </c>
      <c r="N22" s="328">
        <f>0.5%*'Couts RH'!N$5*'Annexe A  Plan RH'!AB$94/'Annexe A  Plan RH'!AB$92</f>
        <v>0</v>
      </c>
      <c r="O22" s="328">
        <f>0.5%*'Couts RH'!O$5*'Annexe A  Plan RH'!AC$94/'Annexe A  Plan RH'!AC$92</f>
        <v>0</v>
      </c>
      <c r="P22" s="328">
        <f>0.5%*'Couts RH'!P$5*'Annexe A  Plan RH'!AD$94/'Annexe A  Plan RH'!AD$92</f>
        <v>0</v>
      </c>
      <c r="Q22" s="328">
        <f>0.5%*'Couts RH'!Q$5*'Annexe A  Plan RH'!AE$94/'Annexe A  Plan RH'!AE$92</f>
        <v>0</v>
      </c>
      <c r="R22" s="328">
        <f>0.5%*'Couts RH'!R$5*'Annexe A  Plan RH'!AF$94/'Annexe A  Plan RH'!AF$92</f>
        <v>0</v>
      </c>
      <c r="S22" s="328">
        <f>0.5%*'Couts RH'!S$5*'Annexe A  Plan RH'!AG$94/'Annexe A  Plan RH'!AG$92</f>
        <v>0</v>
      </c>
      <c r="T22" s="328">
        <f>0.5%*'Couts RH'!T$5*'Annexe A  Plan RH'!AH$94/'Annexe A  Plan RH'!AH$92</f>
        <v>0</v>
      </c>
      <c r="U22" s="328">
        <f>0.5%*'Couts RH'!U$5*'Annexe A  Plan RH'!AI$94/'Annexe A  Plan RH'!AI$92</f>
        <v>0</v>
      </c>
      <c r="V22" s="329">
        <f>0.5%*'Couts RH'!V$5*'Annexe A  Plan RH'!AJ$94/'Annexe A  Plan RH'!AJ$92</f>
        <v>0</v>
      </c>
      <c r="W22" s="328">
        <f>0.5%*'Couts RH'!W$5*'Annexe A  Plan RH'!AK$94/'Annexe A  Plan RH'!AK$92</f>
        <v>0</v>
      </c>
      <c r="X22" s="328">
        <f>0.5%*'Couts RH'!X$5*'Annexe A  Plan RH'!AL$94/'Annexe A  Plan RH'!AL$92</f>
        <v>0</v>
      </c>
      <c r="Y22" s="328">
        <f>0.5%*'Couts RH'!Y$5*'Annexe A  Plan RH'!AM$94/'Annexe A  Plan RH'!AM$92</f>
        <v>0</v>
      </c>
      <c r="Z22" s="328">
        <f>0.5%*'Couts RH'!Z$5*'Annexe A  Plan RH'!AN$94/'Annexe A  Plan RH'!AN$92</f>
        <v>0</v>
      </c>
      <c r="AA22" s="328">
        <f>0.5%*'Couts RH'!AA$5*'Annexe A  Plan RH'!AO$94/'Annexe A  Plan RH'!AO$92</f>
        <v>0</v>
      </c>
      <c r="AB22" s="328">
        <f>0.5%*'Couts RH'!AB$5*'Annexe A  Plan RH'!AP$94/'Annexe A  Plan RH'!AP$92</f>
        <v>0</v>
      </c>
      <c r="AC22" s="328">
        <f>0.5%*'Couts RH'!AC$5*'Annexe A  Plan RH'!AQ$94/'Annexe A  Plan RH'!AQ$92</f>
        <v>0</v>
      </c>
      <c r="AD22" s="328">
        <f>0.5%*'Couts RH'!AD$5*'Annexe A  Plan RH'!AR$94/'Annexe A  Plan RH'!AR$92</f>
        <v>0</v>
      </c>
      <c r="AE22" s="328">
        <f>0.5%*'Couts RH'!AE$5*'Annexe A  Plan RH'!AS$94/'Annexe A  Plan RH'!AS$92</f>
        <v>0</v>
      </c>
      <c r="AF22" s="328">
        <f>0.5%*'Couts RH'!AF$5*'Annexe A  Plan RH'!AT$94/'Annexe A  Plan RH'!AT$92</f>
        <v>0</v>
      </c>
      <c r="AG22" s="330">
        <f>0.5%*'Couts RH'!AG$5*'Annexe A  Plan RH'!AU$94/'Annexe A  Plan RH'!AU$92</f>
        <v>0</v>
      </c>
      <c r="AH22" s="329">
        <f>0.5%*'Couts RH'!AH$5*'Annexe A  Plan RH'!AV$94/'Annexe A  Plan RH'!AV$92</f>
        <v>0</v>
      </c>
      <c r="AI22" s="328">
        <f>0.5%*'Couts RH'!AI$5*'Annexe A  Plan RH'!AW$94/'Annexe A  Plan RH'!AW$92</f>
        <v>0</v>
      </c>
      <c r="AJ22" s="328">
        <f>0.5%*'Couts RH'!AJ$5*'Annexe A  Plan RH'!AX$94/'Annexe A  Plan RH'!AX$92</f>
        <v>0</v>
      </c>
      <c r="AK22" s="328">
        <f>0.5%*'Couts RH'!AK$5*'Annexe A  Plan RH'!AY$94/'Annexe A  Plan RH'!AY$92</f>
        <v>0</v>
      </c>
      <c r="AL22" s="328">
        <f>0.5%*'Couts RH'!AL$5*'Annexe A  Plan RH'!AZ$94/'Annexe A  Plan RH'!AZ$92</f>
        <v>0</v>
      </c>
      <c r="AM22" s="328">
        <f>0.5%*'Couts RH'!AM$5*'Annexe A  Plan RH'!BA$94/'Annexe A  Plan RH'!BA$92</f>
        <v>0</v>
      </c>
      <c r="AN22" s="328">
        <f>0.5%*'Couts RH'!AN$5*'Annexe A  Plan RH'!BB$94/'Annexe A  Plan RH'!BB$92</f>
        <v>0</v>
      </c>
      <c r="AO22" s="328">
        <f>0.5%*'Couts RH'!AO$5*'Annexe A  Plan RH'!BC$94/'Annexe A  Plan RH'!BC$92</f>
        <v>0</v>
      </c>
      <c r="AP22" s="328">
        <f>0.5%*'Couts RH'!AP$5*'Annexe A  Plan RH'!BD$94/'Annexe A  Plan RH'!BD$92</f>
        <v>0</v>
      </c>
      <c r="AQ22" s="328">
        <f>0.5%*'Couts RH'!AQ$5*'Annexe A  Plan RH'!BE$94/'Annexe A  Plan RH'!BE$92</f>
        <v>0</v>
      </c>
      <c r="AR22" s="328">
        <f>0.5%*'Couts RH'!AR$5*'Annexe A  Plan RH'!BF$94/'Annexe A  Plan RH'!BF$92</f>
        <v>0</v>
      </c>
      <c r="AS22" s="330">
        <f>0.5%*'Couts RH'!AS$5*'Annexe A  Plan RH'!BG$94/'Annexe A  Plan RH'!BG$92</f>
        <v>0</v>
      </c>
      <c r="AT22" s="329">
        <f>0.5%*'Couts RH'!AT$5*'Annexe A  Plan RH'!BH$94/'Annexe A  Plan RH'!BH$92</f>
        <v>0</v>
      </c>
      <c r="AU22" s="328">
        <f>0.5%*'Couts RH'!AU$5*'Annexe A  Plan RH'!BI$94/'Annexe A  Plan RH'!BI$92</f>
        <v>0</v>
      </c>
      <c r="AV22" s="328">
        <f>0.5%*'Couts RH'!AV$5*'Annexe A  Plan RH'!BJ$94/'Annexe A  Plan RH'!BJ$92</f>
        <v>0</v>
      </c>
      <c r="AW22" s="328">
        <f>0.5%*'Couts RH'!AW$5*'Annexe A  Plan RH'!BK$94/'Annexe A  Plan RH'!BK$92</f>
        <v>0</v>
      </c>
      <c r="AX22" s="328">
        <f>0.5%*'Couts RH'!AX$5*'Annexe A  Plan RH'!BL$94/'Annexe A  Plan RH'!BL$92</f>
        <v>0</v>
      </c>
      <c r="AY22" s="328">
        <f>0.5%*'Couts RH'!AY$5*'Annexe A  Plan RH'!BM$94/'Annexe A  Plan RH'!BM$92</f>
        <v>0</v>
      </c>
      <c r="AZ22" s="328">
        <f>0.5%*'Couts RH'!AZ$5*'Annexe A  Plan RH'!BN$94/'Annexe A  Plan RH'!BN$92</f>
        <v>0</v>
      </c>
      <c r="BA22" s="328">
        <f>0.5%*'Couts RH'!BA$5*'Annexe A  Plan RH'!BO$94/'Annexe A  Plan RH'!BO$92</f>
        <v>0</v>
      </c>
      <c r="BB22" s="328">
        <f>0.5%*'Couts RH'!BB$5*'Annexe A  Plan RH'!BP$94/'Annexe A  Plan RH'!BP$92</f>
        <v>0</v>
      </c>
      <c r="BC22" s="328">
        <f>0.5%*'Couts RH'!BC$5*'Annexe A  Plan RH'!BQ$94/'Annexe A  Plan RH'!BQ$92</f>
        <v>0</v>
      </c>
      <c r="BD22" s="328">
        <f>0.5%*'Couts RH'!BD$5*'Annexe A  Plan RH'!BR$94/'Annexe A  Plan RH'!BR$92</f>
        <v>0</v>
      </c>
      <c r="BE22" s="330">
        <f>0.5%*'Couts RH'!BE$5*'Annexe A  Plan RH'!BS$94/'Annexe A  Plan RH'!BS$92</f>
        <v>0</v>
      </c>
      <c r="BF22" s="329">
        <f>0.5%*'Couts RH'!BF$5*'Annexe A  Plan RH'!BT$94/'Annexe A  Plan RH'!BT$92</f>
        <v>0</v>
      </c>
      <c r="BG22" s="328">
        <f>0.5%*'Couts RH'!BG$5*'Annexe A  Plan RH'!BU$94/'Annexe A  Plan RH'!BU$92</f>
        <v>-30.842594105113633</v>
      </c>
      <c r="BH22" s="328">
        <f>0.5%*'Couts RH'!BH$5*'Annexe A  Plan RH'!BV$94/'Annexe A  Plan RH'!BV$92</f>
        <v>-30.842594105113633</v>
      </c>
      <c r="BI22" s="328">
        <f>0.5%*'Couts RH'!BI$5*'Annexe A  Plan RH'!BW$94/'Annexe A  Plan RH'!BW$92</f>
        <v>-29.708802083333332</v>
      </c>
      <c r="BJ22" s="328">
        <f>0.5%*'Couts RH'!BJ$5*'Annexe A  Plan RH'!BX$94/'Annexe A  Plan RH'!BX$92</f>
        <v>-29.738987068965518</v>
      </c>
      <c r="BK22" s="328">
        <f>0.5%*'Couts RH'!BK$5*'Annexe A  Plan RH'!BY$94/'Annexe A  Plan RH'!BY$92</f>
        <v>-58.215778729838711</v>
      </c>
      <c r="BL22" s="328">
        <f>0.5%*'Couts RH'!BL$5*'Annexe A  Plan RH'!BZ$94/'Annexe A  Plan RH'!BZ$92</f>
        <v>-57.419578125000001</v>
      </c>
      <c r="BM22" s="328">
        <f>0.5%*'Couts RH'!BM$5*'Annexe A  Plan RH'!CA$94/'Annexe A  Plan RH'!CA$92</f>
        <v>-58.715574324324329</v>
      </c>
      <c r="BN22" s="328">
        <f>0.5%*'Couts RH'!BN$5*'Annexe A  Plan RH'!CB$94/'Annexe A  Plan RH'!CB$92</f>
        <v>-58.178076923076929</v>
      </c>
      <c r="BO22" s="328">
        <f>0.5%*'Couts RH'!BO$5*'Annexe A  Plan RH'!CC$94/'Annexe A  Plan RH'!CC$92</f>
        <v>-58.178076923076929</v>
      </c>
      <c r="BP22" s="328">
        <f>0.5%*'Couts RH'!BP$5*'Annexe A  Plan RH'!CD$94/'Annexe A  Plan RH'!CD$92</f>
        <v>-58.230949218750006</v>
      </c>
      <c r="BQ22" s="330">
        <f>0.5%*'Couts RH'!BQ$5*'Annexe A  Plan RH'!CE$94/'Annexe A  Plan RH'!CE$92</f>
        <v>-58.329140625000001</v>
      </c>
      <c r="BR22" s="329">
        <f>0.5%*'Couts RH'!BR$5*'Annexe A  Plan RH'!CF$94/'Annexe A  Plan RH'!CF$92</f>
        <v>-91.569315316133725</v>
      </c>
      <c r="BS22" s="328">
        <f>0.5%*'Couts RH'!BS$5*'Annexe A  Plan RH'!CG$94/'Annexe A  Plan RH'!CG$92</f>
        <v>-93.197253515624993</v>
      </c>
      <c r="BT22" s="328">
        <f>0.5%*'Couts RH'!BT$5*'Annexe A  Plan RH'!CH$94/'Annexe A  Plan RH'!CH$92</f>
        <v>-97.116637270720119</v>
      </c>
      <c r="BU22" s="328">
        <f>0.5%*'Couts RH'!BU$5*'Annexe A  Plan RH'!CI$94/'Annexe A  Plan RH'!CI$92</f>
        <v>-97.116637270720119</v>
      </c>
      <c r="BV22" s="328">
        <f>0.5%*'Couts RH'!BV$5*'Annexe A  Plan RH'!CJ$94/'Annexe A  Plan RH'!CJ$92</f>
        <v>-97.116637270720119</v>
      </c>
      <c r="BW22" s="328">
        <f>0.5%*'Couts RH'!BW$5*'Annexe A  Plan RH'!CK$94/'Annexe A  Plan RH'!CK$92</f>
        <v>-163.52745117187501</v>
      </c>
      <c r="BX22" s="328">
        <f>0.5%*'Couts RH'!BX$5*'Annexe A  Plan RH'!CL$94/'Annexe A  Plan RH'!CL$92</f>
        <v>-165.32151152343752</v>
      </c>
      <c r="BY22" s="328">
        <f>0.5%*'Couts RH'!BY$5*'Annexe A  Plan RH'!CM$94/'Annexe A  Plan RH'!CM$92</f>
        <v>-167.22766804245282</v>
      </c>
      <c r="BZ22" s="328">
        <f>0.5%*'Couts RH'!BZ$5*'Annexe A  Plan RH'!CN$94/'Annexe A  Plan RH'!CN$92</f>
        <v>-167.22766804245282</v>
      </c>
      <c r="CA22" s="328">
        <f>0.5%*'Couts RH'!CA$5*'Annexe A  Plan RH'!CO$94/'Annexe A  Plan RH'!CO$92</f>
        <v>-232.3090278409091</v>
      </c>
      <c r="CB22" s="328">
        <f>0.5%*'Couts RH'!CB$5*'Annexe A  Plan RH'!CP$94/'Annexe A  Plan RH'!CP$92</f>
        <v>-232.3090278409091</v>
      </c>
      <c r="CC22" s="330">
        <f>0.5%*'Couts RH'!CC$5*'Annexe A  Plan RH'!CQ$94/'Annexe A  Plan RH'!CQ$92</f>
        <v>-232.3090278409091</v>
      </c>
    </row>
    <row r="23" spans="1:81" ht="14">
      <c r="A23" s="194" t="s">
        <v>188</v>
      </c>
      <c r="C23" s="345"/>
      <c r="D23" s="108"/>
      <c r="E23" s="108"/>
      <c r="F23" s="108"/>
      <c r="G23" s="108"/>
      <c r="H23" s="108"/>
      <c r="I23" s="346"/>
      <c r="J23" s="130">
        <f>-'Annexe A  Plan RH'!Q94*Hypothèses!$B$98</f>
        <v>0</v>
      </c>
      <c r="K23" s="130">
        <f>-'Annexe A  Plan RH'!R94*Hypothèses!$B$98</f>
        <v>0</v>
      </c>
      <c r="L23" s="130">
        <f>-'Annexe A  Plan RH'!S94*Hypothèses!$B$98</f>
        <v>0</v>
      </c>
      <c r="M23" s="130">
        <f>-'Annexe A  Plan RH'!T94*Hypothèses!$B$98</f>
        <v>0</v>
      </c>
      <c r="N23" s="130">
        <f>-'Annexe A  Plan RH'!U94*Hypothèses!$B$98</f>
        <v>0</v>
      </c>
      <c r="O23" s="130">
        <f>-'Annexe A  Plan RH'!V94*Hypothèses!$B$98</f>
        <v>0</v>
      </c>
      <c r="P23" s="130">
        <f>-'Annexe A  Plan RH'!W94*Hypothèses!$B$98</f>
        <v>0</v>
      </c>
      <c r="Q23" s="130">
        <f>-'Annexe A  Plan RH'!X94*Hypothèses!$B$98</f>
        <v>0</v>
      </c>
      <c r="R23" s="130">
        <f>-'Annexe A  Plan RH'!Y94*Hypothèses!$B$98</f>
        <v>0</v>
      </c>
      <c r="S23" s="130">
        <f>-'Annexe A  Plan RH'!Z94*Hypothèses!$B$98</f>
        <v>0</v>
      </c>
      <c r="T23" s="130">
        <f>-'Annexe A  Plan RH'!AA94*Hypothèses!$B$98</f>
        <v>0</v>
      </c>
      <c r="U23" s="130">
        <f>-'Annexe A  Plan RH'!AB94*Hypothèses!$B$98</f>
        <v>0</v>
      </c>
      <c r="V23" s="129">
        <f>-'Annexe A  Plan RH'!AC94*Hypothèses!$B$98</f>
        <v>0</v>
      </c>
      <c r="W23" s="130">
        <f>-'Annexe A  Plan RH'!AD94*Hypothèses!$B$98</f>
        <v>0</v>
      </c>
      <c r="X23" s="130">
        <f>-'Annexe A  Plan RH'!AE94*Hypothèses!$B$98</f>
        <v>0</v>
      </c>
      <c r="Y23" s="130">
        <f>-'Annexe A  Plan RH'!AF94*Hypothèses!$B$98</f>
        <v>0</v>
      </c>
      <c r="Z23" s="130">
        <f>-'Annexe A  Plan RH'!AG94*Hypothèses!$B$98</f>
        <v>0</v>
      </c>
      <c r="AA23" s="130">
        <f>-'Annexe A  Plan RH'!AH94*Hypothèses!$B$98</f>
        <v>0</v>
      </c>
      <c r="AB23" s="130">
        <f>-'Annexe A  Plan RH'!AI94*Hypothèses!$B$98</f>
        <v>0</v>
      </c>
      <c r="AC23" s="130">
        <f>-'Annexe A  Plan RH'!AJ94*Hypothèses!$B$98</f>
        <v>0</v>
      </c>
      <c r="AD23" s="130">
        <f>-'Annexe A  Plan RH'!AK94*Hypothèses!$B$98</f>
        <v>0</v>
      </c>
      <c r="AE23" s="130">
        <f>-'Annexe A  Plan RH'!AL94*Hypothèses!$B$98</f>
        <v>0</v>
      </c>
      <c r="AF23" s="130">
        <f>-'Annexe A  Plan RH'!AM94*Hypothèses!$B$98</f>
        <v>0</v>
      </c>
      <c r="AG23" s="131">
        <f>-'Annexe A  Plan RH'!AN94*Hypothèses!$B$98</f>
        <v>0</v>
      </c>
      <c r="AH23" s="130">
        <f>-'Annexe A  Plan RH'!AO94*Hypothèses!$B$98</f>
        <v>0</v>
      </c>
      <c r="AI23" s="130">
        <f>-'Annexe A  Plan RH'!AP94*Hypothèses!$B$98</f>
        <v>0</v>
      </c>
      <c r="AJ23" s="130">
        <f>-'Annexe A  Plan RH'!AQ94*Hypothèses!$B$98</f>
        <v>0</v>
      </c>
      <c r="AK23" s="130">
        <f>-'Annexe A  Plan RH'!AR94*Hypothèses!$B$98</f>
        <v>0</v>
      </c>
      <c r="AL23" s="130">
        <f>-'Annexe A  Plan RH'!AS94*Hypothèses!$B$98</f>
        <v>0</v>
      </c>
      <c r="AM23" s="130">
        <f>-'Annexe A  Plan RH'!AT94*Hypothèses!$B$98</f>
        <v>0</v>
      </c>
      <c r="AN23" s="130">
        <f>-'Annexe A  Plan RH'!AU94*Hypothèses!$B$98</f>
        <v>0</v>
      </c>
      <c r="AO23" s="130">
        <f>-'Annexe A  Plan RH'!AV94*Hypothèses!$B$98</f>
        <v>0</v>
      </c>
      <c r="AP23" s="130">
        <f>-'Annexe A  Plan RH'!AW94*Hypothèses!$B$98</f>
        <v>0</v>
      </c>
      <c r="AQ23" s="130">
        <f>-'Annexe A  Plan RH'!AX94*Hypothèses!$B$98</f>
        <v>0</v>
      </c>
      <c r="AR23" s="130">
        <f>-'Annexe A  Plan RH'!AY94*Hypothèses!$B$98</f>
        <v>0</v>
      </c>
      <c r="AS23" s="130">
        <f>-'Annexe A  Plan RH'!AZ94*Hypothèses!$B$98</f>
        <v>0</v>
      </c>
      <c r="AT23" s="130">
        <f>-'Annexe A  Plan RH'!BA94*Hypothèses!$B$98</f>
        <v>0</v>
      </c>
      <c r="AU23" s="130">
        <f>-'Annexe A  Plan RH'!BB94*Hypothèses!$B$98</f>
        <v>0</v>
      </c>
      <c r="AV23" s="130">
        <f>-'Annexe A  Plan RH'!BC94*Hypothèses!$B$98</f>
        <v>0</v>
      </c>
      <c r="AW23" s="130">
        <f>-'Annexe A  Plan RH'!BD94*Hypothèses!$B$98</f>
        <v>0</v>
      </c>
      <c r="AX23" s="130">
        <f>-'Annexe A  Plan RH'!BE94*Hypothèses!$B$98</f>
        <v>0</v>
      </c>
      <c r="AY23" s="130">
        <f>-'Annexe A  Plan RH'!BF94*Hypothèses!$B$98</f>
        <v>0</v>
      </c>
      <c r="AZ23" s="130">
        <f>-'Annexe A  Plan RH'!BG94*Hypothèses!$B$98</f>
        <v>0</v>
      </c>
      <c r="BA23" s="130">
        <f>-'Annexe A  Plan RH'!BH94*Hypothèses!$B$98</f>
        <v>0</v>
      </c>
      <c r="BB23" s="130">
        <f>-'Annexe A  Plan RH'!BI94*Hypothèses!$B$98</f>
        <v>0</v>
      </c>
      <c r="BC23" s="130">
        <f>-'Annexe A  Plan RH'!BJ94*Hypothèses!$B$98</f>
        <v>0</v>
      </c>
      <c r="BD23" s="130">
        <f>-'Annexe A  Plan RH'!BK94*Hypothèses!$B$98</f>
        <v>0</v>
      </c>
      <c r="BE23" s="130">
        <f>-'Annexe A  Plan RH'!BL94*Hypothèses!$B$98</f>
        <v>0</v>
      </c>
      <c r="BF23" s="129">
        <f>-'Annexe A  Plan RH'!BM94*Hypothèses!$B$98</f>
        <v>0</v>
      </c>
      <c r="BG23" s="130">
        <f>-'Annexe A  Plan RH'!BN94*Hypothèses!$B$98</f>
        <v>0</v>
      </c>
      <c r="BH23" s="130">
        <f>-'Annexe A  Plan RH'!BO94*Hypothèses!$B$98</f>
        <v>0</v>
      </c>
      <c r="BI23" s="130">
        <f>-'Annexe A  Plan RH'!BP94*Hypothèses!$B$98</f>
        <v>0</v>
      </c>
      <c r="BJ23" s="130">
        <f>-'Annexe A  Plan RH'!BQ94*Hypothèses!$B$98</f>
        <v>0</v>
      </c>
      <c r="BK23" s="130">
        <f>-'Annexe A  Plan RH'!BR94*Hypothèses!$B$98</f>
        <v>0</v>
      </c>
      <c r="BL23" s="130">
        <f>-'Annexe A  Plan RH'!BS94*Hypothèses!$B$98</f>
        <v>0</v>
      </c>
      <c r="BM23" s="130">
        <f>-'Annexe A  Plan RH'!BT94*Hypothèses!$B$98</f>
        <v>0</v>
      </c>
      <c r="BN23" s="130">
        <f>-'Annexe A  Plan RH'!BU94*Hypothèses!$B$98</f>
        <v>-100</v>
      </c>
      <c r="BO23" s="130">
        <f>-'Annexe A  Plan RH'!BV94*Hypothèses!$B$98</f>
        <v>-100</v>
      </c>
      <c r="BP23" s="130">
        <f>-'Annexe A  Plan RH'!BW94*Hypothèses!$B$98</f>
        <v>-100</v>
      </c>
      <c r="BQ23" s="131">
        <f>-'Annexe A  Plan RH'!BX94*Hypothèses!$B$98</f>
        <v>-100</v>
      </c>
      <c r="BR23" s="130">
        <f>-'Annexe A  Plan RH'!BY94*Hypothèses!$B$98</f>
        <v>-200</v>
      </c>
      <c r="BS23" s="130">
        <f>-'Annexe A  Plan RH'!BZ94*Hypothèses!$B$98</f>
        <v>-200</v>
      </c>
      <c r="BT23" s="130">
        <f>-'Annexe A  Plan RH'!CA94*Hypothèses!$B$98</f>
        <v>-200</v>
      </c>
      <c r="BU23" s="130">
        <f>-'Annexe A  Plan RH'!CB94*Hypothèses!$B$98</f>
        <v>-200</v>
      </c>
      <c r="BV23" s="130">
        <f>-'Annexe A  Plan RH'!CC94*Hypothèses!$B$98</f>
        <v>-200</v>
      </c>
      <c r="BW23" s="130">
        <f>-'Annexe A  Plan RH'!CD94*Hypothèses!$B$98</f>
        <v>-200</v>
      </c>
      <c r="BX23" s="130">
        <f>-'Annexe A  Plan RH'!CE94*Hypothèses!$B$98</f>
        <v>-200</v>
      </c>
      <c r="BY23" s="130">
        <f>-'Annexe A  Plan RH'!CF94*Hypothèses!$B$98</f>
        <v>-300</v>
      </c>
      <c r="BZ23" s="130">
        <f>-'Annexe A  Plan RH'!CG94*Hypothèses!$B$98</f>
        <v>-300</v>
      </c>
      <c r="CA23" s="130">
        <f>-'Annexe A  Plan RH'!CH94*Hypothèses!$B$98</f>
        <v>-300</v>
      </c>
      <c r="CB23" s="130">
        <f>-'Annexe A  Plan RH'!CI94*Hypothèses!$B$98</f>
        <v>-300</v>
      </c>
      <c r="CC23" s="130">
        <f>-'Annexe A  Plan RH'!CJ94*Hypothèses!$B$98</f>
        <v>-300</v>
      </c>
    </row>
    <row r="24" spans="1:81" ht="14">
      <c r="A24" s="305" t="s">
        <v>189</v>
      </c>
      <c r="C24" s="144"/>
      <c r="D24" s="108"/>
      <c r="E24" s="108"/>
      <c r="F24" s="108"/>
      <c r="G24" s="108"/>
      <c r="H24" s="108"/>
      <c r="I24" s="346"/>
      <c r="J24" s="335">
        <f>-'Annexe A  Plan RH'!X94*Hypothèses!$B$99</f>
        <v>0</v>
      </c>
      <c r="K24" s="333">
        <f>-'Annexe A  Plan RH'!Y94*Hypothèses!$B$99</f>
        <v>0</v>
      </c>
      <c r="L24" s="333">
        <f>-'Annexe A  Plan RH'!Z94*Hypothèses!$B$99</f>
        <v>0</v>
      </c>
      <c r="M24" s="333">
        <f>-'Annexe A  Plan RH'!AA94*Hypothèses!$B$99</f>
        <v>0</v>
      </c>
      <c r="N24" s="333">
        <f>-'Annexe A  Plan RH'!AB94*Hypothèses!$B$99</f>
        <v>0</v>
      </c>
      <c r="O24" s="333">
        <f>-'Annexe A  Plan RH'!AC94*Hypothèses!$B$99</f>
        <v>0</v>
      </c>
      <c r="P24" s="333">
        <f>-'Annexe A  Plan RH'!AD94*Hypothèses!$B$99</f>
        <v>0</v>
      </c>
      <c r="Q24" s="333">
        <f>-'Annexe A  Plan RH'!AE94*Hypothèses!$B$99</f>
        <v>0</v>
      </c>
      <c r="R24" s="333">
        <f>-'Annexe A  Plan RH'!AF94*Hypothèses!$B$99</f>
        <v>0</v>
      </c>
      <c r="S24" s="333">
        <f>-'Annexe A  Plan RH'!AG94*Hypothèses!$B$99</f>
        <v>0</v>
      </c>
      <c r="T24" s="333">
        <f>-'Annexe A  Plan RH'!AH94*Hypothèses!$B$99</f>
        <v>0</v>
      </c>
      <c r="U24" s="333">
        <f>-'Annexe A  Plan RH'!AI94*Hypothèses!$B$99</f>
        <v>0</v>
      </c>
      <c r="V24" s="335">
        <f>-'Annexe A  Plan RH'!AJ94*Hypothèses!$B$99</f>
        <v>0</v>
      </c>
      <c r="W24" s="333">
        <f>-'Annexe A  Plan RH'!AK94*Hypothèses!$B$99</f>
        <v>0</v>
      </c>
      <c r="X24" s="333">
        <f>-'Annexe A  Plan RH'!AL94*Hypothèses!$B$99</f>
        <v>0</v>
      </c>
      <c r="Y24" s="333">
        <f>-'Annexe A  Plan RH'!AM94*Hypothèses!$B$99</f>
        <v>0</v>
      </c>
      <c r="Z24" s="333">
        <f>-'Annexe A  Plan RH'!AN94*Hypothèses!$B$99</f>
        <v>0</v>
      </c>
      <c r="AA24" s="333">
        <f>-'Annexe A  Plan RH'!AO94*Hypothèses!$B$99</f>
        <v>0</v>
      </c>
      <c r="AB24" s="333">
        <f>-'Annexe A  Plan RH'!AP94*Hypothèses!$B$99</f>
        <v>0</v>
      </c>
      <c r="AC24" s="333">
        <f>-'Annexe A  Plan RH'!AQ94*Hypothèses!$B$99</f>
        <v>0</v>
      </c>
      <c r="AD24" s="333">
        <f>-'Annexe A  Plan RH'!AR94*Hypothèses!$B$99</f>
        <v>0</v>
      </c>
      <c r="AE24" s="333">
        <f>-'Annexe A  Plan RH'!AS94*Hypothèses!$B$99</f>
        <v>0</v>
      </c>
      <c r="AF24" s="333">
        <f>-'Annexe A  Plan RH'!AT94*Hypothèses!$B$99</f>
        <v>0</v>
      </c>
      <c r="AG24" s="334">
        <f>-'Annexe A  Plan RH'!AU94*Hypothèses!$B$99</f>
        <v>0</v>
      </c>
      <c r="AH24" s="333">
        <f>-'Annexe A  Plan RH'!AV94*Hypothèses!$B$99</f>
        <v>0</v>
      </c>
      <c r="AI24" s="333">
        <f>-'Annexe A  Plan RH'!AW94*Hypothèses!$B$99</f>
        <v>0</v>
      </c>
      <c r="AJ24" s="333">
        <f>-'Annexe A  Plan RH'!AX94*Hypothèses!$B$99</f>
        <v>0</v>
      </c>
      <c r="AK24" s="333">
        <f>-'Annexe A  Plan RH'!AY94*Hypothèses!$B$99</f>
        <v>0</v>
      </c>
      <c r="AL24" s="333">
        <f>-'Annexe A  Plan RH'!AZ94*Hypothèses!$B$99</f>
        <v>0</v>
      </c>
      <c r="AM24" s="333">
        <f>-'Annexe A  Plan RH'!BA94*Hypothèses!$B$99</f>
        <v>0</v>
      </c>
      <c r="AN24" s="333">
        <f>-'Annexe A  Plan RH'!BB94*Hypothèses!$B$99</f>
        <v>0</v>
      </c>
      <c r="AO24" s="333">
        <f>-'Annexe A  Plan RH'!BC94*Hypothèses!$B$99</f>
        <v>0</v>
      </c>
      <c r="AP24" s="333">
        <f>-'Annexe A  Plan RH'!BD94*Hypothèses!$B$99</f>
        <v>0</v>
      </c>
      <c r="AQ24" s="333">
        <f>-'Annexe A  Plan RH'!BE94*Hypothèses!$B$99</f>
        <v>0</v>
      </c>
      <c r="AR24" s="333">
        <f>-'Annexe A  Plan RH'!BF94*Hypothèses!$B$99</f>
        <v>0</v>
      </c>
      <c r="AS24" s="333">
        <f>-'Annexe A  Plan RH'!BG94*Hypothèses!$B$99</f>
        <v>0</v>
      </c>
      <c r="AT24" s="333">
        <f>-'Annexe A  Plan RH'!BH94*Hypothèses!$B$99</f>
        <v>0</v>
      </c>
      <c r="AU24" s="333">
        <f>-'Annexe A  Plan RH'!BI94*Hypothèses!$B$99</f>
        <v>0</v>
      </c>
      <c r="AV24" s="333">
        <f>-'Annexe A  Plan RH'!BJ94*Hypothèses!$B$99</f>
        <v>0</v>
      </c>
      <c r="AW24" s="333">
        <f>-'Annexe A  Plan RH'!BK94*Hypothèses!$B$99</f>
        <v>0</v>
      </c>
      <c r="AX24" s="333">
        <f>-'Annexe A  Plan RH'!BL94*Hypothèses!$B$99</f>
        <v>0</v>
      </c>
      <c r="AY24" s="333">
        <f>-'Annexe A  Plan RH'!BM94*Hypothèses!$B$99</f>
        <v>0</v>
      </c>
      <c r="AZ24" s="333">
        <f>-'Annexe A  Plan RH'!BN94*Hypothèses!$B$99</f>
        <v>0</v>
      </c>
      <c r="BA24" s="333">
        <f>-'Annexe A  Plan RH'!BO94*Hypothèses!$B$99</f>
        <v>0</v>
      </c>
      <c r="BB24" s="333">
        <f>-'Annexe A  Plan RH'!BP94*Hypothèses!$B$99</f>
        <v>0</v>
      </c>
      <c r="BC24" s="333">
        <f>-'Annexe A  Plan RH'!BQ94*Hypothèses!$B$99</f>
        <v>0</v>
      </c>
      <c r="BD24" s="333">
        <f>-'Annexe A  Plan RH'!BR94*Hypothèses!$B$99</f>
        <v>0</v>
      </c>
      <c r="BE24" s="333">
        <f>-'Annexe A  Plan RH'!BS94*Hypothèses!$B$99</f>
        <v>0</v>
      </c>
      <c r="BF24" s="335">
        <f>-'Annexe A  Plan RH'!BT94*Hypothèses!$B$99</f>
        <v>0</v>
      </c>
      <c r="BG24" s="333">
        <f>-'Annexe A  Plan RH'!BU94*Hypothèses!$B$99</f>
        <v>-100</v>
      </c>
      <c r="BH24" s="333">
        <f>-'Annexe A  Plan RH'!BV94*Hypothèses!$B$99</f>
        <v>-100</v>
      </c>
      <c r="BI24" s="333">
        <f>-'Annexe A  Plan RH'!BW94*Hypothèses!$B$99</f>
        <v>-100</v>
      </c>
      <c r="BJ24" s="333">
        <f>-'Annexe A  Plan RH'!BX94*Hypothèses!$B$99</f>
        <v>-100</v>
      </c>
      <c r="BK24" s="333">
        <f>-'Annexe A  Plan RH'!BY94*Hypothèses!$B$99</f>
        <v>-200</v>
      </c>
      <c r="BL24" s="333">
        <f>-'Annexe A  Plan RH'!BZ94*Hypothèses!$B$99</f>
        <v>-200</v>
      </c>
      <c r="BM24" s="333">
        <f>-'Annexe A  Plan RH'!CA94*Hypothèses!$B$99</f>
        <v>-200</v>
      </c>
      <c r="BN24" s="333">
        <f>-'Annexe A  Plan RH'!CB94*Hypothèses!$B$99</f>
        <v>-200</v>
      </c>
      <c r="BO24" s="333">
        <f>-'Annexe A  Plan RH'!CC94*Hypothèses!$B$99</f>
        <v>-200</v>
      </c>
      <c r="BP24" s="333">
        <f>-'Annexe A  Plan RH'!CD94*Hypothèses!$B$99</f>
        <v>-200</v>
      </c>
      <c r="BQ24" s="334">
        <f>-'Annexe A  Plan RH'!CE94*Hypothèses!$B$99</f>
        <v>-200</v>
      </c>
      <c r="BR24" s="333">
        <f>-'Annexe A  Plan RH'!CF94*Hypothèses!$B$99</f>
        <v>-300</v>
      </c>
      <c r="BS24" s="333">
        <f>-'Annexe A  Plan RH'!CG94*Hypothèses!$B$99</f>
        <v>-300</v>
      </c>
      <c r="BT24" s="333">
        <f>-'Annexe A  Plan RH'!CH94*Hypothèses!$B$99</f>
        <v>-300</v>
      </c>
      <c r="BU24" s="333">
        <f>-'Annexe A  Plan RH'!CI94*Hypothèses!$B$99</f>
        <v>-300</v>
      </c>
      <c r="BV24" s="333">
        <f>-'Annexe A  Plan RH'!CJ94*Hypothèses!$B$99</f>
        <v>-300</v>
      </c>
      <c r="BW24" s="333">
        <f>-'Annexe A  Plan RH'!CK94*Hypothèses!$B$99</f>
        <v>-500</v>
      </c>
      <c r="BX24" s="333">
        <f>-'Annexe A  Plan RH'!CL94*Hypothèses!$B$99</f>
        <v>-500</v>
      </c>
      <c r="BY24" s="333">
        <f>-'Annexe A  Plan RH'!CM94*Hypothèses!$B$99</f>
        <v>-500</v>
      </c>
      <c r="BZ24" s="333">
        <f>-'Annexe A  Plan RH'!CN94*Hypothèses!$B$99</f>
        <v>-500</v>
      </c>
      <c r="CA24" s="333">
        <f>-'Annexe A  Plan RH'!CO94*Hypothèses!$B$99</f>
        <v>-700</v>
      </c>
      <c r="CB24" s="333">
        <f>-'Annexe A  Plan RH'!CP94*Hypothèses!$B$99</f>
        <v>-700</v>
      </c>
      <c r="CC24" s="333">
        <f>-'Annexe A  Plan RH'!CQ94*Hypothèses!$B$99</f>
        <v>-700</v>
      </c>
    </row>
    <row r="25" spans="1:81" ht="14">
      <c r="A25" s="305" t="s">
        <v>190</v>
      </c>
      <c r="C25" s="144"/>
      <c r="D25" s="108"/>
      <c r="E25" s="108"/>
      <c r="F25" s="108"/>
      <c r="G25" s="108"/>
      <c r="H25" s="108"/>
      <c r="I25" s="346"/>
      <c r="J25" s="345"/>
      <c r="K25" s="332"/>
      <c r="L25" s="332"/>
      <c r="M25" s="332"/>
      <c r="N25" s="332"/>
      <c r="O25" s="332"/>
      <c r="P25" s="332"/>
      <c r="Q25" s="332"/>
      <c r="R25" s="308"/>
      <c r="S25" s="328">
        <f>-'Annexe A  Plan RH'!AG94*50</f>
        <v>0</v>
      </c>
      <c r="T25" s="328">
        <f>-'Annexe A  Plan RH'!AH94*50</f>
        <v>0</v>
      </c>
      <c r="U25" s="330">
        <f>-'Annexe A  Plan RH'!AI94*50</f>
        <v>0</v>
      </c>
      <c r="V25" s="329">
        <f>-'Annexe A  Plan RH'!AJ94*50</f>
        <v>0</v>
      </c>
      <c r="W25" s="328">
        <f>-'Annexe A  Plan RH'!AK94*50</f>
        <v>0</v>
      </c>
      <c r="X25" s="328">
        <f>-'Annexe A  Plan RH'!AL94*50</f>
        <v>0</v>
      </c>
      <c r="Y25" s="328">
        <f>-'Annexe A  Plan RH'!AM94*50</f>
        <v>0</v>
      </c>
      <c r="Z25" s="328">
        <f>-'Annexe A  Plan RH'!AN94*50</f>
        <v>0</v>
      </c>
      <c r="AA25" s="328">
        <f>-'Annexe A  Plan RH'!AO94*50</f>
        <v>0</v>
      </c>
      <c r="AB25" s="328">
        <f>-'Annexe A  Plan RH'!AP94*50</f>
        <v>0</v>
      </c>
      <c r="AC25" s="328">
        <f>-'Annexe A  Plan RH'!AQ94*50</f>
        <v>0</v>
      </c>
      <c r="AD25" s="328">
        <f>-'Annexe A  Plan RH'!AR94*50</f>
        <v>0</v>
      </c>
      <c r="AE25" s="328">
        <f>-'Annexe A  Plan RH'!AS94*50</f>
        <v>0</v>
      </c>
      <c r="AF25" s="328">
        <f>-'Annexe A  Plan RH'!AT94*50</f>
        <v>0</v>
      </c>
      <c r="AG25" s="330">
        <f>-'Annexe A  Plan RH'!AU94*50</f>
        <v>0</v>
      </c>
      <c r="AH25" s="329">
        <f>-'Annexe A  Plan RH'!AV94*50</f>
        <v>0</v>
      </c>
      <c r="AI25" s="328">
        <f>-'Annexe A  Plan RH'!AW94*50</f>
        <v>0</v>
      </c>
      <c r="AJ25" s="328">
        <f>-'Annexe A  Plan RH'!AX94*50</f>
        <v>0</v>
      </c>
      <c r="AK25" s="328">
        <f>-'Annexe A  Plan RH'!AY94*50</f>
        <v>0</v>
      </c>
      <c r="AL25" s="328">
        <f>-'Annexe A  Plan RH'!AZ94*50</f>
        <v>0</v>
      </c>
      <c r="AM25" s="328">
        <f>-'Annexe A  Plan RH'!BA94*50</f>
        <v>0</v>
      </c>
      <c r="AN25" s="328">
        <f>-'Annexe A  Plan RH'!BB94*50</f>
        <v>0</v>
      </c>
      <c r="AO25" s="328">
        <f>-'Annexe A  Plan RH'!BC94*50</f>
        <v>0</v>
      </c>
      <c r="AP25" s="328">
        <f>-'Annexe A  Plan RH'!BD94*50</f>
        <v>0</v>
      </c>
      <c r="AQ25" s="328">
        <f>-'Annexe A  Plan RH'!BE94*50</f>
        <v>0</v>
      </c>
      <c r="AR25" s="328">
        <f>-'Annexe A  Plan RH'!BF94*50</f>
        <v>0</v>
      </c>
      <c r="AS25" s="330">
        <f>-'Annexe A  Plan RH'!BG94*50</f>
        <v>0</v>
      </c>
      <c r="AT25" s="329">
        <f>-'Annexe A  Plan RH'!BH94*50</f>
        <v>0</v>
      </c>
      <c r="AU25" s="328">
        <f>-'Annexe A  Plan RH'!BI94*50</f>
        <v>0</v>
      </c>
      <c r="AV25" s="328">
        <f>-'Annexe A  Plan RH'!BJ94*50</f>
        <v>0</v>
      </c>
      <c r="AW25" s="328">
        <f>-'Annexe A  Plan RH'!BK94*50</f>
        <v>0</v>
      </c>
      <c r="AX25" s="328">
        <f>-'Annexe A  Plan RH'!BL94*50</f>
        <v>0</v>
      </c>
      <c r="AY25" s="328">
        <f>-'Annexe A  Plan RH'!BM94*50</f>
        <v>0</v>
      </c>
      <c r="AZ25" s="328">
        <f>-'Annexe A  Plan RH'!BN94*50</f>
        <v>0</v>
      </c>
      <c r="BA25" s="328">
        <f>-'Annexe A  Plan RH'!BO94*50</f>
        <v>0</v>
      </c>
      <c r="BB25" s="328">
        <f>-'Annexe A  Plan RH'!BP94*50</f>
        <v>0</v>
      </c>
      <c r="BC25" s="328">
        <f>-'Annexe A  Plan RH'!BQ94*50</f>
        <v>0</v>
      </c>
      <c r="BD25" s="328">
        <f>-'Annexe A  Plan RH'!BR94*50</f>
        <v>0</v>
      </c>
      <c r="BE25" s="330">
        <f>-'Annexe A  Plan RH'!BS94*50</f>
        <v>0</v>
      </c>
      <c r="BF25" s="329">
        <f>-'Annexe A  Plan RH'!BT94*50</f>
        <v>0</v>
      </c>
      <c r="BG25" s="328">
        <f>-'Annexe A  Plan RH'!BU94*50</f>
        <v>-50</v>
      </c>
      <c r="BH25" s="328">
        <f>-'Annexe A  Plan RH'!BV94*50</f>
        <v>-50</v>
      </c>
      <c r="BI25" s="328">
        <f>-'Annexe A  Plan RH'!BW94*50</f>
        <v>-50</v>
      </c>
      <c r="BJ25" s="328">
        <f>-'Annexe A  Plan RH'!BX94*50</f>
        <v>-50</v>
      </c>
      <c r="BK25" s="328">
        <f>-'Annexe A  Plan RH'!BY94*50</f>
        <v>-100</v>
      </c>
      <c r="BL25" s="328">
        <f>-'Annexe A  Plan RH'!BZ94*50</f>
        <v>-100</v>
      </c>
      <c r="BM25" s="328">
        <f>-'Annexe A  Plan RH'!CA94*50</f>
        <v>-100</v>
      </c>
      <c r="BN25" s="328">
        <f>-'Annexe A  Plan RH'!CB94*50</f>
        <v>-100</v>
      </c>
      <c r="BO25" s="328">
        <f>-'Annexe A  Plan RH'!CC94*50</f>
        <v>-100</v>
      </c>
      <c r="BP25" s="328">
        <f>-'Annexe A  Plan RH'!CD94*50</f>
        <v>-100</v>
      </c>
      <c r="BQ25" s="330">
        <f>-'Annexe A  Plan RH'!CE94*50</f>
        <v>-100</v>
      </c>
      <c r="BR25" s="329">
        <f>-'Annexe A  Plan RH'!CF94*50</f>
        <v>-150</v>
      </c>
      <c r="BS25" s="328">
        <f>-'Annexe A  Plan RH'!CG94*50</f>
        <v>-150</v>
      </c>
      <c r="BT25" s="328">
        <f>-'Annexe A  Plan RH'!CH94*50</f>
        <v>-150</v>
      </c>
      <c r="BU25" s="328">
        <f>-'Annexe A  Plan RH'!CI94*50</f>
        <v>-150</v>
      </c>
      <c r="BV25" s="328">
        <f>-'Annexe A  Plan RH'!CJ94*50</f>
        <v>-150</v>
      </c>
      <c r="BW25" s="328">
        <f>-'Annexe A  Plan RH'!CK94*50</f>
        <v>-250</v>
      </c>
      <c r="BX25" s="328">
        <f>-'Annexe A  Plan RH'!CL94*50</f>
        <v>-250</v>
      </c>
      <c r="BY25" s="328">
        <f>-'Annexe A  Plan RH'!CM94*50</f>
        <v>-250</v>
      </c>
      <c r="BZ25" s="328">
        <f>-'Annexe A  Plan RH'!CN94*50</f>
        <v>-250</v>
      </c>
      <c r="CA25" s="328">
        <f>-'Annexe A  Plan RH'!CO94*50</f>
        <v>-350</v>
      </c>
      <c r="CB25" s="328">
        <f>-'Annexe A  Plan RH'!CP94*50</f>
        <v>-350</v>
      </c>
      <c r="CC25" s="330">
        <f>-'Annexe A  Plan RH'!CQ94*50</f>
        <v>-350</v>
      </c>
    </row>
    <row r="26" spans="1:81" ht="14">
      <c r="A26" s="194" t="s">
        <v>191</v>
      </c>
      <c r="C26" s="144"/>
      <c r="D26" s="108"/>
      <c r="E26" s="108"/>
      <c r="F26" s="108"/>
      <c r="G26" s="108"/>
      <c r="H26" s="108"/>
      <c r="I26" s="346"/>
      <c r="J26" s="144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346"/>
      <c r="V26" s="129">
        <f>-Hypothèses!$D$62/12</f>
        <v>0</v>
      </c>
      <c r="W26" s="130">
        <f>-Hypothèses!$D$62/12</f>
        <v>0</v>
      </c>
      <c r="X26" s="130">
        <f>-Hypothèses!$D$62/12</f>
        <v>0</v>
      </c>
      <c r="Y26" s="130">
        <f>-Hypothèses!$D$62/12</f>
        <v>0</v>
      </c>
      <c r="Z26" s="130">
        <f>-Hypothèses!$D$62/12</f>
        <v>0</v>
      </c>
      <c r="AA26" s="130">
        <f>-Hypothèses!$D$62/12</f>
        <v>0</v>
      </c>
      <c r="AB26" s="130">
        <f>-Hypothèses!$D$62/12</f>
        <v>0</v>
      </c>
      <c r="AC26" s="130">
        <f>-Hypothèses!$D$62/12</f>
        <v>0</v>
      </c>
      <c r="AD26" s="130">
        <f>-Hypothèses!$D$62/12</f>
        <v>0</v>
      </c>
      <c r="AE26" s="130">
        <f>-Hypothèses!$D$62/12</f>
        <v>0</v>
      </c>
      <c r="AF26" s="130">
        <f>-Hypothèses!$D$62/12</f>
        <v>0</v>
      </c>
      <c r="AG26" s="131">
        <f>-Hypothèses!$D$62/12</f>
        <v>0</v>
      </c>
      <c r="AH26" s="129">
        <f>-Hypothèses!$E$62/12</f>
        <v>0</v>
      </c>
      <c r="AI26" s="130">
        <f>-Hypothèses!$E$62/12</f>
        <v>0</v>
      </c>
      <c r="AJ26" s="130">
        <f>-Hypothèses!$E$62/12</f>
        <v>0</v>
      </c>
      <c r="AK26" s="130">
        <f>-Hypothèses!$E$62/12</f>
        <v>0</v>
      </c>
      <c r="AL26" s="130">
        <f>-Hypothèses!$E$62/12</f>
        <v>0</v>
      </c>
      <c r="AM26" s="130">
        <f>-Hypothèses!$E$62/12</f>
        <v>0</v>
      </c>
      <c r="AN26" s="130">
        <f>-Hypothèses!$E$62/12</f>
        <v>0</v>
      </c>
      <c r="AO26" s="130">
        <f>-Hypothèses!$E$62/12</f>
        <v>0</v>
      </c>
      <c r="AP26" s="130">
        <f>-Hypothèses!$E$62/12</f>
        <v>0</v>
      </c>
      <c r="AQ26" s="130">
        <f>-Hypothèses!$E$62/12</f>
        <v>0</v>
      </c>
      <c r="AR26" s="130">
        <f>-Hypothèses!$E$62/12</f>
        <v>0</v>
      </c>
      <c r="AS26" s="131">
        <f>-Hypothèses!$E$62/12</f>
        <v>0</v>
      </c>
      <c r="AT26" s="129">
        <f>-Hypothèses!$F$62/12</f>
        <v>0</v>
      </c>
      <c r="AU26" s="130">
        <f>-Hypothèses!$F$62/12</f>
        <v>0</v>
      </c>
      <c r="AV26" s="130">
        <f>-Hypothèses!$F$62/12</f>
        <v>0</v>
      </c>
      <c r="AW26" s="130">
        <f>-Hypothèses!$F$62/12</f>
        <v>0</v>
      </c>
      <c r="AX26" s="130">
        <f>-Hypothèses!$F$62/12</f>
        <v>0</v>
      </c>
      <c r="AY26" s="130">
        <f>-Hypothèses!$F$62/12</f>
        <v>0</v>
      </c>
      <c r="AZ26" s="130">
        <f>-Hypothèses!$F$62/12</f>
        <v>0</v>
      </c>
      <c r="BA26" s="130">
        <f>-Hypothèses!$F$62/12</f>
        <v>0</v>
      </c>
      <c r="BB26" s="130">
        <f>-Hypothèses!$F$62/12</f>
        <v>0</v>
      </c>
      <c r="BC26" s="130">
        <f>-Hypothèses!$F$62/12</f>
        <v>0</v>
      </c>
      <c r="BD26" s="130">
        <f>-Hypothèses!$F$62/12</f>
        <v>0</v>
      </c>
      <c r="BE26" s="131">
        <f>-Hypothèses!$F$62/12</f>
        <v>0</v>
      </c>
      <c r="BF26" s="129">
        <f>-Hypothèses!$G$62/12</f>
        <v>-23125</v>
      </c>
      <c r="BG26" s="130">
        <f>-Hypothèses!$G$62/12</f>
        <v>-23125</v>
      </c>
      <c r="BH26" s="130">
        <f>-Hypothèses!$G$62/12</f>
        <v>-23125</v>
      </c>
      <c r="BI26" s="130">
        <f>-Hypothèses!$G$62/12</f>
        <v>-23125</v>
      </c>
      <c r="BJ26" s="130">
        <f>-Hypothèses!$G$62/12</f>
        <v>-23125</v>
      </c>
      <c r="BK26" s="130">
        <f>-Hypothèses!$G$62/12</f>
        <v>-23125</v>
      </c>
      <c r="BL26" s="130">
        <f>-Hypothèses!$G$62/12</f>
        <v>-23125</v>
      </c>
      <c r="BM26" s="130">
        <f>-Hypothèses!$G$62/12</f>
        <v>-23125</v>
      </c>
      <c r="BN26" s="130">
        <f>-Hypothèses!$G$62/12</f>
        <v>-23125</v>
      </c>
      <c r="BO26" s="130">
        <f>-Hypothèses!$G$62/12</f>
        <v>-23125</v>
      </c>
      <c r="BP26" s="130">
        <f>-Hypothèses!$G$62/12</f>
        <v>-23125</v>
      </c>
      <c r="BQ26" s="131">
        <f>-Hypothèses!$G$62/12</f>
        <v>-23125</v>
      </c>
      <c r="BR26" s="129">
        <f>-Hypothèses!$H$62/12</f>
        <v>-33333.333333333336</v>
      </c>
      <c r="BS26" s="130">
        <f>-Hypothèses!$H$62/12</f>
        <v>-33333.333333333336</v>
      </c>
      <c r="BT26" s="130">
        <f>-Hypothèses!$H$62/12</f>
        <v>-33333.333333333336</v>
      </c>
      <c r="BU26" s="130">
        <f>-Hypothèses!$H$62/12</f>
        <v>-33333.333333333336</v>
      </c>
      <c r="BV26" s="130">
        <f>-Hypothèses!$H$62/12</f>
        <v>-33333.333333333336</v>
      </c>
      <c r="BW26" s="130">
        <f>-Hypothèses!$H$62/12</f>
        <v>-33333.333333333336</v>
      </c>
      <c r="BX26" s="130">
        <f>-Hypothèses!$H$62/12</f>
        <v>-33333.333333333336</v>
      </c>
      <c r="BY26" s="130">
        <f>-Hypothèses!$H$62/12</f>
        <v>-33333.333333333336</v>
      </c>
      <c r="BZ26" s="130">
        <f>-Hypothèses!$H$62/12</f>
        <v>-33333.333333333336</v>
      </c>
      <c r="CA26" s="130">
        <f>-Hypothèses!$H$62/12</f>
        <v>-33333.333333333336</v>
      </c>
      <c r="CB26" s="130">
        <f>-Hypothèses!$H$62/12</f>
        <v>-33333.333333333336</v>
      </c>
      <c r="CC26" s="131">
        <f>-Hypothèses!$H$62/12</f>
        <v>-33333.333333333336</v>
      </c>
    </row>
    <row r="27" spans="1:81" ht="14">
      <c r="A27" s="194" t="s">
        <v>198</v>
      </c>
      <c r="C27" s="144"/>
      <c r="D27" s="108"/>
      <c r="E27" s="108"/>
      <c r="F27" s="108"/>
      <c r="G27" s="108"/>
      <c r="H27" s="108"/>
      <c r="I27" s="346"/>
      <c r="J27" s="335">
        <f>0.5%*'Couts RH'!J$5*'Annexe A  Plan RH'!X$94/'Annexe A  Plan RH'!X$92</f>
        <v>0</v>
      </c>
      <c r="K27" s="333">
        <f>0.5%*'Couts RH'!K$5*'Annexe A  Plan RH'!Y$94/'Annexe A  Plan RH'!Y$92</f>
        <v>0</v>
      </c>
      <c r="L27" s="333">
        <f>0.5%*'Couts RH'!L$5*'Annexe A  Plan RH'!Z$94/'Annexe A  Plan RH'!Z$92</f>
        <v>0</v>
      </c>
      <c r="M27" s="333">
        <f>0.5%*'Couts RH'!M$5*'Annexe A  Plan RH'!AA$94/'Annexe A  Plan RH'!AA$92</f>
        <v>0</v>
      </c>
      <c r="N27" s="333">
        <f>0.5%*'Couts RH'!N$5*'Annexe A  Plan RH'!AB$94/'Annexe A  Plan RH'!AB$92</f>
        <v>0</v>
      </c>
      <c r="O27" s="333">
        <f>0.5%*'Couts RH'!O$5*'Annexe A  Plan RH'!AC$94/'Annexe A  Plan RH'!AC$92</f>
        <v>0</v>
      </c>
      <c r="P27" s="333">
        <f>0.5%*'Couts RH'!P$5*'Annexe A  Plan RH'!AD$94/'Annexe A  Plan RH'!AD$92</f>
        <v>0</v>
      </c>
      <c r="Q27" s="333">
        <f>0.5%*'Couts RH'!Q$5*'Annexe A  Plan RH'!AE$94/'Annexe A  Plan RH'!AE$92</f>
        <v>0</v>
      </c>
      <c r="R27" s="333">
        <f>0.5%*'Couts RH'!R$5*'Annexe A  Plan RH'!AF$94/'Annexe A  Plan RH'!AF$92</f>
        <v>0</v>
      </c>
      <c r="S27" s="333">
        <f>0.5%*'Couts RH'!S$5*'Annexe A  Plan RH'!AG$94/'Annexe A  Plan RH'!AG$92</f>
        <v>0</v>
      </c>
      <c r="T27" s="333">
        <f>0.5%*'Couts RH'!T$5*'Annexe A  Plan RH'!AH$94/'Annexe A  Plan RH'!AH$92</f>
        <v>0</v>
      </c>
      <c r="U27" s="334">
        <f>0.5%*'Couts RH'!U$5*'Annexe A  Plan RH'!AI$94/'Annexe A  Plan RH'!AI$92</f>
        <v>0</v>
      </c>
      <c r="V27" s="335">
        <f>0.5%*'Couts RH'!V$5*'Annexe A  Plan RH'!AJ$94/'Annexe A  Plan RH'!AJ$92</f>
        <v>0</v>
      </c>
      <c r="W27" s="333">
        <f>0.5%*'Couts RH'!W$5*'Annexe A  Plan RH'!AK$94/'Annexe A  Plan RH'!AK$92</f>
        <v>0</v>
      </c>
      <c r="X27" s="333">
        <f>0.5%*'Couts RH'!X$5*'Annexe A  Plan RH'!AL$94/'Annexe A  Plan RH'!AL$92</f>
        <v>0</v>
      </c>
      <c r="Y27" s="333">
        <f>0.5%*'Couts RH'!Y$5*'Annexe A  Plan RH'!AM$94/'Annexe A  Plan RH'!AM$92</f>
        <v>0</v>
      </c>
      <c r="Z27" s="333">
        <f>0.5%*'Couts RH'!Z$5*'Annexe A  Plan RH'!AN$94/'Annexe A  Plan RH'!AN$92</f>
        <v>0</v>
      </c>
      <c r="AA27" s="333">
        <f>0.5%*'Couts RH'!AA$5*'Annexe A  Plan RH'!AO$94/'Annexe A  Plan RH'!AO$92</f>
        <v>0</v>
      </c>
      <c r="AB27" s="333">
        <f>0.5%*'Couts RH'!AB$5*'Annexe A  Plan RH'!AP$94/'Annexe A  Plan RH'!AP$92</f>
        <v>0</v>
      </c>
      <c r="AC27" s="333">
        <f>0.5%*'Couts RH'!AC$5*'Annexe A  Plan RH'!AQ$94/'Annexe A  Plan RH'!AQ$92</f>
        <v>0</v>
      </c>
      <c r="AD27" s="333">
        <f>0.5%*'Couts RH'!AD$5*'Annexe A  Plan RH'!AR$94/'Annexe A  Plan RH'!AR$92</f>
        <v>0</v>
      </c>
      <c r="AE27" s="333">
        <f>0.5%*'Couts RH'!AE$5*'Annexe A  Plan RH'!AS$94/'Annexe A  Plan RH'!AS$92</f>
        <v>0</v>
      </c>
      <c r="AF27" s="333">
        <f>0.5%*'Couts RH'!AF$5*'Annexe A  Plan RH'!AT$94/'Annexe A  Plan RH'!AT$92</f>
        <v>0</v>
      </c>
      <c r="AG27" s="334">
        <f>0.5%*'Couts RH'!AG$5*'Annexe A  Plan RH'!AU$94/'Annexe A  Plan RH'!AU$92</f>
        <v>0</v>
      </c>
      <c r="AH27" s="335">
        <f>0.5%*'Couts RH'!AH$5*'Annexe A  Plan RH'!AV$94/'Annexe A  Plan RH'!AV$92</f>
        <v>0</v>
      </c>
      <c r="AI27" s="333">
        <f>0.5%*'Couts RH'!AI$5*'Annexe A  Plan RH'!AW$94/'Annexe A  Plan RH'!AW$92</f>
        <v>0</v>
      </c>
      <c r="AJ27" s="333">
        <f>0.5%*'Couts RH'!AJ$5*'Annexe A  Plan RH'!AX$94/'Annexe A  Plan RH'!AX$92</f>
        <v>0</v>
      </c>
      <c r="AK27" s="333">
        <f>0.5%*'Couts RH'!AK$5*'Annexe A  Plan RH'!AY$94/'Annexe A  Plan RH'!AY$92</f>
        <v>0</v>
      </c>
      <c r="AL27" s="333">
        <f>0.5%*'Couts RH'!AL$5*'Annexe A  Plan RH'!AZ$94/'Annexe A  Plan RH'!AZ$92</f>
        <v>0</v>
      </c>
      <c r="AM27" s="333">
        <f>0.5%*'Couts RH'!AM$5*'Annexe A  Plan RH'!BA$94/'Annexe A  Plan RH'!BA$92</f>
        <v>0</v>
      </c>
      <c r="AN27" s="333">
        <f>0.5%*'Couts RH'!AN$5*'Annexe A  Plan RH'!BB$94/'Annexe A  Plan RH'!BB$92</f>
        <v>0</v>
      </c>
      <c r="AO27" s="333">
        <f>0.5%*'Couts RH'!AO$5*'Annexe A  Plan RH'!BC$94/'Annexe A  Plan RH'!BC$92</f>
        <v>0</v>
      </c>
      <c r="AP27" s="333">
        <f>0.5%*'Couts RH'!AP$5*'Annexe A  Plan RH'!BD$94/'Annexe A  Plan RH'!BD$92</f>
        <v>0</v>
      </c>
      <c r="AQ27" s="333">
        <f>0.5%*'Couts RH'!AQ$5*'Annexe A  Plan RH'!BE$94/'Annexe A  Plan RH'!BE$92</f>
        <v>0</v>
      </c>
      <c r="AR27" s="333">
        <f>0.5%*'Couts RH'!AR$5*'Annexe A  Plan RH'!BF$94/'Annexe A  Plan RH'!BF$92</f>
        <v>0</v>
      </c>
      <c r="AS27" s="334">
        <f>0.5%*'Couts RH'!AS$5*'Annexe A  Plan RH'!BG$94/'Annexe A  Plan RH'!BG$92</f>
        <v>0</v>
      </c>
      <c r="AT27" s="335">
        <f>0.5%*'Couts RH'!AT$5*'Annexe A  Plan RH'!BH$94/'Annexe A  Plan RH'!BH$92</f>
        <v>0</v>
      </c>
      <c r="AU27" s="333">
        <f>0.5%*'Couts RH'!AU$5*'Annexe A  Plan RH'!BI$94/'Annexe A  Plan RH'!BI$92</f>
        <v>0</v>
      </c>
      <c r="AV27" s="333">
        <f>0.5%*'Couts RH'!AV$5*'Annexe A  Plan RH'!BJ$94/'Annexe A  Plan RH'!BJ$92</f>
        <v>0</v>
      </c>
      <c r="AW27" s="333">
        <f>0.5%*'Couts RH'!AW$5*'Annexe A  Plan RH'!BK$94/'Annexe A  Plan RH'!BK$92</f>
        <v>0</v>
      </c>
      <c r="AX27" s="333">
        <f>0.5%*'Couts RH'!AX$5*'Annexe A  Plan RH'!BL$94/'Annexe A  Plan RH'!BL$92</f>
        <v>0</v>
      </c>
      <c r="AY27" s="333">
        <f>0.5%*'Couts RH'!AY$5*'Annexe A  Plan RH'!BM$94/'Annexe A  Plan RH'!BM$92</f>
        <v>0</v>
      </c>
      <c r="AZ27" s="333">
        <f>0.5%*'Couts RH'!AZ$5*'Annexe A  Plan RH'!BN$94/'Annexe A  Plan RH'!BN$92</f>
        <v>0</v>
      </c>
      <c r="BA27" s="333">
        <f>0.5%*'Couts RH'!BA$5*'Annexe A  Plan RH'!BO$94/'Annexe A  Plan RH'!BO$92</f>
        <v>0</v>
      </c>
      <c r="BB27" s="333">
        <f>0.5%*'Couts RH'!BB$5*'Annexe A  Plan RH'!BP$94/'Annexe A  Plan RH'!BP$92</f>
        <v>0</v>
      </c>
      <c r="BC27" s="333">
        <f>0.5%*'Couts RH'!BC$5*'Annexe A  Plan RH'!BQ$94/'Annexe A  Plan RH'!BQ$92</f>
        <v>0</v>
      </c>
      <c r="BD27" s="333">
        <f>0.5%*'Couts RH'!BD$5*'Annexe A  Plan RH'!BR$94/'Annexe A  Plan RH'!BR$92</f>
        <v>0</v>
      </c>
      <c r="BE27" s="334">
        <f>0.5%*'Couts RH'!BE$5*'Annexe A  Plan RH'!BS$94/'Annexe A  Plan RH'!BS$92</f>
        <v>0</v>
      </c>
      <c r="BF27" s="335">
        <f>0.5%*'Couts RH'!BF$5*'Annexe A  Plan RH'!BT$94/'Annexe A  Plan RH'!BT$92</f>
        <v>0</v>
      </c>
      <c r="BG27" s="333">
        <f>0.5%*'Couts RH'!BG$5*'Annexe A  Plan RH'!BU$94/'Annexe A  Plan RH'!BU$92</f>
        <v>-30.842594105113633</v>
      </c>
      <c r="BH27" s="333">
        <f>0.5%*'Couts RH'!BH$5*'Annexe A  Plan RH'!BV$94/'Annexe A  Plan RH'!BV$92</f>
        <v>-30.842594105113633</v>
      </c>
      <c r="BI27" s="333">
        <f>0.5%*'Couts RH'!BI$5*'Annexe A  Plan RH'!BW$94/'Annexe A  Plan RH'!BW$92</f>
        <v>-29.708802083333332</v>
      </c>
      <c r="BJ27" s="333">
        <f>0.5%*'Couts RH'!BJ$5*'Annexe A  Plan RH'!BX$94/'Annexe A  Plan RH'!BX$92</f>
        <v>-29.738987068965518</v>
      </c>
      <c r="BK27" s="333">
        <f>0.5%*'Couts RH'!BK$5*'Annexe A  Plan RH'!BY$94/'Annexe A  Plan RH'!BY$92</f>
        <v>-58.215778729838711</v>
      </c>
      <c r="BL27" s="333">
        <f>0.5%*'Couts RH'!BL$5*'Annexe A  Plan RH'!BZ$94/'Annexe A  Plan RH'!BZ$92</f>
        <v>-57.419578125000001</v>
      </c>
      <c r="BM27" s="333">
        <f>0.5%*'Couts RH'!BM$5*'Annexe A  Plan RH'!CA$94/'Annexe A  Plan RH'!CA$92</f>
        <v>-58.715574324324329</v>
      </c>
      <c r="BN27" s="333">
        <f>0.5%*'Couts RH'!BN$5*'Annexe A  Plan RH'!CB$94/'Annexe A  Plan RH'!CB$92</f>
        <v>-58.178076923076929</v>
      </c>
      <c r="BO27" s="333">
        <f>0.5%*'Couts RH'!BO$5*'Annexe A  Plan RH'!CC$94/'Annexe A  Plan RH'!CC$92</f>
        <v>-58.178076923076929</v>
      </c>
      <c r="BP27" s="333">
        <f>0.5%*'Couts RH'!BP$5*'Annexe A  Plan RH'!CD$94/'Annexe A  Plan RH'!CD$92</f>
        <v>-58.230949218750006</v>
      </c>
      <c r="BQ27" s="334">
        <f>0.5%*'Couts RH'!BQ$5*'Annexe A  Plan RH'!CE$94/'Annexe A  Plan RH'!CE$92</f>
        <v>-58.329140625000001</v>
      </c>
      <c r="BR27" s="335">
        <f>0.5%*'Couts RH'!BR$5*'Annexe A  Plan RH'!CF$94/'Annexe A  Plan RH'!CF$92</f>
        <v>-91.569315316133725</v>
      </c>
      <c r="BS27" s="333">
        <f>0.5%*'Couts RH'!BS$5*'Annexe A  Plan RH'!CG$94/'Annexe A  Plan RH'!CG$92</f>
        <v>-93.197253515624993</v>
      </c>
      <c r="BT27" s="333">
        <f>0.5%*'Couts RH'!BT$5*'Annexe A  Plan RH'!CH$94/'Annexe A  Plan RH'!CH$92</f>
        <v>-97.116637270720119</v>
      </c>
      <c r="BU27" s="333">
        <f>0.5%*'Couts RH'!BU$5*'Annexe A  Plan RH'!CI$94/'Annexe A  Plan RH'!CI$92</f>
        <v>-97.116637270720119</v>
      </c>
      <c r="BV27" s="333">
        <f>0.5%*'Couts RH'!BV$5*'Annexe A  Plan RH'!CJ$94/'Annexe A  Plan RH'!CJ$92</f>
        <v>-97.116637270720119</v>
      </c>
      <c r="BW27" s="333">
        <f>0.5%*'Couts RH'!BW$5*'Annexe A  Plan RH'!CK$94/'Annexe A  Plan RH'!CK$92</f>
        <v>-163.52745117187501</v>
      </c>
      <c r="BX27" s="333">
        <f>0.5%*'Couts RH'!BX$5*'Annexe A  Plan RH'!CL$94/'Annexe A  Plan RH'!CL$92</f>
        <v>-165.32151152343752</v>
      </c>
      <c r="BY27" s="333">
        <f>0.5%*'Couts RH'!BY$5*'Annexe A  Plan RH'!CM$94/'Annexe A  Plan RH'!CM$92</f>
        <v>-167.22766804245282</v>
      </c>
      <c r="BZ27" s="333">
        <f>0.5%*'Couts RH'!BZ$5*'Annexe A  Plan RH'!CN$94/'Annexe A  Plan RH'!CN$92</f>
        <v>-167.22766804245282</v>
      </c>
      <c r="CA27" s="333">
        <f>0.5%*'Couts RH'!CA$5*'Annexe A  Plan RH'!CO$94/'Annexe A  Plan RH'!CO$92</f>
        <v>-232.3090278409091</v>
      </c>
      <c r="CB27" s="333">
        <f>0.5%*'Couts RH'!CB$5*'Annexe A  Plan RH'!CP$94/'Annexe A  Plan RH'!CP$92</f>
        <v>-232.3090278409091</v>
      </c>
      <c r="CC27" s="334">
        <f>0.5%*'Couts RH'!CC$5*'Annexe A  Plan RH'!CQ$94/'Annexe A  Plan RH'!CQ$92</f>
        <v>-232.3090278409091</v>
      </c>
    </row>
    <row r="28" spans="1:81" ht="14">
      <c r="A28" s="194" t="s">
        <v>199</v>
      </c>
      <c r="C28" s="144"/>
      <c r="D28" s="108"/>
      <c r="E28" s="108"/>
      <c r="F28" s="108"/>
      <c r="G28" s="108"/>
      <c r="H28" s="108"/>
      <c r="I28" s="346"/>
      <c r="J28" s="328">
        <f>-40*'Annexe A  Plan RH'!X94</f>
        <v>0</v>
      </c>
      <c r="K28" s="328">
        <f>-40*'Annexe A  Plan RH'!Y94</f>
        <v>0</v>
      </c>
      <c r="L28" s="328">
        <f>-40*'Annexe A  Plan RH'!Z94</f>
        <v>0</v>
      </c>
      <c r="M28" s="328">
        <f>-40*'Annexe A  Plan RH'!AA94</f>
        <v>0</v>
      </c>
      <c r="N28" s="328">
        <f>-40*'Annexe A  Plan RH'!AB94</f>
        <v>0</v>
      </c>
      <c r="O28" s="328">
        <f>-40*'Annexe A  Plan RH'!AC94</f>
        <v>0</v>
      </c>
      <c r="P28" s="328">
        <f>-40*'Annexe A  Plan RH'!AD94</f>
        <v>0</v>
      </c>
      <c r="Q28" s="328">
        <f>-40*'Annexe A  Plan RH'!AE94</f>
        <v>0</v>
      </c>
      <c r="R28" s="328">
        <f>-40*'Annexe A  Plan RH'!AF94</f>
        <v>0</v>
      </c>
      <c r="S28" s="328">
        <f>-40*'Annexe A  Plan RH'!AG94</f>
        <v>0</v>
      </c>
      <c r="T28" s="328">
        <f>-40*'Annexe A  Plan RH'!AH94</f>
        <v>0</v>
      </c>
      <c r="U28" s="330">
        <f>-40*'Annexe A  Plan RH'!AI94</f>
        <v>0</v>
      </c>
      <c r="V28" s="329">
        <f>-40*'Annexe A  Plan RH'!AJ94</f>
        <v>0</v>
      </c>
      <c r="W28" s="328">
        <f>-40*'Annexe A  Plan RH'!AK94</f>
        <v>0</v>
      </c>
      <c r="X28" s="328">
        <f>-40*'Annexe A  Plan RH'!AL94</f>
        <v>0</v>
      </c>
      <c r="Y28" s="328">
        <f>-40*'Annexe A  Plan RH'!AM94</f>
        <v>0</v>
      </c>
      <c r="Z28" s="328">
        <f>-40*'Annexe A  Plan RH'!AN94</f>
        <v>0</v>
      </c>
      <c r="AA28" s="328">
        <f>-40*'Annexe A  Plan RH'!AO94</f>
        <v>0</v>
      </c>
      <c r="AB28" s="328">
        <f>-40*'Annexe A  Plan RH'!AP94</f>
        <v>0</v>
      </c>
      <c r="AC28" s="328">
        <f>-40*'Annexe A  Plan RH'!AQ94</f>
        <v>0</v>
      </c>
      <c r="AD28" s="328">
        <f>-40*'Annexe A  Plan RH'!AR94</f>
        <v>0</v>
      </c>
      <c r="AE28" s="328">
        <f>-40*'Annexe A  Plan RH'!AS94</f>
        <v>0</v>
      </c>
      <c r="AF28" s="328">
        <f>-40*'Annexe A  Plan RH'!AT94</f>
        <v>0</v>
      </c>
      <c r="AG28" s="330">
        <f>-40*'Annexe A  Plan RH'!AU94</f>
        <v>0</v>
      </c>
      <c r="AH28" s="329">
        <f>-40*'Annexe A  Plan RH'!AV94</f>
        <v>0</v>
      </c>
      <c r="AI28" s="328">
        <f>-40*'Annexe A  Plan RH'!AW94</f>
        <v>0</v>
      </c>
      <c r="AJ28" s="328">
        <f>-40*'Annexe A  Plan RH'!AX94</f>
        <v>0</v>
      </c>
      <c r="AK28" s="328">
        <f>-40*'Annexe A  Plan RH'!AY94</f>
        <v>0</v>
      </c>
      <c r="AL28" s="328">
        <f>-40*'Annexe A  Plan RH'!AZ94</f>
        <v>0</v>
      </c>
      <c r="AM28" s="328">
        <f>-40*'Annexe A  Plan RH'!BA94</f>
        <v>0</v>
      </c>
      <c r="AN28" s="328">
        <f>-40*'Annexe A  Plan RH'!BB94</f>
        <v>0</v>
      </c>
      <c r="AO28" s="328">
        <f>-40*'Annexe A  Plan RH'!BC94</f>
        <v>0</v>
      </c>
      <c r="AP28" s="328">
        <f>-40*'Annexe A  Plan RH'!BD94</f>
        <v>0</v>
      </c>
      <c r="AQ28" s="328">
        <f>-40*'Annexe A  Plan RH'!BE94</f>
        <v>0</v>
      </c>
      <c r="AR28" s="328">
        <f>-40*'Annexe A  Plan RH'!BF94</f>
        <v>0</v>
      </c>
      <c r="AS28" s="330">
        <f>-40*'Annexe A  Plan RH'!BG94</f>
        <v>0</v>
      </c>
      <c r="AT28" s="329">
        <f>-40*'Annexe A  Plan RH'!BH94</f>
        <v>0</v>
      </c>
      <c r="AU28" s="328">
        <f>-40*'Annexe A  Plan RH'!BI94</f>
        <v>0</v>
      </c>
      <c r="AV28" s="328">
        <f>-40*'Annexe A  Plan RH'!BJ94</f>
        <v>0</v>
      </c>
      <c r="AW28" s="328">
        <f>-40*'Annexe A  Plan RH'!BK94</f>
        <v>0</v>
      </c>
      <c r="AX28" s="328">
        <f>-40*'Annexe A  Plan RH'!BL94</f>
        <v>0</v>
      </c>
      <c r="AY28" s="328">
        <f>-40*'Annexe A  Plan RH'!BM94</f>
        <v>0</v>
      </c>
      <c r="AZ28" s="328">
        <f>-40*'Annexe A  Plan RH'!BN94</f>
        <v>0</v>
      </c>
      <c r="BA28" s="328">
        <f>-40*'Annexe A  Plan RH'!BO94</f>
        <v>0</v>
      </c>
      <c r="BB28" s="328">
        <f>-40*'Annexe A  Plan RH'!BP94</f>
        <v>0</v>
      </c>
      <c r="BC28" s="328">
        <f>-40*'Annexe A  Plan RH'!BQ94</f>
        <v>0</v>
      </c>
      <c r="BD28" s="328">
        <f>-40*'Annexe A  Plan RH'!BR94</f>
        <v>0</v>
      </c>
      <c r="BE28" s="330">
        <f>-40*'Annexe A  Plan RH'!BS94</f>
        <v>0</v>
      </c>
      <c r="BF28" s="329">
        <f>-40*'Annexe A  Plan RH'!BT94</f>
        <v>0</v>
      </c>
      <c r="BG28" s="328">
        <f>-40*'Annexe A  Plan RH'!BU94</f>
        <v>-40</v>
      </c>
      <c r="BH28" s="328">
        <f>-40*'Annexe A  Plan RH'!BV94</f>
        <v>-40</v>
      </c>
      <c r="BI28" s="328">
        <f>-40*'Annexe A  Plan RH'!BW94</f>
        <v>-40</v>
      </c>
      <c r="BJ28" s="328">
        <f>-40*'Annexe A  Plan RH'!BX94</f>
        <v>-40</v>
      </c>
      <c r="BK28" s="328">
        <f>-40*'Annexe A  Plan RH'!BY94</f>
        <v>-80</v>
      </c>
      <c r="BL28" s="328">
        <f>-40*'Annexe A  Plan RH'!BZ94</f>
        <v>-80</v>
      </c>
      <c r="BM28" s="328">
        <f>-40*'Annexe A  Plan RH'!CA94</f>
        <v>-80</v>
      </c>
      <c r="BN28" s="328">
        <f>-40*'Annexe A  Plan RH'!CB94</f>
        <v>-80</v>
      </c>
      <c r="BO28" s="328">
        <f>-40*'Annexe A  Plan RH'!CC94</f>
        <v>-80</v>
      </c>
      <c r="BP28" s="328">
        <f>-40*'Annexe A  Plan RH'!CD94</f>
        <v>-80</v>
      </c>
      <c r="BQ28" s="330">
        <f>-40*'Annexe A  Plan RH'!CE94</f>
        <v>-80</v>
      </c>
      <c r="BR28" s="329">
        <f>-40*'Annexe A  Plan RH'!CF94</f>
        <v>-120</v>
      </c>
      <c r="BS28" s="328">
        <f>-40*'Annexe A  Plan RH'!CG94</f>
        <v>-120</v>
      </c>
      <c r="BT28" s="328">
        <f>-40*'Annexe A  Plan RH'!CH94</f>
        <v>-120</v>
      </c>
      <c r="BU28" s="328">
        <f>-40*'Annexe A  Plan RH'!CI94</f>
        <v>-120</v>
      </c>
      <c r="BV28" s="328">
        <f>-40*'Annexe A  Plan RH'!CJ94</f>
        <v>-120</v>
      </c>
      <c r="BW28" s="328">
        <f>-40*'Annexe A  Plan RH'!CK94</f>
        <v>-200</v>
      </c>
      <c r="BX28" s="328">
        <f>-40*'Annexe A  Plan RH'!CL94</f>
        <v>-200</v>
      </c>
      <c r="BY28" s="328">
        <f>-40*'Annexe A  Plan RH'!CM94</f>
        <v>-200</v>
      </c>
      <c r="BZ28" s="328">
        <f>-40*'Annexe A  Plan RH'!CN94</f>
        <v>-200</v>
      </c>
      <c r="CA28" s="328">
        <f>-40*'Annexe A  Plan RH'!CO94</f>
        <v>-280</v>
      </c>
      <c r="CB28" s="328">
        <f>-40*'Annexe A  Plan RH'!CP94</f>
        <v>-280</v>
      </c>
      <c r="CC28" s="330">
        <f>-40*'Annexe A  Plan RH'!CQ94</f>
        <v>-280</v>
      </c>
    </row>
    <row r="29" spans="1:81" ht="14">
      <c r="A29" s="194" t="s">
        <v>200</v>
      </c>
      <c r="C29" s="144"/>
      <c r="D29" s="108"/>
      <c r="E29" s="108"/>
      <c r="F29" s="108"/>
      <c r="G29" s="108"/>
      <c r="H29" s="108"/>
      <c r="I29" s="346"/>
      <c r="J29" s="144"/>
      <c r="K29" s="108"/>
      <c r="L29" s="108"/>
      <c r="M29" s="108"/>
      <c r="N29" s="108"/>
      <c r="O29" s="108"/>
      <c r="P29" s="108"/>
      <c r="Q29" s="108"/>
      <c r="R29" s="108"/>
      <c r="S29" s="308">
        <v>-25000</v>
      </c>
      <c r="T29" s="308"/>
      <c r="U29" s="346"/>
      <c r="V29" s="40"/>
      <c r="AG29" s="10"/>
      <c r="AH29" s="40"/>
      <c r="AS29" s="10"/>
      <c r="AT29" s="40"/>
      <c r="BE29" s="10"/>
      <c r="BF29" s="40"/>
      <c r="BQ29" s="10"/>
      <c r="BR29" s="40"/>
      <c r="CC29" s="10"/>
    </row>
    <row r="30" spans="1:81" ht="14">
      <c r="A30" s="194" t="s">
        <v>195</v>
      </c>
      <c r="C30" s="144"/>
      <c r="D30" s="108"/>
      <c r="E30" s="108"/>
      <c r="F30" s="108"/>
      <c r="G30" s="108"/>
      <c r="H30" s="108"/>
      <c r="I30" s="346"/>
      <c r="J30" s="144"/>
      <c r="K30" s="108"/>
      <c r="L30" s="108"/>
      <c r="M30" s="108"/>
      <c r="N30" s="108"/>
      <c r="O30" s="108"/>
      <c r="P30" s="108"/>
      <c r="Q30" s="108"/>
      <c r="R30" s="108"/>
      <c r="T30" s="108"/>
      <c r="U30" s="346"/>
      <c r="V30" s="40"/>
      <c r="AG30" s="10"/>
      <c r="AH30" s="40"/>
      <c r="AS30" s="10"/>
      <c r="AT30" s="40"/>
      <c r="BE30" s="10"/>
      <c r="BF30" s="40"/>
      <c r="BQ30" s="10"/>
      <c r="BR30" s="40"/>
      <c r="CC30" s="10"/>
    </row>
    <row r="31" spans="1:81" ht="14">
      <c r="A31" s="194" t="s">
        <v>197</v>
      </c>
      <c r="C31" s="144"/>
      <c r="D31" s="108"/>
      <c r="E31" s="108"/>
      <c r="F31" s="108"/>
      <c r="G31" s="108"/>
      <c r="H31" s="108"/>
      <c r="I31" s="346"/>
      <c r="J31" s="129">
        <f>-(Ventes!J44-Ventes!I44)*Hypothèses!$B$43*$B$84</f>
        <v>0</v>
      </c>
      <c r="K31" s="130">
        <f ca="1">-(Ventes!K44-Ventes!J44)*Hypothèses!$B$43*$B$84</f>
        <v>0</v>
      </c>
      <c r="L31" s="130">
        <f ca="1">-(Ventes!L44-Ventes!K44)*Hypothèses!$B$43*$B$84</f>
        <v>0</v>
      </c>
      <c r="M31" s="130">
        <f ca="1">-(Ventes!M44-Ventes!L44)*Hypothèses!$B$43*$B$84</f>
        <v>0</v>
      </c>
      <c r="N31" s="130">
        <f ca="1">-(Ventes!N44-Ventes!M44)*Hypothèses!$B$43*$B$84</f>
        <v>0</v>
      </c>
      <c r="O31" s="130">
        <f ca="1">-(Ventes!O44-Ventes!N44)*Hypothèses!$B$43*$B$84</f>
        <v>0</v>
      </c>
      <c r="P31" s="130">
        <f ca="1">-(Ventes!P44-Ventes!O44)*Hypothèses!$B$43*$B$84</f>
        <v>0</v>
      </c>
      <c r="Q31" s="130">
        <f ca="1">-(Ventes!Q44-Ventes!P44)*Hypothèses!$B$43*$B$84</f>
        <v>0</v>
      </c>
      <c r="R31" s="130">
        <f ca="1">-(Ventes!R44-Ventes!Q44)*Hypothèses!$B$43*$B$84</f>
        <v>0</v>
      </c>
      <c r="S31" s="130">
        <f ca="1">-(Ventes!S44-Ventes!R44)*Hypothèses!$B$43*$B$84</f>
        <v>0</v>
      </c>
      <c r="T31" s="130">
        <f ca="1">-(Ventes!T44-Ventes!S44)*Hypothèses!$B$43*$B$84</f>
        <v>0</v>
      </c>
      <c r="U31" s="131">
        <f ca="1">-(Ventes!U44-Ventes!T44)*Hypothèses!$B$43*$B$84</f>
        <v>0</v>
      </c>
      <c r="V31" s="129">
        <f ca="1">-(Ventes!V44-Ventes!U44)*Hypothèses!$B$43*$B$84</f>
        <v>0</v>
      </c>
      <c r="W31" s="130">
        <f ca="1">-(Ventes!W44-Ventes!V44)*Hypothèses!$B$43*$B$84</f>
        <v>0</v>
      </c>
      <c r="X31" s="130">
        <f ca="1">-(Ventes!X44-Ventes!W44)*Hypothèses!$B$43*$B$84</f>
        <v>0</v>
      </c>
      <c r="Y31" s="130">
        <f ca="1">-(Ventes!Y44-Ventes!X44)*Hypothèses!$B$43*$B$84</f>
        <v>0</v>
      </c>
      <c r="Z31" s="130">
        <f ca="1">-(Ventes!Z44-Ventes!Y44)*Hypothèses!$B$43*$B$84</f>
        <v>0</v>
      </c>
      <c r="AA31" s="130">
        <f ca="1">-(Ventes!AA44-Ventes!Z44)*Hypothèses!$B$43*$B$84</f>
        <v>0</v>
      </c>
      <c r="AB31" s="130">
        <f ca="1">-(Ventes!AB44-Ventes!AA44)*Hypothèses!$B$43*$B$84</f>
        <v>0</v>
      </c>
      <c r="AC31" s="130">
        <f ca="1">-(Ventes!AC44-Ventes!AB44)*Hypothèses!$B$43*$B$84</f>
        <v>0</v>
      </c>
      <c r="AD31" s="130">
        <f ca="1">-(Ventes!AD44-Ventes!AC44)*Hypothèses!$B$43*$B$84</f>
        <v>0</v>
      </c>
      <c r="AE31" s="130">
        <f ca="1">-(Ventes!AE44-Ventes!AD44)*Hypothèses!$B$43*$B$84</f>
        <v>0</v>
      </c>
      <c r="AF31" s="130">
        <f ca="1">-(Ventes!AF44-Ventes!AE44)*Hypothèses!$B$43*$B$84</f>
        <v>0</v>
      </c>
      <c r="AG31" s="131">
        <f ca="1">-(Ventes!AG44-Ventes!AF44)*Hypothèses!$B$43*$B$84</f>
        <v>0</v>
      </c>
      <c r="AH31" s="129">
        <f ca="1">-(Ventes!AH44-Ventes!AG44)*Hypothèses!$B$43*$B$84</f>
        <v>0</v>
      </c>
      <c r="AI31" s="130">
        <f ca="1">-(Ventes!AI44-Ventes!AH44)*Hypothèses!$B$43*$B$84</f>
        <v>0</v>
      </c>
      <c r="AJ31" s="130">
        <f ca="1">-(Ventes!AJ44-Ventes!AI44)*Hypothèses!$B$43*$B$84</f>
        <v>0</v>
      </c>
      <c r="AK31" s="130">
        <f ca="1">-(Ventes!AK44-Ventes!AJ44)*Hypothèses!$B$43*$B$84</f>
        <v>0</v>
      </c>
      <c r="AL31" s="130">
        <f ca="1">-(Ventes!AL44-Ventes!AK44)*Hypothèses!$B$43*$B$84</f>
        <v>0</v>
      </c>
      <c r="AM31" s="130">
        <f ca="1">-(Ventes!AM44-Ventes!AL44)*Hypothèses!$B$43*$B$84</f>
        <v>0</v>
      </c>
      <c r="AN31" s="130">
        <f ca="1">-(Ventes!AN44-Ventes!AM44)*Hypothèses!$B$43*$B$84</f>
        <v>0</v>
      </c>
      <c r="AO31" s="130">
        <f ca="1">-(Ventes!AO44-Ventes!AN44)*Hypothèses!$B$43*$B$84</f>
        <v>0</v>
      </c>
      <c r="AP31" s="130">
        <f ca="1">-(Ventes!AP44-Ventes!AO44)*Hypothèses!$B$43*$B$84</f>
        <v>0</v>
      </c>
      <c r="AQ31" s="130">
        <f ca="1">-(Ventes!AQ44-Ventes!AP44)*Hypothèses!$B$43*$B$84</f>
        <v>0</v>
      </c>
      <c r="AR31" s="130">
        <f ca="1">-(Ventes!AR44-Ventes!AQ44)*Hypothèses!$B$43*$B$84</f>
        <v>0</v>
      </c>
      <c r="AS31" s="131">
        <f ca="1">-(Ventes!AS44-Ventes!AR44)*Hypothèses!$B$43*$B$84</f>
        <v>0</v>
      </c>
      <c r="AT31" s="129">
        <f ca="1">-(Ventes!AT44-Ventes!AS44)*Hypothèses!$B$43*$B$84</f>
        <v>0</v>
      </c>
      <c r="AU31" s="130">
        <f ca="1">-(Ventes!AU44-Ventes!AT44)*Hypothèses!$B$43*$B$84</f>
        <v>0</v>
      </c>
      <c r="AV31" s="130">
        <f ca="1">-(Ventes!AV44-Ventes!AU44)*Hypothèses!$B$43*$B$84</f>
        <v>0</v>
      </c>
      <c r="AW31" s="130">
        <f ca="1">-(Ventes!AW44-Ventes!AV44)*Hypothèses!$B$43*$B$84</f>
        <v>0</v>
      </c>
      <c r="AX31" s="130">
        <f ca="1">-(Ventes!AX44-Ventes!AW44)*Hypothèses!$B$43*$B$84</f>
        <v>0</v>
      </c>
      <c r="AY31" s="130">
        <f ca="1">-(Ventes!AY44-Ventes!AX44)*Hypothèses!$B$43*$B$84</f>
        <v>0</v>
      </c>
      <c r="AZ31" s="130">
        <f ca="1">-(Ventes!AZ44-Ventes!AY44)*Hypothèses!$B$43*$B$84</f>
        <v>0</v>
      </c>
      <c r="BA31" s="130">
        <f ca="1">-(Ventes!BA44-Ventes!AZ44)*Hypothèses!$B$43*$B$84</f>
        <v>0</v>
      </c>
      <c r="BB31" s="130">
        <f ca="1">-(Ventes!BB44-Ventes!BA44)*Hypothèses!$B$43*$B$84</f>
        <v>0</v>
      </c>
      <c r="BC31" s="130">
        <f ca="1">-(Ventes!BC44-Ventes!BB44)*Hypothèses!$B$43*$B$84</f>
        <v>0</v>
      </c>
      <c r="BD31" s="130">
        <f ca="1">-(Ventes!BD44-Ventes!BC44)*Hypothèses!$B$43*$B$84</f>
        <v>0</v>
      </c>
      <c r="BE31" s="131">
        <f ca="1">-(Ventes!BE44-Ventes!BD44)*Hypothèses!$B$43*$B$84</f>
        <v>0</v>
      </c>
      <c r="BF31" s="129">
        <f ca="1">-(Ventes!BF44-Ventes!BE44)*Hypothèses!$B$43*$B$84</f>
        <v>0</v>
      </c>
      <c r="BG31" s="130">
        <f ca="1">-(Ventes!BG44-Ventes!BF44)*Hypothèses!$B$43*$B$84</f>
        <v>0</v>
      </c>
      <c r="BH31" s="130">
        <f ca="1">-(Ventes!BH44-Ventes!BG44)*Hypothèses!$B$43*$B$84</f>
        <v>-272.99999999999994</v>
      </c>
      <c r="BI31" s="130">
        <f ca="1">-(Ventes!BI44-Ventes!BH44)*Hypothèses!$B$43*$B$84</f>
        <v>-270.24270000000001</v>
      </c>
      <c r="BJ31" s="130">
        <f ca="1">-(Ventes!BJ44-Ventes!BI44)*Hypothèses!$B$43*$B$84</f>
        <v>-267.52310130000001</v>
      </c>
      <c r="BK31" s="130">
        <f ca="1">-(Ventes!BK44-Ventes!BJ44)*Hypothèses!$B$43*$B$84</f>
        <v>-264.84052874369991</v>
      </c>
      <c r="BL31" s="130">
        <f ca="1">-(Ventes!BL44-Ventes!BK44)*Hypothèses!$B$43*$B$84</f>
        <v>-262.1943217169914</v>
      </c>
      <c r="BM31" s="130">
        <f ca="1">-(Ventes!BM44-Ventes!BL44)*Hypothèses!$B$43*$B$84</f>
        <v>-2671.3990101236882</v>
      </c>
      <c r="BN31" s="130">
        <f ca="1">-(Ventes!BN44-Ventes!BM44)*Hypothèses!$B$43*$B$84</f>
        <v>-2644.4642754769916</v>
      </c>
      <c r="BO31" s="130">
        <f ca="1">-(Ventes!BO44-Ventes!BN44)*Hypothèses!$B$43*$B$84</f>
        <v>-2617.8970800228567</v>
      </c>
      <c r="BP31" s="130">
        <f ca="1">-(Ventes!BP44-Ventes!BO44)*Hypothèses!$B$43*$B$84</f>
        <v>-2591.6908532746293</v>
      </c>
      <c r="BQ31" s="131">
        <f ca="1">-(Ventes!BQ44-Ventes!BP44)*Hypothèses!$B$43*$B$84</f>
        <v>-2565.8391661118117</v>
      </c>
      <c r="BR31" s="129">
        <f ca="1">-(Ventes!BR44-Ventes!BQ44)*Hypothèses!$B$43*$B$84</f>
        <v>-2538.6899536804749</v>
      </c>
      <c r="BS31" s="130">
        <f ca="1">-(Ventes!BS44-Ventes!BR44)*Hypothèses!$B$43*$B$84</f>
        <v>-2786.1591797541932</v>
      </c>
      <c r="BT31" s="130">
        <f ca="1">-(Ventes!BT44-Ventes!BS44)*Hypothèses!$B$43*$B$84</f>
        <v>-2758.1659583793394</v>
      </c>
      <c r="BU31" s="130">
        <f ca="1">-(Ventes!BU44-Ventes!BT44)*Hypothèses!$B$43*$B$84</f>
        <v>-2730.5256540915793</v>
      </c>
      <c r="BV31" s="130">
        <f ca="1">-(Ventes!BV44-Ventes!BU44)*Hypothèses!$B$43*$B$84</f>
        <v>-2703.2329744524418</v>
      </c>
      <c r="BW31" s="130">
        <f ca="1">-(Ventes!BW44-Ventes!BV44)*Hypothèses!$B$43*$B$84</f>
        <v>-2676.282717213644</v>
      </c>
      <c r="BX31" s="130">
        <f ca="1">-(Ventes!BX44-Ventes!BW44)*Hypothèses!$B$43*$B$84</f>
        <v>-3195.6697686306597</v>
      </c>
      <c r="BY31" s="130">
        <f ca="1">-(Ventes!BY44-Ventes!BX44)*Hypothèses!$B$43*$B$84</f>
        <v>-4228.4950697361637</v>
      </c>
      <c r="BZ31" s="130">
        <f ca="1">-(Ventes!BZ44-Ventes!BY44)*Hypothèses!$B$43*$B$84</f>
        <v>-4186.1840547028351</v>
      </c>
      <c r="CA31" s="130">
        <f ca="1">-(Ventes!CA44-Ventes!BZ44)*Hypothèses!$B$43*$B$84</f>
        <v>-4144.404473368133</v>
      </c>
      <c r="CB31" s="130">
        <f ca="1">-(Ventes!CB44-Ventes!CA44)*Hypothèses!$B$43*$B$84</f>
        <v>-4649.1483811848238</v>
      </c>
      <c r="CC31" s="131">
        <f ca="1">-(Ventes!CC44-Ventes!CB44)*Hypothèses!$B$43*$B$84</f>
        <v>-4602.8387686513952</v>
      </c>
    </row>
    <row r="32" spans="1:81" ht="14">
      <c r="A32" s="347"/>
      <c r="B32" s="120"/>
      <c r="C32" s="348"/>
      <c r="D32" s="349"/>
      <c r="E32" s="349"/>
      <c r="F32" s="349"/>
      <c r="G32" s="349"/>
      <c r="H32" s="349"/>
      <c r="I32" s="350"/>
      <c r="J32" s="348"/>
      <c r="K32" s="349"/>
      <c r="L32" s="349"/>
      <c r="M32" s="349"/>
      <c r="N32" s="349"/>
      <c r="O32" s="349"/>
      <c r="P32" s="349"/>
      <c r="Q32" s="349"/>
      <c r="R32" s="349"/>
      <c r="S32" s="349"/>
      <c r="T32" s="349"/>
      <c r="U32" s="350"/>
      <c r="V32" s="43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1"/>
      <c r="AH32" s="43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1"/>
      <c r="AT32" s="43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1"/>
      <c r="BF32" s="43"/>
      <c r="BG32" s="120"/>
      <c r="BH32" s="120"/>
      <c r="BI32" s="120"/>
      <c r="BJ32" s="120"/>
      <c r="BK32" s="120"/>
      <c r="BL32" s="120"/>
      <c r="BM32" s="120"/>
      <c r="BN32" s="120"/>
      <c r="BO32" s="120"/>
      <c r="BP32" s="120"/>
      <c r="BQ32" s="121"/>
      <c r="BR32" s="43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1"/>
    </row>
    <row r="33" spans="1:81" ht="13">
      <c r="A33" s="351" t="s">
        <v>85</v>
      </c>
      <c r="B33" s="113"/>
      <c r="C33" s="32"/>
      <c r="D33" s="113"/>
      <c r="E33" s="113"/>
      <c r="F33" s="113"/>
      <c r="G33" s="113"/>
      <c r="H33" s="113"/>
      <c r="I33" s="114"/>
      <c r="J33" s="32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4"/>
      <c r="V33" s="32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4"/>
      <c r="AH33" s="32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4"/>
      <c r="AT33" s="32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4"/>
      <c r="BF33" s="32"/>
      <c r="BG33" s="113"/>
      <c r="BH33" s="113"/>
      <c r="BI33" s="113"/>
      <c r="BJ33" s="113"/>
      <c r="BK33" s="113"/>
      <c r="BL33" s="113"/>
      <c r="BM33" s="113"/>
      <c r="BN33" s="113"/>
      <c r="BO33" s="113"/>
      <c r="BP33" s="113"/>
      <c r="BQ33" s="114"/>
      <c r="BR33" s="32"/>
      <c r="BS33" s="113"/>
      <c r="BT33" s="113"/>
      <c r="BU33" s="113"/>
      <c r="BV33" s="113"/>
      <c r="BW33" s="113"/>
      <c r="BX33" s="113"/>
      <c r="BY33" s="113"/>
      <c r="BZ33" s="113"/>
      <c r="CA33" s="113"/>
      <c r="CB33" s="113"/>
      <c r="CC33" s="114"/>
    </row>
    <row r="34" spans="1:81" ht="13">
      <c r="A34" s="40"/>
      <c r="C34" s="40"/>
      <c r="I34" s="10"/>
      <c r="J34" s="40"/>
      <c r="U34" s="10"/>
      <c r="V34" s="40"/>
      <c r="AG34" s="10"/>
      <c r="AH34" s="40"/>
      <c r="AS34" s="10"/>
      <c r="AT34" s="40"/>
      <c r="BE34" s="10"/>
      <c r="BF34" s="40"/>
      <c r="BQ34" s="10"/>
      <c r="BR34" s="40"/>
      <c r="CC34" s="10"/>
    </row>
    <row r="35" spans="1:81" ht="14">
      <c r="A35" s="305" t="s">
        <v>185</v>
      </c>
      <c r="C35" s="40"/>
      <c r="I35" s="10"/>
      <c r="J35" s="129">
        <f>-'Annexe A  Plan RH'!X95*Hypothèses!$B$96</f>
        <v>0</v>
      </c>
      <c r="U35" s="10"/>
      <c r="V35" s="40"/>
      <c r="AG35" s="10"/>
      <c r="AH35" s="40"/>
      <c r="AI35" s="130">
        <f>-'Annexe A  Plan RH'!AW95*Hypothèses!$B$96</f>
        <v>0</v>
      </c>
      <c r="AJ35" s="130">
        <f>-'Annexe A  Plan RH'!AX95*Hypothèses!$B$96</f>
        <v>0</v>
      </c>
      <c r="AK35" s="130">
        <f>-'Annexe A  Plan RH'!AY95*Hypothèses!$B$96</f>
        <v>0</v>
      </c>
      <c r="AL35" s="130">
        <f>-'Annexe A  Plan RH'!AZ95*Hypothèses!$B$96</f>
        <v>0</v>
      </c>
      <c r="AM35" s="130">
        <f>-'Annexe A  Plan RH'!BA95*Hypothèses!$B$96</f>
        <v>0</v>
      </c>
      <c r="AN35" s="130">
        <f>-'Annexe A  Plan RH'!BB95*Hypothèses!$B$96</f>
        <v>0</v>
      </c>
      <c r="AO35" s="130">
        <f>-'Annexe A  Plan RH'!BC95*Hypothèses!$B$96</f>
        <v>0</v>
      </c>
      <c r="AP35" s="130">
        <f>-'Annexe A  Plan RH'!BD95*Hypothèses!$B$96</f>
        <v>0</v>
      </c>
      <c r="AQ35" s="130">
        <f>-'Annexe A  Plan RH'!BE95*Hypothèses!$B$96</f>
        <v>0</v>
      </c>
      <c r="AR35" s="130">
        <f>-'Annexe A  Plan RH'!BF95*Hypothèses!$B$96</f>
        <v>0</v>
      </c>
      <c r="AS35" s="130">
        <f>-'Annexe A  Plan RH'!BG95*Hypothèses!$B$96</f>
        <v>0</v>
      </c>
      <c r="AT35" s="129">
        <f>-'Annexe A  Plan RH'!BH95*Hypothèses!$B$96</f>
        <v>0</v>
      </c>
      <c r="AU35" s="130">
        <f>-'Annexe A  Plan RH'!BI95*Hypothèses!$B$96</f>
        <v>0</v>
      </c>
      <c r="AV35" s="130">
        <f>-'Annexe A  Plan RH'!BJ95*Hypothèses!$B$96</f>
        <v>0</v>
      </c>
      <c r="AW35" s="130">
        <f>-'Annexe A  Plan RH'!BK95*Hypothèses!$B$96</f>
        <v>0</v>
      </c>
      <c r="AX35" s="130">
        <f>-'Annexe A  Plan RH'!BL95*Hypothèses!$B$96</f>
        <v>0</v>
      </c>
      <c r="AY35" s="130">
        <f>-'Annexe A  Plan RH'!BM95*Hypothèses!$B$96</f>
        <v>0</v>
      </c>
      <c r="AZ35" s="130">
        <f>-'Annexe A  Plan RH'!BN95*Hypothèses!$B$96</f>
        <v>0</v>
      </c>
      <c r="BA35" s="130">
        <f>-'Annexe A  Plan RH'!BO95*Hypothèses!$B$96</f>
        <v>0</v>
      </c>
      <c r="BB35" s="130">
        <f>-'Annexe A  Plan RH'!BP95*Hypothèses!$B$96</f>
        <v>0</v>
      </c>
      <c r="BC35" s="130">
        <f>-'Annexe A  Plan RH'!BQ95*Hypothèses!$B$96</f>
        <v>0</v>
      </c>
      <c r="BD35" s="130">
        <f>-'Annexe A  Plan RH'!BR95*Hypothèses!$B$96</f>
        <v>0</v>
      </c>
      <c r="BE35" s="131">
        <f>-'Annexe A  Plan RH'!BS95*Hypothèses!$B$96</f>
        <v>0</v>
      </c>
      <c r="BF35" s="129">
        <f>-'Annexe A  Plan RH'!BT95*Hypothèses!$B$96</f>
        <v>0</v>
      </c>
      <c r="BG35" s="130">
        <f>-'Annexe A  Plan RH'!BU95*Hypothèses!$B$96</f>
        <v>0</v>
      </c>
      <c r="BH35" s="130">
        <f>-'Annexe A  Plan RH'!BV95*Hypothèses!$B$96</f>
        <v>0</v>
      </c>
      <c r="BI35" s="130">
        <f>-'Annexe A  Plan RH'!BW95*Hypothèses!$B$96</f>
        <v>0</v>
      </c>
      <c r="BJ35" s="130">
        <f>-'Annexe A  Plan RH'!BX95*Hypothèses!$B$96</f>
        <v>0</v>
      </c>
      <c r="BK35" s="130">
        <f>-'Annexe A  Plan RH'!BY95*Hypothèses!$B$96</f>
        <v>0</v>
      </c>
      <c r="BL35" s="130">
        <f>-'Annexe A  Plan RH'!BZ95*Hypothèses!$B$96</f>
        <v>0</v>
      </c>
      <c r="BM35" s="130">
        <f>-'Annexe A  Plan RH'!CA95*Hypothèses!$B$96</f>
        <v>0</v>
      </c>
      <c r="BN35" s="130">
        <f>-'Annexe A  Plan RH'!CB95*Hypothèses!$B$96</f>
        <v>0</v>
      </c>
      <c r="BO35" s="130">
        <f>-'Annexe A  Plan RH'!CC95*Hypothèses!$B$96</f>
        <v>0</v>
      </c>
      <c r="BP35" s="130">
        <f>-'Annexe A  Plan RH'!CD95*Hypothèses!$B$96</f>
        <v>0</v>
      </c>
      <c r="BQ35" s="131">
        <f>-'Annexe A  Plan RH'!CE95*Hypothèses!$B$96</f>
        <v>0</v>
      </c>
      <c r="BR35" s="129">
        <f>-'Annexe A  Plan RH'!CF95*Hypothèses!$B$96</f>
        <v>0</v>
      </c>
      <c r="BS35" s="130">
        <f>-'Annexe A  Plan RH'!CG95*Hypothèses!$B$96</f>
        <v>0</v>
      </c>
      <c r="BT35" s="130">
        <f>-'Annexe A  Plan RH'!CH95*Hypothèses!$B$96</f>
        <v>-130</v>
      </c>
      <c r="BU35" s="130">
        <f>-'Annexe A  Plan RH'!CI95*Hypothèses!$B$96</f>
        <v>-130</v>
      </c>
      <c r="BV35" s="130">
        <f>-'Annexe A  Plan RH'!CJ95*Hypothèses!$B$96</f>
        <v>-130</v>
      </c>
      <c r="BW35" s="130">
        <f>-'Annexe A  Plan RH'!CK95*Hypothèses!$B$96</f>
        <v>-260</v>
      </c>
      <c r="BX35" s="130">
        <f>-'Annexe A  Plan RH'!CL95*Hypothèses!$B$96</f>
        <v>-260</v>
      </c>
      <c r="BY35" s="130">
        <f>-'Annexe A  Plan RH'!CM95*Hypothèses!$B$96</f>
        <v>-520</v>
      </c>
      <c r="BZ35" s="130">
        <f>-'Annexe A  Plan RH'!CN95*Hypothèses!$B$96</f>
        <v>-520</v>
      </c>
      <c r="CA35" s="130">
        <f>-'Annexe A  Plan RH'!CO95*Hypothèses!$B$96</f>
        <v>-520</v>
      </c>
      <c r="CB35" s="130">
        <f>-'Annexe A  Plan RH'!CP95*Hypothèses!$B$96</f>
        <v>-520</v>
      </c>
      <c r="CC35" s="131">
        <f>-'Annexe A  Plan RH'!CQ95*Hypothèses!$B$96</f>
        <v>-520</v>
      </c>
    </row>
    <row r="36" spans="1:81" ht="14">
      <c r="A36" s="305" t="s">
        <v>186</v>
      </c>
      <c r="C36" s="40"/>
      <c r="I36" s="10"/>
      <c r="J36" s="328">
        <f>1%*'Couts RH'!J$5*'Annexe A  Plan RH'!X$95/'Annexe A  Plan RH'!X$92</f>
        <v>0</v>
      </c>
      <c r="K36" s="328">
        <f>1%*'Couts RH'!K$5*'Annexe A  Plan RH'!Y95/'Annexe A  Plan RH'!Y$92</f>
        <v>0</v>
      </c>
      <c r="L36" s="328">
        <f>1%*'Couts RH'!L$5*'Annexe A  Plan RH'!Z95/'Annexe A  Plan RH'!Z$92</f>
        <v>0</v>
      </c>
      <c r="M36" s="328">
        <f>1%*'Couts RH'!M$5*'Annexe A  Plan RH'!AA95/'Annexe A  Plan RH'!AA$92</f>
        <v>0</v>
      </c>
      <c r="N36" s="328">
        <f>1%*'Couts RH'!N$5*'Annexe A  Plan RH'!AB95/'Annexe A  Plan RH'!AB$92</f>
        <v>0</v>
      </c>
      <c r="O36" s="328">
        <f>1%*'Couts RH'!O$5*'Annexe A  Plan RH'!AC95/'Annexe A  Plan RH'!AC$92</f>
        <v>0</v>
      </c>
      <c r="P36" s="328">
        <f>1%*'Couts RH'!P$5*'Annexe A  Plan RH'!AD95/'Annexe A  Plan RH'!AD$92</f>
        <v>0</v>
      </c>
      <c r="Q36" s="328">
        <f>1%*'Couts RH'!Q$5*'Annexe A  Plan RH'!AE95/'Annexe A  Plan RH'!AE$92</f>
        <v>0</v>
      </c>
      <c r="R36" s="328">
        <f>1%*'Couts RH'!R$5*'Annexe A  Plan RH'!AF95/'Annexe A  Plan RH'!AF$92</f>
        <v>0</v>
      </c>
      <c r="S36" s="328">
        <f>1%*'Couts RH'!S$5*'Annexe A  Plan RH'!AG95/'Annexe A  Plan RH'!AG$92</f>
        <v>0</v>
      </c>
      <c r="T36" s="328">
        <f>1%*'Couts RH'!T$5*'Annexe A  Plan RH'!AH95/'Annexe A  Plan RH'!AH$92</f>
        <v>0</v>
      </c>
      <c r="U36" s="330">
        <f>1%*'Couts RH'!U$5*'Annexe A  Plan RH'!AI95/'Annexe A  Plan RH'!AI$92</f>
        <v>0</v>
      </c>
      <c r="V36" s="329">
        <f>1%*'Couts RH'!V$5*'Annexe A  Plan RH'!AJ95/'Annexe A  Plan RH'!AJ$92</f>
        <v>0</v>
      </c>
      <c r="W36" s="328">
        <f>1%*'Couts RH'!W$5*'Annexe A  Plan RH'!AK95/'Annexe A  Plan RH'!AK$92</f>
        <v>0</v>
      </c>
      <c r="X36" s="328">
        <f>1%*'Couts RH'!X$5*'Annexe A  Plan RH'!AL95/'Annexe A  Plan RH'!AL$92</f>
        <v>0</v>
      </c>
      <c r="Y36" s="328">
        <f>1%*'Couts RH'!Y$5*'Annexe A  Plan RH'!AM95/'Annexe A  Plan RH'!AM$92</f>
        <v>0</v>
      </c>
      <c r="Z36" s="328">
        <f>1%*'Couts RH'!Z$5*'Annexe A  Plan RH'!AN95/'Annexe A  Plan RH'!AN$92</f>
        <v>0</v>
      </c>
      <c r="AA36" s="328">
        <f>1%*'Couts RH'!AA$5*'Annexe A  Plan RH'!AO95/'Annexe A  Plan RH'!AO$92</f>
        <v>0</v>
      </c>
      <c r="AB36" s="328">
        <f>1%*'Couts RH'!AB$5*'Annexe A  Plan RH'!AP95/'Annexe A  Plan RH'!AP$92</f>
        <v>0</v>
      </c>
      <c r="AC36" s="328">
        <f>1%*'Couts RH'!AC$5*'Annexe A  Plan RH'!AQ95/'Annexe A  Plan RH'!AQ$92</f>
        <v>0</v>
      </c>
      <c r="AD36" s="328">
        <f>1%*'Couts RH'!AD$5*'Annexe A  Plan RH'!AR95/'Annexe A  Plan RH'!AR$92</f>
        <v>0</v>
      </c>
      <c r="AE36" s="328">
        <f>1%*'Couts RH'!AE$5*'Annexe A  Plan RH'!AS95/'Annexe A  Plan RH'!AS$92</f>
        <v>0</v>
      </c>
      <c r="AF36" s="328">
        <f>1%*'Couts RH'!AF$5*'Annexe A  Plan RH'!AT95/'Annexe A  Plan RH'!AT$92</f>
        <v>0</v>
      </c>
      <c r="AG36" s="330">
        <f>1%*'Couts RH'!AG$5*'Annexe A  Plan RH'!AU95/'Annexe A  Plan RH'!AU$92</f>
        <v>0</v>
      </c>
      <c r="AH36" s="329">
        <f>1%*'Couts RH'!AH$5*'Annexe A  Plan RH'!AV95/'Annexe A  Plan RH'!AV$92</f>
        <v>0</v>
      </c>
      <c r="AI36" s="328">
        <f>1%*'Couts RH'!AI$5*'Annexe A  Plan RH'!AW95/'Annexe A  Plan RH'!AW$92</f>
        <v>0</v>
      </c>
      <c r="AJ36" s="328">
        <f>1%*'Couts RH'!AJ$5*'Annexe A  Plan RH'!AX95/'Annexe A  Plan RH'!AX$92</f>
        <v>0</v>
      </c>
      <c r="AK36" s="328">
        <f>1%*'Couts RH'!AK$5*'Annexe A  Plan RH'!AY95/'Annexe A  Plan RH'!AY$92</f>
        <v>0</v>
      </c>
      <c r="AL36" s="328">
        <f>1%*'Couts RH'!AL$5*'Annexe A  Plan RH'!AZ95/'Annexe A  Plan RH'!AZ$92</f>
        <v>0</v>
      </c>
      <c r="AM36" s="328">
        <f>1%*'Couts RH'!AM$5*'Annexe A  Plan RH'!BA95/'Annexe A  Plan RH'!BA$92</f>
        <v>0</v>
      </c>
      <c r="AN36" s="328">
        <f>1%*'Couts RH'!AN$5*'Annexe A  Plan RH'!BB95/'Annexe A  Plan RH'!BB$92</f>
        <v>0</v>
      </c>
      <c r="AO36" s="328">
        <f>1%*'Couts RH'!AO$5*'Annexe A  Plan RH'!BC95/'Annexe A  Plan RH'!BC$92</f>
        <v>0</v>
      </c>
      <c r="AP36" s="328">
        <f>1%*'Couts RH'!AP$5*'Annexe A  Plan RH'!BD95/'Annexe A  Plan RH'!BD$92</f>
        <v>0</v>
      </c>
      <c r="AQ36" s="328">
        <f>1%*'Couts RH'!AQ$5*'Annexe A  Plan RH'!BE95/'Annexe A  Plan RH'!BE$92</f>
        <v>0</v>
      </c>
      <c r="AR36" s="328">
        <f>1%*'Couts RH'!AR$5*'Annexe A  Plan RH'!BF95/'Annexe A  Plan RH'!BF$92</f>
        <v>0</v>
      </c>
      <c r="AS36" s="328">
        <f>1%*'Couts RH'!AS$5*'Annexe A  Plan RH'!BG95/'Annexe A  Plan RH'!BG$92</f>
        <v>0</v>
      </c>
      <c r="AT36" s="329">
        <f>1%*'Couts RH'!AT$5*'Annexe A  Plan RH'!BH95/'Annexe A  Plan RH'!BH$92</f>
        <v>0</v>
      </c>
      <c r="AU36" s="328">
        <f>1%*'Couts RH'!AU$5*'Annexe A  Plan RH'!BI95/'Annexe A  Plan RH'!BI$92</f>
        <v>0</v>
      </c>
      <c r="AV36" s="328">
        <f>1%*'Couts RH'!AV$5*'Annexe A  Plan RH'!BJ95/'Annexe A  Plan RH'!BJ$92</f>
        <v>0</v>
      </c>
      <c r="AW36" s="328">
        <f>1%*'Couts RH'!AW$5*'Annexe A  Plan RH'!BK95/'Annexe A  Plan RH'!BK$92</f>
        <v>0</v>
      </c>
      <c r="AX36" s="328">
        <f>1%*'Couts RH'!AX$5*'Annexe A  Plan RH'!BL95/'Annexe A  Plan RH'!BL$92</f>
        <v>0</v>
      </c>
      <c r="AY36" s="328">
        <f>1%*'Couts RH'!AY$5*'Annexe A  Plan RH'!BM95/'Annexe A  Plan RH'!BM$92</f>
        <v>0</v>
      </c>
      <c r="AZ36" s="328">
        <f>1%*'Couts RH'!AZ$5*'Annexe A  Plan RH'!BN95/'Annexe A  Plan RH'!BN$92</f>
        <v>0</v>
      </c>
      <c r="BA36" s="328">
        <f>1%*'Couts RH'!BA$5*'Annexe A  Plan RH'!BO95/'Annexe A  Plan RH'!BO$92</f>
        <v>0</v>
      </c>
      <c r="BB36" s="328">
        <f>1%*'Couts RH'!BB$5*'Annexe A  Plan RH'!BP95/'Annexe A  Plan RH'!BP$92</f>
        <v>0</v>
      </c>
      <c r="BC36" s="328">
        <f>1%*'Couts RH'!BC$5*'Annexe A  Plan RH'!BQ95/'Annexe A  Plan RH'!BQ$92</f>
        <v>0</v>
      </c>
      <c r="BD36" s="328">
        <f>1%*'Couts RH'!BD$5*'Annexe A  Plan RH'!BR95/'Annexe A  Plan RH'!BR$92</f>
        <v>0</v>
      </c>
      <c r="BE36" s="330">
        <f>1%*'Couts RH'!BE$5*'Annexe A  Plan RH'!BS95/'Annexe A  Plan RH'!BS$92</f>
        <v>0</v>
      </c>
      <c r="BF36" s="329">
        <f>1%*'Couts RH'!BF$5*'Annexe A  Plan RH'!BT95/'Annexe A  Plan RH'!BT$92</f>
        <v>0</v>
      </c>
      <c r="BG36" s="328">
        <f>1%*'Couts RH'!BG$5*'Annexe A  Plan RH'!BU95/'Annexe A  Plan RH'!BU$92</f>
        <v>0</v>
      </c>
      <c r="BH36" s="328">
        <f>1%*'Couts RH'!BH$5*'Annexe A  Plan RH'!BV95/'Annexe A  Plan RH'!BV$92</f>
        <v>0</v>
      </c>
      <c r="BI36" s="328">
        <f>1%*'Couts RH'!BI$5*'Annexe A  Plan RH'!BW95/'Annexe A  Plan RH'!BW$92</f>
        <v>0</v>
      </c>
      <c r="BJ36" s="328">
        <f>1%*'Couts RH'!BJ$5*'Annexe A  Plan RH'!BX95/'Annexe A  Plan RH'!BX$92</f>
        <v>0</v>
      </c>
      <c r="BK36" s="328">
        <f>1%*'Couts RH'!BK$5*'Annexe A  Plan RH'!BY95/'Annexe A  Plan RH'!BY$92</f>
        <v>0</v>
      </c>
      <c r="BL36" s="328">
        <f>1%*'Couts RH'!BL$5*'Annexe A  Plan RH'!BZ95/'Annexe A  Plan RH'!BZ$92</f>
        <v>0</v>
      </c>
      <c r="BM36" s="328">
        <f>1%*'Couts RH'!BM$5*'Annexe A  Plan RH'!CA95/'Annexe A  Plan RH'!CA$92</f>
        <v>0</v>
      </c>
      <c r="BN36" s="328">
        <f>1%*'Couts RH'!BN$5*'Annexe A  Plan RH'!CB95/'Annexe A  Plan RH'!CB$92</f>
        <v>0</v>
      </c>
      <c r="BO36" s="328">
        <f>1%*'Couts RH'!BO$5*'Annexe A  Plan RH'!CC95/'Annexe A  Plan RH'!CC$92</f>
        <v>0</v>
      </c>
      <c r="BP36" s="328">
        <f>1%*'Couts RH'!BP$5*'Annexe A  Plan RH'!CD95/'Annexe A  Plan RH'!CD$92</f>
        <v>0</v>
      </c>
      <c r="BQ36" s="330">
        <f>1%*'Couts RH'!BQ$5*'Annexe A  Plan RH'!CE95/'Annexe A  Plan RH'!CE$92</f>
        <v>0</v>
      </c>
      <c r="BR36" s="329">
        <f>1%*'Couts RH'!BR$5*'Annexe A  Plan RH'!CF95/'Annexe A  Plan RH'!CF$92</f>
        <v>0</v>
      </c>
      <c r="BS36" s="328">
        <f>1%*'Couts RH'!BS$5*'Annexe A  Plan RH'!CG95/'Annexe A  Plan RH'!CG$92</f>
        <v>0</v>
      </c>
      <c r="BT36" s="328">
        <f>1%*'Couts RH'!BT$5*'Annexe A  Plan RH'!CH95/'Annexe A  Plan RH'!CH$92</f>
        <v>-64.744424847146746</v>
      </c>
      <c r="BU36" s="328">
        <f>1%*'Couts RH'!BU$5*'Annexe A  Plan RH'!CI95/'Annexe A  Plan RH'!CI$92</f>
        <v>-64.744424847146746</v>
      </c>
      <c r="BV36" s="328">
        <f>1%*'Couts RH'!BV$5*'Annexe A  Plan RH'!CJ95/'Annexe A  Plan RH'!CJ$92</f>
        <v>-64.744424847146746</v>
      </c>
      <c r="BW36" s="328">
        <f>1%*'Couts RH'!BW$5*'Annexe A  Plan RH'!CK95/'Annexe A  Plan RH'!CK$92</f>
        <v>-130.82196093749999</v>
      </c>
      <c r="BX36" s="328">
        <f>1%*'Couts RH'!BX$5*'Annexe A  Plan RH'!CL95/'Annexe A  Plan RH'!CL$92</f>
        <v>-132.25720921875001</v>
      </c>
      <c r="BY36" s="328">
        <f>1%*'Couts RH'!BY$5*'Annexe A  Plan RH'!CM95/'Annexe A  Plan RH'!CM$92</f>
        <v>-267.56426886792451</v>
      </c>
      <c r="BZ36" s="328">
        <f>1%*'Couts RH'!BZ$5*'Annexe A  Plan RH'!CN95/'Annexe A  Plan RH'!CN$92</f>
        <v>-267.56426886792451</v>
      </c>
      <c r="CA36" s="328">
        <f>1%*'Couts RH'!CA$5*'Annexe A  Plan RH'!CO95/'Annexe A  Plan RH'!CO$92</f>
        <v>-265.49603181818185</v>
      </c>
      <c r="CB36" s="328">
        <f>1%*'Couts RH'!CB$5*'Annexe A  Plan RH'!CP95/'Annexe A  Plan RH'!CP$92</f>
        <v>-265.49603181818185</v>
      </c>
      <c r="CC36" s="330">
        <f>1%*'Couts RH'!CC$5*'Annexe A  Plan RH'!CQ95/'Annexe A  Plan RH'!CQ$92</f>
        <v>-265.49603181818185</v>
      </c>
    </row>
    <row r="37" spans="1:81" ht="14">
      <c r="A37" s="194" t="s">
        <v>187</v>
      </c>
      <c r="C37" s="40"/>
      <c r="I37" s="10"/>
      <c r="J37" s="328">
        <f>0.5%*'Couts RH'!J$5*'Annexe A  Plan RH'!X$95/'Annexe A  Plan RH'!X$92</f>
        <v>0</v>
      </c>
      <c r="K37" s="328">
        <f>0.5%*'Couts RH'!K$5*'Annexe A  Plan RH'!Y$95/'Annexe A  Plan RH'!Y$92</f>
        <v>0</v>
      </c>
      <c r="L37" s="328">
        <f>0.5%*'Couts RH'!L$5*'Annexe A  Plan RH'!Z$95/'Annexe A  Plan RH'!Z$92</f>
        <v>0</v>
      </c>
      <c r="M37" s="328">
        <f>0.5%*'Couts RH'!M$5*'Annexe A  Plan RH'!AA$95/'Annexe A  Plan RH'!AA$92</f>
        <v>0</v>
      </c>
      <c r="N37" s="328">
        <f>0.5%*'Couts RH'!N$5*'Annexe A  Plan RH'!AB$95/'Annexe A  Plan RH'!AB$92</f>
        <v>0</v>
      </c>
      <c r="O37" s="328">
        <f>0.5%*'Couts RH'!O$5*'Annexe A  Plan RH'!AC$95/'Annexe A  Plan RH'!AC$92</f>
        <v>0</v>
      </c>
      <c r="P37" s="328">
        <f>0.5%*'Couts RH'!P$5*'Annexe A  Plan RH'!AD$95/'Annexe A  Plan RH'!AD$92</f>
        <v>0</v>
      </c>
      <c r="Q37" s="328">
        <f>0.5%*'Couts RH'!Q$5*'Annexe A  Plan RH'!AE$95/'Annexe A  Plan RH'!AE$92</f>
        <v>0</v>
      </c>
      <c r="R37" s="328">
        <f>0.5%*'Couts RH'!R$5*'Annexe A  Plan RH'!AF$95/'Annexe A  Plan RH'!AF$92</f>
        <v>0</v>
      </c>
      <c r="S37" s="328">
        <f>0.5%*'Couts RH'!S$5*'Annexe A  Plan RH'!AG$95/'Annexe A  Plan RH'!AG$92</f>
        <v>0</v>
      </c>
      <c r="T37" s="328">
        <f>0.5%*'Couts RH'!T$5*'Annexe A  Plan RH'!AH$95/'Annexe A  Plan RH'!AH$92</f>
        <v>0</v>
      </c>
      <c r="U37" s="330">
        <f>0.5%*'Couts RH'!U$5*'Annexe A  Plan RH'!AI$95/'Annexe A  Plan RH'!AI$92</f>
        <v>0</v>
      </c>
      <c r="V37" s="329">
        <f>0.5%*'Couts RH'!V$5*'Annexe A  Plan RH'!AJ$95/'Annexe A  Plan RH'!AJ$92</f>
        <v>0</v>
      </c>
      <c r="W37" s="328">
        <f>0.5%*'Couts RH'!W$5*'Annexe A  Plan RH'!AK$95/'Annexe A  Plan RH'!AK$92</f>
        <v>0</v>
      </c>
      <c r="X37" s="328">
        <f>0.5%*'Couts RH'!X$5*'Annexe A  Plan RH'!AL$95/'Annexe A  Plan RH'!AL$92</f>
        <v>0</v>
      </c>
      <c r="Y37" s="328">
        <f>0.5%*'Couts RH'!Y$5*'Annexe A  Plan RH'!AM$95/'Annexe A  Plan RH'!AM$92</f>
        <v>0</v>
      </c>
      <c r="Z37" s="328">
        <f>0.5%*'Couts RH'!Z$5*'Annexe A  Plan RH'!AN$95/'Annexe A  Plan RH'!AN$92</f>
        <v>0</v>
      </c>
      <c r="AA37" s="328">
        <f>0.5%*'Couts RH'!AA$5*'Annexe A  Plan RH'!AO$95/'Annexe A  Plan RH'!AO$92</f>
        <v>0</v>
      </c>
      <c r="AB37" s="328">
        <f>0.5%*'Couts RH'!AB$5*'Annexe A  Plan RH'!AP$95/'Annexe A  Plan RH'!AP$92</f>
        <v>0</v>
      </c>
      <c r="AC37" s="328">
        <f>0.5%*'Couts RH'!AC$5*'Annexe A  Plan RH'!AQ$95/'Annexe A  Plan RH'!AQ$92</f>
        <v>0</v>
      </c>
      <c r="AD37" s="328">
        <f>0.5%*'Couts RH'!AD$5*'Annexe A  Plan RH'!AR$95/'Annexe A  Plan RH'!AR$92</f>
        <v>0</v>
      </c>
      <c r="AE37" s="328">
        <f>0.5%*'Couts RH'!AE$5*'Annexe A  Plan RH'!AS$95/'Annexe A  Plan RH'!AS$92</f>
        <v>0</v>
      </c>
      <c r="AF37" s="328">
        <f>0.5%*'Couts RH'!AF$5*'Annexe A  Plan RH'!AT$95/'Annexe A  Plan RH'!AT$92</f>
        <v>0</v>
      </c>
      <c r="AG37" s="330">
        <f>0.5%*'Couts RH'!AG$5*'Annexe A  Plan RH'!AU$95/'Annexe A  Plan RH'!AU$92</f>
        <v>0</v>
      </c>
      <c r="AH37" s="329">
        <f>0.5%*'Couts RH'!AH$5*'Annexe A  Plan RH'!AV$95/'Annexe A  Plan RH'!AV$92</f>
        <v>0</v>
      </c>
      <c r="AI37" s="328">
        <f>0.5%*'Couts RH'!AI$5*'Annexe A  Plan RH'!AW$95/'Annexe A  Plan RH'!AW$92</f>
        <v>0</v>
      </c>
      <c r="AJ37" s="328">
        <f>0.5%*'Couts RH'!AJ$5*'Annexe A  Plan RH'!AX$95/'Annexe A  Plan RH'!AX$92</f>
        <v>0</v>
      </c>
      <c r="AK37" s="328">
        <f>0.5%*'Couts RH'!AK$5*'Annexe A  Plan RH'!AY$95/'Annexe A  Plan RH'!AY$92</f>
        <v>0</v>
      </c>
      <c r="AL37" s="328">
        <f>0.5%*'Couts RH'!AL$5*'Annexe A  Plan RH'!AZ$95/'Annexe A  Plan RH'!AZ$92</f>
        <v>0</v>
      </c>
      <c r="AM37" s="328">
        <f>0.5%*'Couts RH'!AM$5*'Annexe A  Plan RH'!BA$95/'Annexe A  Plan RH'!BA$92</f>
        <v>0</v>
      </c>
      <c r="AN37" s="328">
        <f>0.5%*'Couts RH'!AN$5*'Annexe A  Plan RH'!BB$95/'Annexe A  Plan RH'!BB$92</f>
        <v>0</v>
      </c>
      <c r="AO37" s="328">
        <f>0.5%*'Couts RH'!AO$5*'Annexe A  Plan RH'!BC$95/'Annexe A  Plan RH'!BC$92</f>
        <v>0</v>
      </c>
      <c r="AP37" s="328">
        <f>0.5%*'Couts RH'!AP$5*'Annexe A  Plan RH'!BD$95/'Annexe A  Plan RH'!BD$92</f>
        <v>0</v>
      </c>
      <c r="AQ37" s="328">
        <f>0.5%*'Couts RH'!AQ$5*'Annexe A  Plan RH'!BE$95/'Annexe A  Plan RH'!BE$92</f>
        <v>0</v>
      </c>
      <c r="AR37" s="328">
        <f>0.5%*'Couts RH'!AR$5*'Annexe A  Plan RH'!BF$95/'Annexe A  Plan RH'!BF$92</f>
        <v>0</v>
      </c>
      <c r="AS37" s="328">
        <f>0.5%*'Couts RH'!AS$5*'Annexe A  Plan RH'!BG$95/'Annexe A  Plan RH'!BG$92</f>
        <v>0</v>
      </c>
      <c r="AT37" s="329">
        <f>0.5%*'Couts RH'!AT$5*'Annexe A  Plan RH'!BH$95/'Annexe A  Plan RH'!BH$92</f>
        <v>0</v>
      </c>
      <c r="AU37" s="328">
        <f>0.5%*'Couts RH'!AU$5*'Annexe A  Plan RH'!BI$95/'Annexe A  Plan RH'!BI$92</f>
        <v>0</v>
      </c>
      <c r="AV37" s="328">
        <f>0.5%*'Couts RH'!AV$5*'Annexe A  Plan RH'!BJ$95/'Annexe A  Plan RH'!BJ$92</f>
        <v>0</v>
      </c>
      <c r="AW37" s="328">
        <f>0.5%*'Couts RH'!AW$5*'Annexe A  Plan RH'!BK$95/'Annexe A  Plan RH'!BK$92</f>
        <v>0</v>
      </c>
      <c r="AX37" s="328">
        <f>0.5%*'Couts RH'!AX$5*'Annexe A  Plan RH'!BL$95/'Annexe A  Plan RH'!BL$92</f>
        <v>0</v>
      </c>
      <c r="AY37" s="328">
        <f>0.5%*'Couts RH'!AY$5*'Annexe A  Plan RH'!BM$95/'Annexe A  Plan RH'!BM$92</f>
        <v>0</v>
      </c>
      <c r="AZ37" s="328">
        <f>0.5%*'Couts RH'!AZ$5*'Annexe A  Plan RH'!BN$95/'Annexe A  Plan RH'!BN$92</f>
        <v>0</v>
      </c>
      <c r="BA37" s="328">
        <f>0.5%*'Couts RH'!BA$5*'Annexe A  Plan RH'!BO$95/'Annexe A  Plan RH'!BO$92</f>
        <v>0</v>
      </c>
      <c r="BB37" s="328">
        <f>0.5%*'Couts RH'!BB$5*'Annexe A  Plan RH'!BP$95/'Annexe A  Plan RH'!BP$92</f>
        <v>0</v>
      </c>
      <c r="BC37" s="328">
        <f>0.5%*'Couts RH'!BC$5*'Annexe A  Plan RH'!BQ$95/'Annexe A  Plan RH'!BQ$92</f>
        <v>0</v>
      </c>
      <c r="BD37" s="328">
        <f>0.5%*'Couts RH'!BD$5*'Annexe A  Plan RH'!BR$95/'Annexe A  Plan RH'!BR$92</f>
        <v>0</v>
      </c>
      <c r="BE37" s="330">
        <f>0.5%*'Couts RH'!BE$5*'Annexe A  Plan RH'!BS$95/'Annexe A  Plan RH'!BS$92</f>
        <v>0</v>
      </c>
      <c r="BF37" s="329">
        <f>0.5%*'Couts RH'!BF$5*'Annexe A  Plan RH'!BT$95/'Annexe A  Plan RH'!BT$92</f>
        <v>0</v>
      </c>
      <c r="BG37" s="328">
        <f>0.5%*'Couts RH'!BG$5*'Annexe A  Plan RH'!BU$95/'Annexe A  Plan RH'!BU$92</f>
        <v>0</v>
      </c>
      <c r="BH37" s="328">
        <f>0.5%*'Couts RH'!BH$5*'Annexe A  Plan RH'!BV$95/'Annexe A  Plan RH'!BV$92</f>
        <v>0</v>
      </c>
      <c r="BI37" s="328">
        <f>0.5%*'Couts RH'!BI$5*'Annexe A  Plan RH'!BW$95/'Annexe A  Plan RH'!BW$92</f>
        <v>0</v>
      </c>
      <c r="BJ37" s="328">
        <f>0.5%*'Couts RH'!BJ$5*'Annexe A  Plan RH'!BX$95/'Annexe A  Plan RH'!BX$92</f>
        <v>0</v>
      </c>
      <c r="BK37" s="328">
        <f>0.5%*'Couts RH'!BK$5*'Annexe A  Plan RH'!BY$95/'Annexe A  Plan RH'!BY$92</f>
        <v>0</v>
      </c>
      <c r="BL37" s="328">
        <f>0.5%*'Couts RH'!BL$5*'Annexe A  Plan RH'!BZ$95/'Annexe A  Plan RH'!BZ$92</f>
        <v>0</v>
      </c>
      <c r="BM37" s="328">
        <f>0.5%*'Couts RH'!BM$5*'Annexe A  Plan RH'!CA$95/'Annexe A  Plan RH'!CA$92</f>
        <v>0</v>
      </c>
      <c r="BN37" s="328">
        <f>0.5%*'Couts RH'!BN$5*'Annexe A  Plan RH'!CB$95/'Annexe A  Plan RH'!CB$92</f>
        <v>0</v>
      </c>
      <c r="BO37" s="328">
        <f>0.5%*'Couts RH'!BO$5*'Annexe A  Plan RH'!CC$95/'Annexe A  Plan RH'!CC$92</f>
        <v>0</v>
      </c>
      <c r="BP37" s="328">
        <f>0.5%*'Couts RH'!BP$5*'Annexe A  Plan RH'!CD$95/'Annexe A  Plan RH'!CD$92</f>
        <v>0</v>
      </c>
      <c r="BQ37" s="330">
        <f>0.5%*'Couts RH'!BQ$5*'Annexe A  Plan RH'!CE$95/'Annexe A  Plan RH'!CE$92</f>
        <v>0</v>
      </c>
      <c r="BR37" s="329">
        <f>0.5%*'Couts RH'!BR$5*'Annexe A  Plan RH'!CF$95/'Annexe A  Plan RH'!CF$92</f>
        <v>0</v>
      </c>
      <c r="BS37" s="328">
        <f>0.5%*'Couts RH'!BS$5*'Annexe A  Plan RH'!CG$95/'Annexe A  Plan RH'!CG$92</f>
        <v>0</v>
      </c>
      <c r="BT37" s="328">
        <f>0.5%*'Couts RH'!BT$5*'Annexe A  Plan RH'!CH$95/'Annexe A  Plan RH'!CH$92</f>
        <v>-32.372212423573373</v>
      </c>
      <c r="BU37" s="328">
        <f>0.5%*'Couts RH'!BU$5*'Annexe A  Plan RH'!CI$95/'Annexe A  Plan RH'!CI$92</f>
        <v>-32.372212423573373</v>
      </c>
      <c r="BV37" s="328">
        <f>0.5%*'Couts RH'!BV$5*'Annexe A  Plan RH'!CJ$95/'Annexe A  Plan RH'!CJ$92</f>
        <v>-32.372212423573373</v>
      </c>
      <c r="BW37" s="328">
        <f>0.5%*'Couts RH'!BW$5*'Annexe A  Plan RH'!CK$95/'Annexe A  Plan RH'!CK$92</f>
        <v>-65.410980468749997</v>
      </c>
      <c r="BX37" s="328">
        <f>0.5%*'Couts RH'!BX$5*'Annexe A  Plan RH'!CL$95/'Annexe A  Plan RH'!CL$92</f>
        <v>-66.128604609375003</v>
      </c>
      <c r="BY37" s="328">
        <f>0.5%*'Couts RH'!BY$5*'Annexe A  Plan RH'!CM$95/'Annexe A  Plan RH'!CM$92</f>
        <v>-133.78213443396226</v>
      </c>
      <c r="BZ37" s="328">
        <f>0.5%*'Couts RH'!BZ$5*'Annexe A  Plan RH'!CN$95/'Annexe A  Plan RH'!CN$92</f>
        <v>-133.78213443396226</v>
      </c>
      <c r="CA37" s="328">
        <f>0.5%*'Couts RH'!CA$5*'Annexe A  Plan RH'!CO$95/'Annexe A  Plan RH'!CO$92</f>
        <v>-132.74801590909092</v>
      </c>
      <c r="CB37" s="328">
        <f>0.5%*'Couts RH'!CB$5*'Annexe A  Plan RH'!CP$95/'Annexe A  Plan RH'!CP$92</f>
        <v>-132.74801590909092</v>
      </c>
      <c r="CC37" s="330">
        <f>0.5%*'Couts RH'!CC$5*'Annexe A  Plan RH'!CQ$95/'Annexe A  Plan RH'!CQ$92</f>
        <v>-132.74801590909092</v>
      </c>
    </row>
    <row r="38" spans="1:81" ht="14">
      <c r="A38" s="194" t="s">
        <v>188</v>
      </c>
      <c r="C38" s="40"/>
      <c r="I38" s="10"/>
      <c r="J38" s="40"/>
      <c r="U38" s="10"/>
      <c r="V38" s="40"/>
      <c r="AG38" s="10"/>
      <c r="AH38" s="40"/>
      <c r="AI38" s="130">
        <f>-'Annexe A  Plan RH'!AP95*Hypothèses!$B$98</f>
        <v>0</v>
      </c>
      <c r="AJ38" s="130">
        <f>-'Annexe A  Plan RH'!AQ95*Hypothèses!$B$98</f>
        <v>0</v>
      </c>
      <c r="AK38" s="130">
        <f>-'Annexe A  Plan RH'!AR95*Hypothèses!$B$98</f>
        <v>0</v>
      </c>
      <c r="AL38" s="130">
        <f>-'Annexe A  Plan RH'!AS95*Hypothèses!$B$98</f>
        <v>0</v>
      </c>
      <c r="AM38" s="130">
        <f>-'Annexe A  Plan RH'!AT95*Hypothèses!$B$98</f>
        <v>0</v>
      </c>
      <c r="AN38" s="130">
        <f>-'Annexe A  Plan RH'!AU95*Hypothèses!$B$98</f>
        <v>0</v>
      </c>
      <c r="AO38" s="130">
        <f>-'Annexe A  Plan RH'!AV95*Hypothèses!$B$98</f>
        <v>0</v>
      </c>
      <c r="AP38" s="130">
        <f>-'Annexe A  Plan RH'!AW95*Hypothèses!$B$98</f>
        <v>0</v>
      </c>
      <c r="AQ38" s="130">
        <f>-'Annexe A  Plan RH'!AX95*Hypothèses!$B$98</f>
        <v>0</v>
      </c>
      <c r="AR38" s="130">
        <f>-'Annexe A  Plan RH'!AY95*Hypothèses!$B$98</f>
        <v>0</v>
      </c>
      <c r="AS38" s="130">
        <f>-'Annexe A  Plan RH'!AZ95*Hypothèses!$B$98</f>
        <v>0</v>
      </c>
      <c r="AT38" s="129">
        <f>-'Annexe A  Plan RH'!BA95*Hypothèses!$B$98</f>
        <v>0</v>
      </c>
      <c r="AU38" s="130">
        <f>-'Annexe A  Plan RH'!BB95*Hypothèses!$B$98</f>
        <v>0</v>
      </c>
      <c r="AV38" s="130">
        <f>-'Annexe A  Plan RH'!BC95*Hypothèses!$B$98</f>
        <v>0</v>
      </c>
      <c r="AW38" s="130">
        <f>-'Annexe A  Plan RH'!BD95*Hypothèses!$B$98</f>
        <v>0</v>
      </c>
      <c r="AX38" s="130">
        <f>-'Annexe A  Plan RH'!BE95*Hypothèses!$B$98</f>
        <v>0</v>
      </c>
      <c r="AY38" s="130">
        <f>-'Annexe A  Plan RH'!BF95*Hypothèses!$B$98</f>
        <v>0</v>
      </c>
      <c r="AZ38" s="130">
        <f>-'Annexe A  Plan RH'!BG95*Hypothèses!$B$98</f>
        <v>0</v>
      </c>
      <c r="BA38" s="130">
        <f>-'Annexe A  Plan RH'!BH95*Hypothèses!$B$98</f>
        <v>0</v>
      </c>
      <c r="BB38" s="130">
        <f>-'Annexe A  Plan RH'!BI95*Hypothèses!$B$98</f>
        <v>0</v>
      </c>
      <c r="BC38" s="130">
        <f>-'Annexe A  Plan RH'!BJ95*Hypothèses!$B$98</f>
        <v>0</v>
      </c>
      <c r="BD38" s="130">
        <f>-'Annexe A  Plan RH'!BK95*Hypothèses!$B$98</f>
        <v>0</v>
      </c>
      <c r="BE38" s="131">
        <f>-'Annexe A  Plan RH'!BL95*Hypothèses!$B$98</f>
        <v>0</v>
      </c>
      <c r="BF38" s="129">
        <f>-'Annexe A  Plan RH'!BM95*Hypothèses!$B$98</f>
        <v>0</v>
      </c>
      <c r="BG38" s="130">
        <f>-'Annexe A  Plan RH'!BN95*Hypothèses!$B$98</f>
        <v>0</v>
      </c>
      <c r="BH38" s="130">
        <f>-'Annexe A  Plan RH'!BO95*Hypothèses!$B$98</f>
        <v>0</v>
      </c>
      <c r="BI38" s="130">
        <f>-'Annexe A  Plan RH'!BP95*Hypothèses!$B$98</f>
        <v>0</v>
      </c>
      <c r="BJ38" s="130">
        <f>-'Annexe A  Plan RH'!BQ95*Hypothèses!$B$98</f>
        <v>0</v>
      </c>
      <c r="BK38" s="130">
        <f>-'Annexe A  Plan RH'!BR95*Hypothèses!$B$98</f>
        <v>0</v>
      </c>
      <c r="BL38" s="130">
        <f>-'Annexe A  Plan RH'!BS95*Hypothèses!$B$98</f>
        <v>0</v>
      </c>
      <c r="BM38" s="130">
        <f>-'Annexe A  Plan RH'!BT95*Hypothèses!$B$98</f>
        <v>0</v>
      </c>
      <c r="BN38" s="130">
        <f>-'Annexe A  Plan RH'!BU95*Hypothèses!$B$98</f>
        <v>0</v>
      </c>
      <c r="BO38" s="130">
        <f>-'Annexe A  Plan RH'!BV95*Hypothèses!$B$98</f>
        <v>0</v>
      </c>
      <c r="BP38" s="130">
        <f>-'Annexe A  Plan RH'!BW95*Hypothèses!$B$98</f>
        <v>0</v>
      </c>
      <c r="BQ38" s="131">
        <f>-'Annexe A  Plan RH'!BX95*Hypothèses!$B$98</f>
        <v>0</v>
      </c>
      <c r="BR38" s="129">
        <f>-'Annexe A  Plan RH'!BY95*Hypothèses!$B$98</f>
        <v>0</v>
      </c>
      <c r="BS38" s="130">
        <f>-'Annexe A  Plan RH'!BZ95*Hypothèses!$B$98</f>
        <v>0</v>
      </c>
      <c r="BT38" s="130">
        <f>-'Annexe A  Plan RH'!CA95*Hypothèses!$B$98</f>
        <v>0</v>
      </c>
      <c r="BU38" s="130">
        <f>-'Annexe A  Plan RH'!CB95*Hypothèses!$B$98</f>
        <v>0</v>
      </c>
      <c r="BV38" s="130">
        <f>-'Annexe A  Plan RH'!CC95*Hypothèses!$B$98</f>
        <v>0</v>
      </c>
      <c r="BW38" s="130">
        <f>-'Annexe A  Plan RH'!CD95*Hypothèses!$B$98</f>
        <v>0</v>
      </c>
      <c r="BX38" s="130">
        <f>-'Annexe A  Plan RH'!CE95*Hypothèses!$B$98</f>
        <v>0</v>
      </c>
      <c r="BY38" s="130">
        <f>-'Annexe A  Plan RH'!CF95*Hypothèses!$B$98</f>
        <v>0</v>
      </c>
      <c r="BZ38" s="130">
        <f>-'Annexe A  Plan RH'!CG95*Hypothèses!$B$98</f>
        <v>0</v>
      </c>
      <c r="CA38" s="130">
        <f>-'Annexe A  Plan RH'!CH95*Hypothèses!$B$98</f>
        <v>-100</v>
      </c>
      <c r="CB38" s="130">
        <f>-'Annexe A  Plan RH'!CI95*Hypothèses!$B$98</f>
        <v>-100</v>
      </c>
      <c r="CC38" s="131">
        <f>-'Annexe A  Plan RH'!CJ95*Hypothèses!$B$98</f>
        <v>-100</v>
      </c>
    </row>
    <row r="39" spans="1:81" ht="14">
      <c r="A39" s="305" t="s">
        <v>189</v>
      </c>
      <c r="C39" s="40"/>
      <c r="I39" s="10"/>
      <c r="J39" s="40"/>
      <c r="U39" s="10"/>
      <c r="V39" s="329"/>
      <c r="AG39" s="10"/>
      <c r="AH39" s="40"/>
      <c r="AI39" s="328">
        <f>-'Annexe A  Plan RH'!AW95*Hypothèses!$B$99</f>
        <v>0</v>
      </c>
      <c r="AJ39" s="328">
        <f>-'Annexe A  Plan RH'!AX95*Hypothèses!$B$99</f>
        <v>0</v>
      </c>
      <c r="AK39" s="328">
        <f>-'Annexe A  Plan RH'!AY95*Hypothèses!$B$99</f>
        <v>0</v>
      </c>
      <c r="AL39" s="328">
        <f>-'Annexe A  Plan RH'!AZ95*Hypothèses!$B$99</f>
        <v>0</v>
      </c>
      <c r="AM39" s="328">
        <f>-'Annexe A  Plan RH'!BA95*Hypothèses!$B$99</f>
        <v>0</v>
      </c>
      <c r="AN39" s="328">
        <f>-'Annexe A  Plan RH'!BB95*Hypothèses!$B$99</f>
        <v>0</v>
      </c>
      <c r="AO39" s="328">
        <f>-'Annexe A  Plan RH'!BC95*Hypothèses!$B$99</f>
        <v>0</v>
      </c>
      <c r="AP39" s="328">
        <f>-'Annexe A  Plan RH'!BD95*Hypothèses!$B$99</f>
        <v>0</v>
      </c>
      <c r="AQ39" s="328">
        <f>-'Annexe A  Plan RH'!BE95*Hypothèses!$B$99</f>
        <v>0</v>
      </c>
      <c r="AR39" s="328">
        <f>-'Annexe A  Plan RH'!BF95*Hypothèses!$B$99</f>
        <v>0</v>
      </c>
      <c r="AS39" s="328">
        <f>-'Annexe A  Plan RH'!BG95*Hypothèses!$B$99</f>
        <v>0</v>
      </c>
      <c r="AT39" s="329">
        <f>-'Annexe A  Plan RH'!BH95*Hypothèses!$B$99</f>
        <v>0</v>
      </c>
      <c r="AU39" s="328">
        <f>-'Annexe A  Plan RH'!BI95*Hypothèses!$B$99</f>
        <v>0</v>
      </c>
      <c r="AV39" s="328">
        <f>-'Annexe A  Plan RH'!BJ95*Hypothèses!$B$99</f>
        <v>0</v>
      </c>
      <c r="AW39" s="328">
        <f>-'Annexe A  Plan RH'!BK95*Hypothèses!$B$99</f>
        <v>0</v>
      </c>
      <c r="AX39" s="328">
        <f>-'Annexe A  Plan RH'!BL95*Hypothèses!$B$99</f>
        <v>0</v>
      </c>
      <c r="AY39" s="328">
        <f>-'Annexe A  Plan RH'!BM95*Hypothèses!$B$99</f>
        <v>0</v>
      </c>
      <c r="AZ39" s="328">
        <f>-'Annexe A  Plan RH'!BN95*Hypothèses!$B$99</f>
        <v>0</v>
      </c>
      <c r="BA39" s="328">
        <f>-'Annexe A  Plan RH'!BO95*Hypothèses!$B$99</f>
        <v>0</v>
      </c>
      <c r="BB39" s="328">
        <f>-'Annexe A  Plan RH'!BP95*Hypothèses!$B$99</f>
        <v>0</v>
      </c>
      <c r="BC39" s="328">
        <f>-'Annexe A  Plan RH'!BQ95*Hypothèses!$B$99</f>
        <v>0</v>
      </c>
      <c r="BD39" s="328">
        <f>-'Annexe A  Plan RH'!BR95*Hypothèses!$B$99</f>
        <v>0</v>
      </c>
      <c r="BE39" s="330">
        <f>-'Annexe A  Plan RH'!BS95*Hypothèses!$B$99</f>
        <v>0</v>
      </c>
      <c r="BF39" s="329">
        <f>-'Annexe A  Plan RH'!BT95*Hypothèses!$B$99</f>
        <v>0</v>
      </c>
      <c r="BG39" s="328">
        <f>-'Annexe A  Plan RH'!BU95*Hypothèses!$B$99</f>
        <v>0</v>
      </c>
      <c r="BH39" s="328">
        <f>-'Annexe A  Plan RH'!BV95*Hypothèses!$B$99</f>
        <v>0</v>
      </c>
      <c r="BI39" s="328">
        <f>-'Annexe A  Plan RH'!BW95*Hypothèses!$B$99</f>
        <v>0</v>
      </c>
      <c r="BJ39" s="328">
        <f>-'Annexe A  Plan RH'!BX95*Hypothèses!$B$99</f>
        <v>0</v>
      </c>
      <c r="BK39" s="328">
        <f>-'Annexe A  Plan RH'!BY95*Hypothèses!$B$99</f>
        <v>0</v>
      </c>
      <c r="BL39" s="328">
        <f>-'Annexe A  Plan RH'!BZ95*Hypothèses!$B$99</f>
        <v>0</v>
      </c>
      <c r="BM39" s="328">
        <f>-'Annexe A  Plan RH'!CA95*Hypothèses!$B$99</f>
        <v>0</v>
      </c>
      <c r="BN39" s="328">
        <f>-'Annexe A  Plan RH'!CB95*Hypothèses!$B$99</f>
        <v>0</v>
      </c>
      <c r="BO39" s="328">
        <f>-'Annexe A  Plan RH'!CC95*Hypothèses!$B$99</f>
        <v>0</v>
      </c>
      <c r="BP39" s="328">
        <f>-'Annexe A  Plan RH'!CD95*Hypothèses!$B$99</f>
        <v>0</v>
      </c>
      <c r="BQ39" s="330">
        <f>-'Annexe A  Plan RH'!CE95*Hypothèses!$B$99</f>
        <v>0</v>
      </c>
      <c r="BR39" s="329">
        <f>-'Annexe A  Plan RH'!CF95*Hypothèses!$B$99</f>
        <v>0</v>
      </c>
      <c r="BS39" s="328">
        <f>-'Annexe A  Plan RH'!CG95*Hypothèses!$B$99</f>
        <v>0</v>
      </c>
      <c r="BT39" s="328">
        <f>-'Annexe A  Plan RH'!CH95*Hypothèses!$B$99</f>
        <v>-100</v>
      </c>
      <c r="BU39" s="328">
        <f>-'Annexe A  Plan RH'!CI95*Hypothèses!$B$99</f>
        <v>-100</v>
      </c>
      <c r="BV39" s="328">
        <f>-'Annexe A  Plan RH'!CJ95*Hypothèses!$B$99</f>
        <v>-100</v>
      </c>
      <c r="BW39" s="328">
        <f>-'Annexe A  Plan RH'!CK95*Hypothèses!$B$99</f>
        <v>-200</v>
      </c>
      <c r="BX39" s="328">
        <f>-'Annexe A  Plan RH'!CL95*Hypothèses!$B$99</f>
        <v>-200</v>
      </c>
      <c r="BY39" s="328">
        <f>-'Annexe A  Plan RH'!CM95*Hypothèses!$B$99</f>
        <v>-400</v>
      </c>
      <c r="BZ39" s="328">
        <f>-'Annexe A  Plan RH'!CN95*Hypothèses!$B$99</f>
        <v>-400</v>
      </c>
      <c r="CA39" s="328">
        <f>-'Annexe A  Plan RH'!CO95*Hypothèses!$B$99</f>
        <v>-400</v>
      </c>
      <c r="CB39" s="328">
        <f>-'Annexe A  Plan RH'!CP95*Hypothèses!$B$99</f>
        <v>-400</v>
      </c>
      <c r="CC39" s="330">
        <f>-'Annexe A  Plan RH'!CQ95*Hypothèses!$B$99</f>
        <v>-400</v>
      </c>
    </row>
    <row r="40" spans="1:81" ht="14">
      <c r="A40" s="305" t="s">
        <v>190</v>
      </c>
      <c r="C40" s="40"/>
      <c r="I40" s="10"/>
      <c r="J40" s="40"/>
      <c r="U40" s="10"/>
      <c r="V40" s="307"/>
      <c r="AG40" s="10"/>
      <c r="AH40" s="40">
        <f>-'Annexe A  Plan RH'!AV95*50</f>
        <v>0</v>
      </c>
      <c r="AI40" s="130">
        <f>-'Annexe A  Plan RH'!AW95*50</f>
        <v>0</v>
      </c>
      <c r="AJ40" s="130">
        <f>-'Annexe A  Plan RH'!AX95*50</f>
        <v>0</v>
      </c>
      <c r="AK40" s="130">
        <f>-'Annexe A  Plan RH'!AY95*50</f>
        <v>0</v>
      </c>
      <c r="AL40" s="130">
        <f>-'Annexe A  Plan RH'!AZ95*50</f>
        <v>0</v>
      </c>
      <c r="AM40" s="130">
        <f>-'Annexe A  Plan RH'!BA95*50</f>
        <v>0</v>
      </c>
      <c r="AN40" s="130">
        <f>-'Annexe A  Plan RH'!BB95*50</f>
        <v>0</v>
      </c>
      <c r="AO40" s="130">
        <f>-'Annexe A  Plan RH'!BC95*50</f>
        <v>0</v>
      </c>
      <c r="AP40" s="130">
        <f>-'Annexe A  Plan RH'!BD95*50</f>
        <v>0</v>
      </c>
      <c r="AQ40" s="130">
        <f>-'Annexe A  Plan RH'!BE95*50</f>
        <v>0</v>
      </c>
      <c r="AR40" s="130">
        <f>-'Annexe A  Plan RH'!BF95*50</f>
        <v>0</v>
      </c>
      <c r="AS40" s="130">
        <f>-'Annexe A  Plan RH'!BG95*50</f>
        <v>0</v>
      </c>
      <c r="AT40" s="129">
        <f>-'Annexe A  Plan RH'!BH95*50</f>
        <v>0</v>
      </c>
      <c r="AU40" s="130">
        <f>-'Annexe A  Plan RH'!BI95*50</f>
        <v>0</v>
      </c>
      <c r="AV40" s="130">
        <f>-'Annexe A  Plan RH'!BJ95*50</f>
        <v>0</v>
      </c>
      <c r="AW40" s="130">
        <f>-'Annexe A  Plan RH'!BK95*50</f>
        <v>0</v>
      </c>
      <c r="AX40" s="130">
        <f>-'Annexe A  Plan RH'!BL95*50</f>
        <v>0</v>
      </c>
      <c r="AY40" s="130">
        <f>-'Annexe A  Plan RH'!BM95*50</f>
        <v>0</v>
      </c>
      <c r="AZ40" s="130">
        <f>-'Annexe A  Plan RH'!BN95*50</f>
        <v>0</v>
      </c>
      <c r="BA40" s="130">
        <f>-'Annexe A  Plan RH'!BO95*50</f>
        <v>0</v>
      </c>
      <c r="BB40" s="130">
        <f>-'Annexe A  Plan RH'!BP95*50</f>
        <v>0</v>
      </c>
      <c r="BC40" s="130">
        <f>-'Annexe A  Plan RH'!BQ95*50</f>
        <v>0</v>
      </c>
      <c r="BD40" s="130">
        <f>-'Annexe A  Plan RH'!BR95*50</f>
        <v>0</v>
      </c>
      <c r="BE40" s="131">
        <f>-'Annexe A  Plan RH'!BS95*50</f>
        <v>0</v>
      </c>
      <c r="BF40" s="129">
        <f>-'Annexe A  Plan RH'!BT95*50</f>
        <v>0</v>
      </c>
      <c r="BG40" s="130">
        <f>-'Annexe A  Plan RH'!BU95*50</f>
        <v>0</v>
      </c>
      <c r="BH40" s="130">
        <f>-'Annexe A  Plan RH'!BV95*50</f>
        <v>0</v>
      </c>
      <c r="BI40" s="130">
        <f>-'Annexe A  Plan RH'!BW95*50</f>
        <v>0</v>
      </c>
      <c r="BJ40" s="130">
        <f>-'Annexe A  Plan RH'!BX95*50</f>
        <v>0</v>
      </c>
      <c r="BK40" s="130">
        <f>-'Annexe A  Plan RH'!BY95*50</f>
        <v>0</v>
      </c>
      <c r="BL40" s="130">
        <f>-'Annexe A  Plan RH'!BZ95*50</f>
        <v>0</v>
      </c>
      <c r="BM40" s="130">
        <f>-'Annexe A  Plan RH'!CA95*50</f>
        <v>0</v>
      </c>
      <c r="BN40" s="130">
        <f>-'Annexe A  Plan RH'!CB95*50</f>
        <v>0</v>
      </c>
      <c r="BO40" s="130">
        <f>-'Annexe A  Plan RH'!CC95*50</f>
        <v>0</v>
      </c>
      <c r="BP40" s="130">
        <f>-'Annexe A  Plan RH'!CD95*50</f>
        <v>0</v>
      </c>
      <c r="BQ40" s="131">
        <f>-'Annexe A  Plan RH'!CE95*50</f>
        <v>0</v>
      </c>
      <c r="BR40" s="129">
        <f>-'Annexe A  Plan RH'!CF95*50</f>
        <v>0</v>
      </c>
      <c r="BS40" s="130">
        <f>-'Annexe A  Plan RH'!CG95*50</f>
        <v>0</v>
      </c>
      <c r="BT40" s="130">
        <f>-'Annexe A  Plan RH'!CH95*50</f>
        <v>-50</v>
      </c>
      <c r="BU40" s="130">
        <f>-'Annexe A  Plan RH'!CI95*50</f>
        <v>-50</v>
      </c>
      <c r="BV40" s="130">
        <f>-'Annexe A  Plan RH'!CJ95*50</f>
        <v>-50</v>
      </c>
      <c r="BW40" s="130">
        <f>-'Annexe A  Plan RH'!CK95*50</f>
        <v>-100</v>
      </c>
      <c r="BX40" s="130">
        <f>-'Annexe A  Plan RH'!CL95*50</f>
        <v>-100</v>
      </c>
      <c r="BY40" s="130">
        <f>-'Annexe A  Plan RH'!CM95*50</f>
        <v>-200</v>
      </c>
      <c r="BZ40" s="130">
        <f>-'Annexe A  Plan RH'!CN95*50</f>
        <v>-200</v>
      </c>
      <c r="CA40" s="130">
        <f>-'Annexe A  Plan RH'!CO95*50</f>
        <v>-200</v>
      </c>
      <c r="CB40" s="130">
        <f>-'Annexe A  Plan RH'!CP95*50</f>
        <v>-200</v>
      </c>
      <c r="CC40" s="131">
        <f>-'Annexe A  Plan RH'!CQ95*50</f>
        <v>-200</v>
      </c>
    </row>
    <row r="41" spans="1:81" ht="14">
      <c r="A41" s="194" t="s">
        <v>191</v>
      </c>
      <c r="C41" s="40"/>
      <c r="I41" s="10"/>
      <c r="J41" s="40"/>
      <c r="U41" s="10"/>
      <c r="V41" s="40"/>
      <c r="AG41" s="10"/>
      <c r="AI41" s="130">
        <f>-Hypothèses!$E$63/12</f>
        <v>0</v>
      </c>
      <c r="AJ41" s="130">
        <f>-Hypothèses!$E$63/12</f>
        <v>0</v>
      </c>
      <c r="AK41" s="130">
        <f>-Hypothèses!$E$63/12</f>
        <v>0</v>
      </c>
      <c r="AL41" s="130">
        <f>-Hypothèses!$E$63/12</f>
        <v>0</v>
      </c>
      <c r="AM41" s="130">
        <f>-Hypothèses!$E$63/12</f>
        <v>0</v>
      </c>
      <c r="AN41" s="130">
        <f>-Hypothèses!$E$63/12</f>
        <v>0</v>
      </c>
      <c r="AO41" s="130">
        <f>-Hypothèses!$E$63/12</f>
        <v>0</v>
      </c>
      <c r="AP41" s="130">
        <f>-Hypothèses!$E$63/12</f>
        <v>0</v>
      </c>
      <c r="AQ41" s="130">
        <f>-Hypothèses!$E$63/12</f>
        <v>0</v>
      </c>
      <c r="AR41" s="130">
        <f>-Hypothèses!$E$63/12</f>
        <v>0</v>
      </c>
      <c r="AS41" s="130">
        <f>-Hypothèses!$E$63/12</f>
        <v>0</v>
      </c>
      <c r="AT41" s="129">
        <f>-Hypothèses!$F$63/12</f>
        <v>0</v>
      </c>
      <c r="AU41" s="130">
        <f>-Hypothèses!$F$63/12</f>
        <v>0</v>
      </c>
      <c r="AV41" s="130">
        <f>-Hypothèses!$F$63/12</f>
        <v>0</v>
      </c>
      <c r="AW41" s="130">
        <f>-Hypothèses!$F$63/12</f>
        <v>0</v>
      </c>
      <c r="AX41" s="130">
        <f>-Hypothèses!$F$63/12</f>
        <v>0</v>
      </c>
      <c r="AY41" s="130">
        <f>-Hypothèses!$F$63/12</f>
        <v>0</v>
      </c>
      <c r="AZ41" s="130">
        <f>-Hypothèses!$F$63/12</f>
        <v>0</v>
      </c>
      <c r="BA41" s="130">
        <f>-Hypothèses!$F$63/12</f>
        <v>0</v>
      </c>
      <c r="BB41" s="130">
        <f>-Hypothèses!$F$63/12</f>
        <v>0</v>
      </c>
      <c r="BC41" s="130">
        <f>-Hypothèses!$F$63/12</f>
        <v>0</v>
      </c>
      <c r="BD41" s="130">
        <f>-Hypothèses!$F$63/12</f>
        <v>0</v>
      </c>
      <c r="BE41" s="131">
        <f>-Hypothèses!$F$63/12</f>
        <v>0</v>
      </c>
      <c r="BF41" s="129">
        <f>-Hypothèses!$G$63/12</f>
        <v>0</v>
      </c>
      <c r="BG41" s="130">
        <f>-Hypothèses!$G$63/12</f>
        <v>0</v>
      </c>
      <c r="BH41" s="130">
        <f>-Hypothèses!$G$63/12</f>
        <v>0</v>
      </c>
      <c r="BI41" s="130">
        <f>-Hypothèses!$G$63/12</f>
        <v>0</v>
      </c>
      <c r="BJ41" s="130">
        <f>-Hypothèses!$G$63/12</f>
        <v>0</v>
      </c>
      <c r="BK41" s="130">
        <f>-Hypothèses!$G$63/12</f>
        <v>0</v>
      </c>
      <c r="BL41" s="130">
        <f>-Hypothèses!$G$63/12</f>
        <v>0</v>
      </c>
      <c r="BM41" s="130">
        <f>-Hypothèses!$G$63/12</f>
        <v>0</v>
      </c>
      <c r="BN41" s="130">
        <f>-Hypothèses!$G$63/12</f>
        <v>0</v>
      </c>
      <c r="BO41" s="130">
        <f>-Hypothèses!$G$63/12</f>
        <v>0</v>
      </c>
      <c r="BP41" s="130">
        <f>-Hypothèses!$G$63/12</f>
        <v>0</v>
      </c>
      <c r="BQ41" s="131">
        <f>-Hypothèses!$G$63/12</f>
        <v>0</v>
      </c>
      <c r="BR41" s="129">
        <f>-Hypothèses!$H$63/12</f>
        <v>-38425.925925925927</v>
      </c>
      <c r="BS41" s="130">
        <f>-Hypothèses!$H$63/12</f>
        <v>-38425.925925925927</v>
      </c>
      <c r="BT41" s="130">
        <f>-Hypothèses!$H$63/12</f>
        <v>-38425.925925925927</v>
      </c>
      <c r="BU41" s="130">
        <f>-Hypothèses!$H$63/12</f>
        <v>-38425.925925925927</v>
      </c>
      <c r="BV41" s="130">
        <f>-Hypothèses!$H$63/12</f>
        <v>-38425.925925925927</v>
      </c>
      <c r="BW41" s="130">
        <f>-Hypothèses!$H$63/12</f>
        <v>-38425.925925925927</v>
      </c>
      <c r="BX41" s="130">
        <f>-Hypothèses!$H$63/12</f>
        <v>-38425.925925925927</v>
      </c>
      <c r="BY41" s="130">
        <f>-Hypothèses!$H$63/12</f>
        <v>-38425.925925925927</v>
      </c>
      <c r="BZ41" s="130">
        <f>-Hypothèses!$H$63/12</f>
        <v>-38425.925925925927</v>
      </c>
      <c r="CA41" s="130">
        <f>-Hypothèses!$H$63/12</f>
        <v>-38425.925925925927</v>
      </c>
      <c r="CB41" s="130">
        <f>-Hypothèses!$H$63/12</f>
        <v>-38425.925925925927</v>
      </c>
      <c r="CC41" s="131">
        <f>-Hypothèses!$H$63/12</f>
        <v>-38425.925925925927</v>
      </c>
    </row>
    <row r="42" spans="1:81" ht="14">
      <c r="A42" s="194" t="s">
        <v>198</v>
      </c>
      <c r="C42" s="40"/>
      <c r="I42" s="10"/>
      <c r="J42" s="328">
        <f>0.5%*'Couts RH'!J$5*'Annexe A  Plan RH'!X$95/'Annexe A  Plan RH'!X$92</f>
        <v>0</v>
      </c>
      <c r="K42" s="328">
        <f>0.5%*'Couts RH'!K$5*'Annexe A  Plan RH'!Y$95/'Annexe A  Plan RH'!Y$92</f>
        <v>0</v>
      </c>
      <c r="L42" s="328">
        <f>0.5%*'Couts RH'!L$5*'Annexe A  Plan RH'!Z$95/'Annexe A  Plan RH'!Z$92</f>
        <v>0</v>
      </c>
      <c r="M42" s="328">
        <f>0.5%*'Couts RH'!M$5*'Annexe A  Plan RH'!AA$95/'Annexe A  Plan RH'!AA$92</f>
        <v>0</v>
      </c>
      <c r="N42" s="328">
        <f>0.5%*'Couts RH'!N$5*'Annexe A  Plan RH'!AB$95/'Annexe A  Plan RH'!AB$92</f>
        <v>0</v>
      </c>
      <c r="O42" s="328">
        <f>0.5%*'Couts RH'!O$5*'Annexe A  Plan RH'!AC$95/'Annexe A  Plan RH'!AC$92</f>
        <v>0</v>
      </c>
      <c r="P42" s="328">
        <f>0.5%*'Couts RH'!P$5*'Annexe A  Plan RH'!AD$95/'Annexe A  Plan RH'!AD$92</f>
        <v>0</v>
      </c>
      <c r="Q42" s="328">
        <f>0.5%*'Couts RH'!Q$5*'Annexe A  Plan RH'!AE$95/'Annexe A  Plan RH'!AE$92</f>
        <v>0</v>
      </c>
      <c r="R42" s="328">
        <f>0.5%*'Couts RH'!R$5*'Annexe A  Plan RH'!AF$95/'Annexe A  Plan RH'!AF$92</f>
        <v>0</v>
      </c>
      <c r="S42" s="328">
        <f>0.5%*'Couts RH'!S$5*'Annexe A  Plan RH'!AG$95/'Annexe A  Plan RH'!AG$92</f>
        <v>0</v>
      </c>
      <c r="T42" s="328">
        <f>0.5%*'Couts RH'!T$5*'Annexe A  Plan RH'!AH$95/'Annexe A  Plan RH'!AH$92</f>
        <v>0</v>
      </c>
      <c r="U42" s="330">
        <f>0.5%*'Couts RH'!U$5*'Annexe A  Plan RH'!AI$95/'Annexe A  Plan RH'!AI$92</f>
        <v>0</v>
      </c>
      <c r="V42" s="329">
        <f>0.5%*'Couts RH'!V$5*'Annexe A  Plan RH'!AJ$95/'Annexe A  Plan RH'!AJ$92</f>
        <v>0</v>
      </c>
      <c r="W42" s="328">
        <f>0.5%*'Couts RH'!W$5*'Annexe A  Plan RH'!AK$95/'Annexe A  Plan RH'!AK$92</f>
        <v>0</v>
      </c>
      <c r="X42" s="328">
        <f>0.5%*'Couts RH'!X$5*'Annexe A  Plan RH'!AL$95/'Annexe A  Plan RH'!AL$92</f>
        <v>0</v>
      </c>
      <c r="Y42" s="328">
        <f>0.5%*'Couts RH'!Y$5*'Annexe A  Plan RH'!AM$95/'Annexe A  Plan RH'!AM$92</f>
        <v>0</v>
      </c>
      <c r="Z42" s="328">
        <f>0.5%*'Couts RH'!Z$5*'Annexe A  Plan RH'!AN$95/'Annexe A  Plan RH'!AN$92</f>
        <v>0</v>
      </c>
      <c r="AA42" s="328">
        <f>0.5%*'Couts RH'!AA$5*'Annexe A  Plan RH'!AO$95/'Annexe A  Plan RH'!AO$92</f>
        <v>0</v>
      </c>
      <c r="AB42" s="328">
        <f>0.5%*'Couts RH'!AB$5*'Annexe A  Plan RH'!AP$95/'Annexe A  Plan RH'!AP$92</f>
        <v>0</v>
      </c>
      <c r="AC42" s="328">
        <f>0.5%*'Couts RH'!AC$5*'Annexe A  Plan RH'!AQ$95/'Annexe A  Plan RH'!AQ$92</f>
        <v>0</v>
      </c>
      <c r="AD42" s="328">
        <f>0.5%*'Couts RH'!AD$5*'Annexe A  Plan RH'!AR$95/'Annexe A  Plan RH'!AR$92</f>
        <v>0</v>
      </c>
      <c r="AE42" s="328">
        <f>0.5%*'Couts RH'!AE$5*'Annexe A  Plan RH'!AS$95/'Annexe A  Plan RH'!AS$92</f>
        <v>0</v>
      </c>
      <c r="AF42" s="328">
        <f>0.5%*'Couts RH'!AF$5*'Annexe A  Plan RH'!AT$95/'Annexe A  Plan RH'!AT$92</f>
        <v>0</v>
      </c>
      <c r="AG42" s="330">
        <f>0.5%*'Couts RH'!AG$5*'Annexe A  Plan RH'!AU$95/'Annexe A  Plan RH'!AU$92</f>
        <v>0</v>
      </c>
      <c r="AH42" s="329">
        <f>0.5%*'Couts RH'!AH$5*'Annexe A  Plan RH'!AV$95/'Annexe A  Plan RH'!AV$92</f>
        <v>0</v>
      </c>
      <c r="AI42" s="328">
        <f>0.5%*'Couts RH'!AI$5*'Annexe A  Plan RH'!AW$95/'Annexe A  Plan RH'!AW$92</f>
        <v>0</v>
      </c>
      <c r="AJ42" s="328">
        <f>0.5%*'Couts RH'!AJ$5*'Annexe A  Plan RH'!AX$95/'Annexe A  Plan RH'!AX$92</f>
        <v>0</v>
      </c>
      <c r="AK42" s="328">
        <f>0.5%*'Couts RH'!AK$5*'Annexe A  Plan RH'!AY$95/'Annexe A  Plan RH'!AY$92</f>
        <v>0</v>
      </c>
      <c r="AL42" s="328">
        <f>0.5%*'Couts RH'!AL$5*'Annexe A  Plan RH'!AZ$95/'Annexe A  Plan RH'!AZ$92</f>
        <v>0</v>
      </c>
      <c r="AM42" s="328">
        <f>0.5%*'Couts RH'!AM$5*'Annexe A  Plan RH'!BA$95/'Annexe A  Plan RH'!BA$92</f>
        <v>0</v>
      </c>
      <c r="AN42" s="328">
        <f>0.5%*'Couts RH'!AN$5*'Annexe A  Plan RH'!BB$95/'Annexe A  Plan RH'!BB$92</f>
        <v>0</v>
      </c>
      <c r="AO42" s="328">
        <f>0.5%*'Couts RH'!AO$5*'Annexe A  Plan RH'!BC$95/'Annexe A  Plan RH'!BC$92</f>
        <v>0</v>
      </c>
      <c r="AP42" s="328">
        <f>0.5%*'Couts RH'!AP$5*'Annexe A  Plan RH'!BD$95/'Annexe A  Plan RH'!BD$92</f>
        <v>0</v>
      </c>
      <c r="AQ42" s="328">
        <f>0.5%*'Couts RH'!AQ$5*'Annexe A  Plan RH'!BE$95/'Annexe A  Plan RH'!BE$92</f>
        <v>0</v>
      </c>
      <c r="AR42" s="328">
        <f>0.5%*'Couts RH'!AR$5*'Annexe A  Plan RH'!BF$95/'Annexe A  Plan RH'!BF$92</f>
        <v>0</v>
      </c>
      <c r="AS42" s="328">
        <f>0.5%*'Couts RH'!AS$5*'Annexe A  Plan RH'!BG$95/'Annexe A  Plan RH'!BG$92</f>
        <v>0</v>
      </c>
      <c r="AT42" s="329">
        <f>0.5%*'Couts RH'!AT$5*'Annexe A  Plan RH'!BH$95/'Annexe A  Plan RH'!BH$92</f>
        <v>0</v>
      </c>
      <c r="AU42" s="328">
        <f>0.5%*'Couts RH'!AU$5*'Annexe A  Plan RH'!BI$95/'Annexe A  Plan RH'!BI$92</f>
        <v>0</v>
      </c>
      <c r="AV42" s="328">
        <f>0.5%*'Couts RH'!AV$5*'Annexe A  Plan RH'!BJ$95/'Annexe A  Plan RH'!BJ$92</f>
        <v>0</v>
      </c>
      <c r="AW42" s="328">
        <f>0.5%*'Couts RH'!AW$5*'Annexe A  Plan RH'!BK$95/'Annexe A  Plan RH'!BK$92</f>
        <v>0</v>
      </c>
      <c r="AX42" s="328">
        <f>0.5%*'Couts RH'!AX$5*'Annexe A  Plan RH'!BL$95/'Annexe A  Plan RH'!BL$92</f>
        <v>0</v>
      </c>
      <c r="AY42" s="328">
        <f>0.5%*'Couts RH'!AY$5*'Annexe A  Plan RH'!BM$95/'Annexe A  Plan RH'!BM$92</f>
        <v>0</v>
      </c>
      <c r="AZ42" s="328">
        <f>0.5%*'Couts RH'!AZ$5*'Annexe A  Plan RH'!BN$95/'Annexe A  Plan RH'!BN$92</f>
        <v>0</v>
      </c>
      <c r="BA42" s="328">
        <f>0.5%*'Couts RH'!BA$5*'Annexe A  Plan RH'!BO$95/'Annexe A  Plan RH'!BO$92</f>
        <v>0</v>
      </c>
      <c r="BB42" s="328">
        <f>0.5%*'Couts RH'!BB$5*'Annexe A  Plan RH'!BP$95/'Annexe A  Plan RH'!BP$92</f>
        <v>0</v>
      </c>
      <c r="BC42" s="328">
        <f>0.5%*'Couts RH'!BC$5*'Annexe A  Plan RH'!BQ$95/'Annexe A  Plan RH'!BQ$92</f>
        <v>0</v>
      </c>
      <c r="BD42" s="328">
        <f>0.5%*'Couts RH'!BD$5*'Annexe A  Plan RH'!BR$95/'Annexe A  Plan RH'!BR$92</f>
        <v>0</v>
      </c>
      <c r="BE42" s="330">
        <f>0.5%*'Couts RH'!BE$5*'Annexe A  Plan RH'!BS$95/'Annexe A  Plan RH'!BS$92</f>
        <v>0</v>
      </c>
      <c r="BF42" s="329">
        <f>0.5%*'Couts RH'!BF$5*'Annexe A  Plan RH'!BT$95/'Annexe A  Plan RH'!BT$92</f>
        <v>0</v>
      </c>
      <c r="BG42" s="328">
        <f>0.5%*'Couts RH'!BG$5*'Annexe A  Plan RH'!BU$95/'Annexe A  Plan RH'!BU$92</f>
        <v>0</v>
      </c>
      <c r="BH42" s="328">
        <f>0.5%*'Couts RH'!BH$5*'Annexe A  Plan RH'!BV$95/'Annexe A  Plan RH'!BV$92</f>
        <v>0</v>
      </c>
      <c r="BI42" s="328">
        <f>0.5%*'Couts RH'!BI$5*'Annexe A  Plan RH'!BW$95/'Annexe A  Plan RH'!BW$92</f>
        <v>0</v>
      </c>
      <c r="BJ42" s="328">
        <f>0.5%*'Couts RH'!BJ$5*'Annexe A  Plan RH'!BX$95/'Annexe A  Plan RH'!BX$92</f>
        <v>0</v>
      </c>
      <c r="BK42" s="328">
        <f>0.5%*'Couts RH'!BK$5*'Annexe A  Plan RH'!BY$95/'Annexe A  Plan RH'!BY$92</f>
        <v>0</v>
      </c>
      <c r="BL42" s="328">
        <f>0.5%*'Couts RH'!BL$5*'Annexe A  Plan RH'!BZ$95/'Annexe A  Plan RH'!BZ$92</f>
        <v>0</v>
      </c>
      <c r="BM42" s="328">
        <f>0.5%*'Couts RH'!BM$5*'Annexe A  Plan RH'!CA$95/'Annexe A  Plan RH'!CA$92</f>
        <v>0</v>
      </c>
      <c r="BN42" s="328">
        <f>0.5%*'Couts RH'!BN$5*'Annexe A  Plan RH'!CB$95/'Annexe A  Plan RH'!CB$92</f>
        <v>0</v>
      </c>
      <c r="BO42" s="328">
        <f>0.5%*'Couts RH'!BO$5*'Annexe A  Plan RH'!CC$95/'Annexe A  Plan RH'!CC$92</f>
        <v>0</v>
      </c>
      <c r="BP42" s="328">
        <f>0.5%*'Couts RH'!BP$5*'Annexe A  Plan RH'!CD$95/'Annexe A  Plan RH'!CD$92</f>
        <v>0</v>
      </c>
      <c r="BQ42" s="330">
        <f>0.5%*'Couts RH'!BQ$5*'Annexe A  Plan RH'!CE$95/'Annexe A  Plan RH'!CE$92</f>
        <v>0</v>
      </c>
      <c r="BR42" s="329">
        <f>0.5%*'Couts RH'!BR$5*'Annexe A  Plan RH'!CF$95/'Annexe A  Plan RH'!CF$92</f>
        <v>0</v>
      </c>
      <c r="BS42" s="328">
        <f>0.5%*'Couts RH'!BS$5*'Annexe A  Plan RH'!CG$95/'Annexe A  Plan RH'!CG$92</f>
        <v>0</v>
      </c>
      <c r="BT42" s="328">
        <f>0.5%*'Couts RH'!BT$5*'Annexe A  Plan RH'!CH$95/'Annexe A  Plan RH'!CH$92</f>
        <v>-32.372212423573373</v>
      </c>
      <c r="BU42" s="328">
        <f>0.5%*'Couts RH'!BU$5*'Annexe A  Plan RH'!CI$95/'Annexe A  Plan RH'!CI$92</f>
        <v>-32.372212423573373</v>
      </c>
      <c r="BV42" s="328">
        <f>0.5%*'Couts RH'!BV$5*'Annexe A  Plan RH'!CJ$95/'Annexe A  Plan RH'!CJ$92</f>
        <v>-32.372212423573373</v>
      </c>
      <c r="BW42" s="328">
        <f>0.5%*'Couts RH'!BW$5*'Annexe A  Plan RH'!CK$95/'Annexe A  Plan RH'!CK$92</f>
        <v>-65.410980468749997</v>
      </c>
      <c r="BX42" s="328">
        <f>0.5%*'Couts RH'!BX$5*'Annexe A  Plan RH'!CL$95/'Annexe A  Plan RH'!CL$92</f>
        <v>-66.128604609375003</v>
      </c>
      <c r="BY42" s="328">
        <f>0.5%*'Couts RH'!BY$5*'Annexe A  Plan RH'!CM$95/'Annexe A  Plan RH'!CM$92</f>
        <v>-133.78213443396226</v>
      </c>
      <c r="BZ42" s="328">
        <f>0.5%*'Couts RH'!BZ$5*'Annexe A  Plan RH'!CN$95/'Annexe A  Plan RH'!CN$92</f>
        <v>-133.78213443396226</v>
      </c>
      <c r="CA42" s="328">
        <f>0.5%*'Couts RH'!CA$5*'Annexe A  Plan RH'!CO$95/'Annexe A  Plan RH'!CO$92</f>
        <v>-132.74801590909092</v>
      </c>
      <c r="CB42" s="328">
        <f>0.5%*'Couts RH'!CB$5*'Annexe A  Plan RH'!CP$95/'Annexe A  Plan RH'!CP$92</f>
        <v>-132.74801590909092</v>
      </c>
      <c r="CC42" s="330">
        <f>0.5%*'Couts RH'!CC$5*'Annexe A  Plan RH'!CQ$95/'Annexe A  Plan RH'!CQ$92</f>
        <v>-132.74801590909092</v>
      </c>
    </row>
    <row r="43" spans="1:81" ht="14">
      <c r="A43" s="194" t="s">
        <v>199</v>
      </c>
      <c r="C43" s="40"/>
      <c r="I43" s="10"/>
      <c r="J43" s="328">
        <f>-40*'Annexe A  Plan RH'!X95</f>
        <v>0</v>
      </c>
      <c r="K43" s="328">
        <f>-40*'Annexe A  Plan RH'!Y95</f>
        <v>0</v>
      </c>
      <c r="L43" s="328">
        <f>-40*'Annexe A  Plan RH'!Z95</f>
        <v>0</v>
      </c>
      <c r="M43" s="328">
        <f>-40*'Annexe A  Plan RH'!AA95</f>
        <v>0</v>
      </c>
      <c r="N43" s="328">
        <f>-40*'Annexe A  Plan RH'!AB95</f>
        <v>0</v>
      </c>
      <c r="O43" s="328">
        <f>-40*'Annexe A  Plan RH'!AC95</f>
        <v>0</v>
      </c>
      <c r="P43" s="328">
        <f>-40*'Annexe A  Plan RH'!AD95</f>
        <v>0</v>
      </c>
      <c r="Q43" s="328">
        <f>-40*'Annexe A  Plan RH'!AE95</f>
        <v>0</v>
      </c>
      <c r="R43" s="328">
        <f>-40*'Annexe A  Plan RH'!AF95</f>
        <v>0</v>
      </c>
      <c r="S43" s="328">
        <f>-40*'Annexe A  Plan RH'!AG95</f>
        <v>0</v>
      </c>
      <c r="T43" s="328">
        <f>-40*'Annexe A  Plan RH'!AH95</f>
        <v>0</v>
      </c>
      <c r="U43" s="330">
        <f>-40*'Annexe A  Plan RH'!AI95</f>
        <v>0</v>
      </c>
      <c r="V43" s="329">
        <f>-40*'Annexe A  Plan RH'!AJ95</f>
        <v>0</v>
      </c>
      <c r="W43" s="328">
        <f>-40*'Annexe A  Plan RH'!AK95</f>
        <v>0</v>
      </c>
      <c r="X43" s="328">
        <f>-40*'Annexe A  Plan RH'!AL95</f>
        <v>0</v>
      </c>
      <c r="Y43" s="328">
        <f>-40*'Annexe A  Plan RH'!AM95</f>
        <v>0</v>
      </c>
      <c r="Z43" s="328">
        <f>-40*'Annexe A  Plan RH'!AN95</f>
        <v>0</v>
      </c>
      <c r="AA43" s="328">
        <f>-40*'Annexe A  Plan RH'!AO95</f>
        <v>0</v>
      </c>
      <c r="AB43" s="328">
        <f>-40*'Annexe A  Plan RH'!AP95</f>
        <v>0</v>
      </c>
      <c r="AC43" s="328">
        <f>-40*'Annexe A  Plan RH'!AQ95</f>
        <v>0</v>
      </c>
      <c r="AD43" s="328">
        <f>-40*'Annexe A  Plan RH'!AR95</f>
        <v>0</v>
      </c>
      <c r="AE43" s="328">
        <f>-40*'Annexe A  Plan RH'!AS95</f>
        <v>0</v>
      </c>
      <c r="AF43" s="328">
        <f>-40*'Annexe A  Plan RH'!AT95</f>
        <v>0</v>
      </c>
      <c r="AG43" s="330">
        <f>-40*'Annexe A  Plan RH'!AU95</f>
        <v>0</v>
      </c>
      <c r="AH43" s="329">
        <f>-40*'Annexe A  Plan RH'!AV95</f>
        <v>0</v>
      </c>
      <c r="AI43" s="328">
        <f>-40*'Annexe A  Plan RH'!AW95</f>
        <v>0</v>
      </c>
      <c r="AJ43" s="328">
        <f>-40*'Annexe A  Plan RH'!AX95</f>
        <v>0</v>
      </c>
      <c r="AK43" s="328">
        <f>-40*'Annexe A  Plan RH'!AY95</f>
        <v>0</v>
      </c>
      <c r="AL43" s="328">
        <f>-40*'Annexe A  Plan RH'!AZ95</f>
        <v>0</v>
      </c>
      <c r="AM43" s="328">
        <f>-40*'Annexe A  Plan RH'!BA95</f>
        <v>0</v>
      </c>
      <c r="AN43" s="328">
        <f>-40*'Annexe A  Plan RH'!BB95</f>
        <v>0</v>
      </c>
      <c r="AO43" s="328">
        <f>-40*'Annexe A  Plan RH'!BC95</f>
        <v>0</v>
      </c>
      <c r="AP43" s="328">
        <f>-40*'Annexe A  Plan RH'!BD95</f>
        <v>0</v>
      </c>
      <c r="AQ43" s="328">
        <f>-40*'Annexe A  Plan RH'!BE95</f>
        <v>0</v>
      </c>
      <c r="AR43" s="328">
        <f>-40*'Annexe A  Plan RH'!BF95</f>
        <v>0</v>
      </c>
      <c r="AS43" s="328">
        <f>-40*'Annexe A  Plan RH'!BG95</f>
        <v>0</v>
      </c>
      <c r="AT43" s="329">
        <f>-40*'Annexe A  Plan RH'!BH95</f>
        <v>0</v>
      </c>
      <c r="AU43" s="328">
        <f>-40*'Annexe A  Plan RH'!BI95</f>
        <v>0</v>
      </c>
      <c r="AV43" s="328">
        <f>-40*'Annexe A  Plan RH'!BJ95</f>
        <v>0</v>
      </c>
      <c r="AW43" s="328">
        <f>-40*'Annexe A  Plan RH'!BK95</f>
        <v>0</v>
      </c>
      <c r="AX43" s="328">
        <f>-40*'Annexe A  Plan RH'!BL95</f>
        <v>0</v>
      </c>
      <c r="AY43" s="328">
        <f>-40*'Annexe A  Plan RH'!BM95</f>
        <v>0</v>
      </c>
      <c r="AZ43" s="328">
        <f>-40*'Annexe A  Plan RH'!BN95</f>
        <v>0</v>
      </c>
      <c r="BA43" s="328">
        <f>-40*'Annexe A  Plan RH'!BO95</f>
        <v>0</v>
      </c>
      <c r="BB43" s="328">
        <f>-40*'Annexe A  Plan RH'!BP95</f>
        <v>0</v>
      </c>
      <c r="BC43" s="328">
        <f>-40*'Annexe A  Plan RH'!BQ95</f>
        <v>0</v>
      </c>
      <c r="BD43" s="328">
        <f>-40*'Annexe A  Plan RH'!BR95</f>
        <v>0</v>
      </c>
      <c r="BE43" s="330">
        <f>-40*'Annexe A  Plan RH'!BS95</f>
        <v>0</v>
      </c>
      <c r="BF43" s="329">
        <f>-40*'Annexe A  Plan RH'!BT95</f>
        <v>0</v>
      </c>
      <c r="BG43" s="328">
        <f>-40*'Annexe A  Plan RH'!BU95</f>
        <v>0</v>
      </c>
      <c r="BH43" s="328">
        <f>-40*'Annexe A  Plan RH'!BV95</f>
        <v>0</v>
      </c>
      <c r="BI43" s="328">
        <f>-40*'Annexe A  Plan RH'!BW95</f>
        <v>0</v>
      </c>
      <c r="BJ43" s="328">
        <f>-40*'Annexe A  Plan RH'!BX95</f>
        <v>0</v>
      </c>
      <c r="BK43" s="328">
        <f>-40*'Annexe A  Plan RH'!BY95</f>
        <v>0</v>
      </c>
      <c r="BL43" s="328">
        <f>-40*'Annexe A  Plan RH'!BZ95</f>
        <v>0</v>
      </c>
      <c r="BM43" s="328">
        <f>-40*'Annexe A  Plan RH'!CA95</f>
        <v>0</v>
      </c>
      <c r="BN43" s="328">
        <f>-40*'Annexe A  Plan RH'!CB95</f>
        <v>0</v>
      </c>
      <c r="BO43" s="328">
        <f>-40*'Annexe A  Plan RH'!CC95</f>
        <v>0</v>
      </c>
      <c r="BP43" s="328">
        <f>-40*'Annexe A  Plan RH'!CD95</f>
        <v>0</v>
      </c>
      <c r="BQ43" s="330">
        <f>-40*'Annexe A  Plan RH'!CE95</f>
        <v>0</v>
      </c>
      <c r="BR43" s="329">
        <f>-40*'Annexe A  Plan RH'!CF95</f>
        <v>0</v>
      </c>
      <c r="BS43" s="328">
        <f>-40*'Annexe A  Plan RH'!CG95</f>
        <v>0</v>
      </c>
      <c r="BT43" s="328">
        <f>-40*'Annexe A  Plan RH'!CH95</f>
        <v>-40</v>
      </c>
      <c r="BU43" s="328">
        <f>-40*'Annexe A  Plan RH'!CI95</f>
        <v>-40</v>
      </c>
      <c r="BV43" s="328">
        <f>-40*'Annexe A  Plan RH'!CJ95</f>
        <v>-40</v>
      </c>
      <c r="BW43" s="328">
        <f>-40*'Annexe A  Plan RH'!CK95</f>
        <v>-80</v>
      </c>
      <c r="BX43" s="328">
        <f>-40*'Annexe A  Plan RH'!CL95</f>
        <v>-80</v>
      </c>
      <c r="BY43" s="328">
        <f>-40*'Annexe A  Plan RH'!CM95</f>
        <v>-160</v>
      </c>
      <c r="BZ43" s="328">
        <f>-40*'Annexe A  Plan RH'!CN95</f>
        <v>-160</v>
      </c>
      <c r="CA43" s="328">
        <f>-40*'Annexe A  Plan RH'!CO95</f>
        <v>-160</v>
      </c>
      <c r="CB43" s="328">
        <f>-40*'Annexe A  Plan RH'!CP95</f>
        <v>-160</v>
      </c>
      <c r="CC43" s="330">
        <f>-40*'Annexe A  Plan RH'!CQ95</f>
        <v>-160</v>
      </c>
    </row>
    <row r="44" spans="1:81" ht="14">
      <c r="A44" s="194" t="s">
        <v>200</v>
      </c>
      <c r="C44" s="40"/>
      <c r="I44" s="10"/>
      <c r="J44" s="40"/>
      <c r="U44" s="10"/>
      <c r="V44" s="40"/>
      <c r="AG44" s="10"/>
      <c r="AH44" s="308">
        <v>-25000</v>
      </c>
      <c r="AS44" s="10"/>
      <c r="AT44" s="40"/>
      <c r="BE44" s="10"/>
      <c r="BF44" s="40"/>
      <c r="BQ44" s="10"/>
      <c r="BR44" s="40"/>
      <c r="CC44" s="10"/>
    </row>
    <row r="45" spans="1:81" ht="14">
      <c r="A45" s="194" t="s">
        <v>195</v>
      </c>
      <c r="C45" s="40"/>
      <c r="I45" s="10"/>
      <c r="J45" s="40"/>
      <c r="U45" s="10"/>
      <c r="V45" s="40"/>
      <c r="AG45" s="10"/>
      <c r="AH45" s="40"/>
      <c r="AS45" s="10"/>
      <c r="AT45" s="40"/>
      <c r="BE45" s="10"/>
      <c r="BF45" s="40"/>
      <c r="BQ45" s="10"/>
      <c r="BR45" s="40"/>
      <c r="CC45" s="10"/>
    </row>
    <row r="46" spans="1:81" ht="14">
      <c r="A46" s="194" t="s">
        <v>197</v>
      </c>
      <c r="C46" s="40"/>
      <c r="I46" s="10"/>
      <c r="J46" s="129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1"/>
      <c r="V46" s="129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1"/>
      <c r="AH46" s="129">
        <f ca="1">-(Ventes!AH45-Ventes!AG45)*Hypothèses!$B$44*$B$84</f>
        <v>0</v>
      </c>
      <c r="AI46" s="130">
        <f ca="1">-(Ventes!AI45-Ventes!AH45)*Hypothèses!$B$44*$B$84</f>
        <v>0</v>
      </c>
      <c r="AJ46" s="130">
        <f ca="1">-(Ventes!AJ45-Ventes!AI45)*Hypothèses!$B$44*$B$84</f>
        <v>0</v>
      </c>
      <c r="AK46" s="130">
        <f ca="1">-(Ventes!AK45-Ventes!AJ45)*Hypothèses!$B$44*$B$84</f>
        <v>0</v>
      </c>
      <c r="AL46" s="130">
        <f ca="1">-(Ventes!AL45-Ventes!AK45)*Hypothèses!$B$44*$B$84</f>
        <v>0</v>
      </c>
      <c r="AM46" s="130">
        <f ca="1">-(Ventes!AM45-Ventes!AL45)*Hypothèses!$B$44*$B$84</f>
        <v>0</v>
      </c>
      <c r="AN46" s="130">
        <f ca="1">-(Ventes!AN45-Ventes!AM45)*Hypothèses!$B$44*$B$84</f>
        <v>0</v>
      </c>
      <c r="AO46" s="130">
        <f ca="1">-(Ventes!AO45-Ventes!AN45)*Hypothèses!$B$44*$B$84</f>
        <v>0</v>
      </c>
      <c r="AP46" s="130">
        <f ca="1">-(Ventes!AP45-Ventes!AO45)*Hypothèses!$B$44*$B$84</f>
        <v>0</v>
      </c>
      <c r="AQ46" s="130">
        <f ca="1">-(Ventes!AQ45-Ventes!AP45)*Hypothèses!$B$44*$B$84</f>
        <v>0</v>
      </c>
      <c r="AR46" s="130">
        <f ca="1">-(Ventes!AR45-Ventes!AQ45)*Hypothèses!$B$44*$B$84</f>
        <v>0</v>
      </c>
      <c r="AS46" s="131">
        <f ca="1">-(Ventes!AS45-Ventes!AR45)*Hypothèses!$B$44*$B$84</f>
        <v>0</v>
      </c>
      <c r="AT46" s="129">
        <f ca="1">-(Ventes!AT45-Ventes!AS45)*Hypothèses!$B$44*$B$84</f>
        <v>0</v>
      </c>
      <c r="AU46" s="130">
        <f ca="1">-(Ventes!AU45-Ventes!AT45)*Hypothèses!$B$44*$B$84</f>
        <v>0</v>
      </c>
      <c r="AV46" s="130">
        <f ca="1">-(Ventes!AV45-Ventes!AU45)*Hypothèses!$B$44*$B$84</f>
        <v>0</v>
      </c>
      <c r="AW46" s="130">
        <f ca="1">-(Ventes!AW45-Ventes!AV45)*Hypothèses!$B$44*$B$84</f>
        <v>0</v>
      </c>
      <c r="AX46" s="130">
        <f ca="1">-(Ventes!AX45-Ventes!AW45)*Hypothèses!$B$44*$B$84</f>
        <v>0</v>
      </c>
      <c r="AY46" s="130">
        <f ca="1">-(Ventes!AY45-Ventes!AX45)*Hypothèses!$B$44*$B$84</f>
        <v>0</v>
      </c>
      <c r="AZ46" s="130">
        <f ca="1">-(Ventes!AZ45-Ventes!AY45)*Hypothèses!$B$44*$B$84</f>
        <v>0</v>
      </c>
      <c r="BA46" s="130">
        <f ca="1">-(Ventes!BA45-Ventes!AZ45)*Hypothèses!$B$44*$B$84</f>
        <v>0</v>
      </c>
      <c r="BB46" s="130">
        <f ca="1">-(Ventes!BB45-Ventes!BA45)*Hypothèses!$B$44*$B$84</f>
        <v>0</v>
      </c>
      <c r="BC46" s="130">
        <f ca="1">-(Ventes!BC45-Ventes!BB45)*Hypothèses!$B$44*$B$84</f>
        <v>0</v>
      </c>
      <c r="BD46" s="130">
        <f ca="1">-(Ventes!BD45-Ventes!BC45)*Hypothèses!$B$44*$B$84</f>
        <v>0</v>
      </c>
      <c r="BE46" s="131">
        <f ca="1">-(Ventes!BE45-Ventes!BD45)*Hypothèses!$B$44*$B$84</f>
        <v>0</v>
      </c>
      <c r="BF46" s="129">
        <f ca="1">-(Ventes!BF45-Ventes!BE45)*Hypothèses!$B$44*$B$84</f>
        <v>0</v>
      </c>
      <c r="BG46" s="130">
        <f ca="1">-(Ventes!BG45-Ventes!BF45)*Hypothèses!$B$44*$B$84</f>
        <v>0</v>
      </c>
      <c r="BH46" s="130">
        <f ca="1">-(Ventes!BH45-Ventes!BG45)*Hypothèses!$B$44*$B$84</f>
        <v>0</v>
      </c>
      <c r="BI46" s="130">
        <f ca="1">-(Ventes!BI45-Ventes!BH45)*Hypothèses!$B$44*$B$84</f>
        <v>0</v>
      </c>
      <c r="BJ46" s="130">
        <f ca="1">-(Ventes!BJ45-Ventes!BI45)*Hypothèses!$B$44*$B$84</f>
        <v>0</v>
      </c>
      <c r="BK46" s="130">
        <f ca="1">-(Ventes!BK45-Ventes!BJ45)*Hypothèses!$B$44*$B$84</f>
        <v>0</v>
      </c>
      <c r="BL46" s="130">
        <f ca="1">-(Ventes!BL45-Ventes!BK45)*Hypothèses!$B$44*$B$84</f>
        <v>0</v>
      </c>
      <c r="BM46" s="130">
        <f ca="1">-(Ventes!BM45-Ventes!BL45)*Hypothèses!$B$44*$B$84</f>
        <v>0</v>
      </c>
      <c r="BN46" s="130">
        <f ca="1">-(Ventes!BN45-Ventes!BM45)*Hypothèses!$B$44*$B$84</f>
        <v>0</v>
      </c>
      <c r="BO46" s="130">
        <f ca="1">-(Ventes!BO45-Ventes!BN45)*Hypothèses!$B$44*$B$84</f>
        <v>0</v>
      </c>
      <c r="BP46" s="130">
        <f ca="1">-(Ventes!BP45-Ventes!BO45)*Hypothèses!$B$44*$B$84</f>
        <v>0</v>
      </c>
      <c r="BQ46" s="131">
        <f ca="1">-(Ventes!BQ45-Ventes!BP45)*Hypothèses!$B$44*$B$84</f>
        <v>0</v>
      </c>
      <c r="BR46" s="129">
        <f ca="1">-(Ventes!BR45-Ventes!BQ45)*Hypothèses!$B$44*$B$84</f>
        <v>0</v>
      </c>
      <c r="BS46" s="130">
        <f ca="1">-(Ventes!BS45-Ventes!BR45)*Hypothèses!$B$44*$B$84</f>
        <v>0</v>
      </c>
      <c r="BT46" s="130">
        <f ca="1">-(Ventes!BT45-Ventes!BS45)*Hypothèses!$B$44*$B$84</f>
        <v>0</v>
      </c>
      <c r="BU46" s="130">
        <f ca="1">-(Ventes!BU45-Ventes!BT45)*Hypothèses!$B$44*$B$84</f>
        <v>-818.99999999999989</v>
      </c>
      <c r="BV46" s="130">
        <f ca="1">-(Ventes!BV45-Ventes!BU45)*Hypothèses!$B$44*$B$84</f>
        <v>-810.64620000000014</v>
      </c>
      <c r="BW46" s="130">
        <f ca="1">-(Ventes!BW45-Ventes!BV45)*Hypothèses!$B$44*$B$84</f>
        <v>-802.39919760000009</v>
      </c>
      <c r="BX46" s="130">
        <f ca="1">-(Ventes!BX45-Ventes!BW45)*Hypothèses!$B$44*$B$84</f>
        <v>-1613.2573721628003</v>
      </c>
      <c r="BY46" s="130">
        <f ca="1">-(Ventes!BY45-Ventes!BX45)*Hypothèses!$B$44*$B$84</f>
        <v>-13619.72777145908</v>
      </c>
      <c r="BZ46" s="130">
        <f ca="1">-(Ventes!BZ45-Ventes!BY45)*Hypothèses!$B$44*$B$84</f>
        <v>-13480.911349744343</v>
      </c>
      <c r="CA46" s="130">
        <f ca="1">-(Ventes!CA45-Ventes!BZ45)*Hypothèses!$B$44*$B$84</f>
        <v>-13343.868366506606</v>
      </c>
      <c r="CB46" s="130">
        <f ca="1">-(Ventes!CB45-Ventes!CA45)*Hypothèses!$B$44*$B$84</f>
        <v>-13208.571925931632</v>
      </c>
      <c r="CC46" s="131">
        <f ca="1">-(Ventes!CC45-Ventes!CB45)*Hypothèses!$B$44*$B$84</f>
        <v>-13074.995594707301</v>
      </c>
    </row>
    <row r="47" spans="1:81" ht="13">
      <c r="A47" s="43"/>
      <c r="B47" s="120"/>
      <c r="C47" s="43"/>
      <c r="D47" s="120"/>
      <c r="E47" s="120"/>
      <c r="F47" s="120"/>
      <c r="G47" s="120"/>
      <c r="H47" s="120"/>
      <c r="I47" s="121"/>
      <c r="J47" s="43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1"/>
      <c r="V47" s="43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1"/>
      <c r="AH47" s="43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1"/>
      <c r="AT47" s="43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1"/>
      <c r="BF47" s="43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1"/>
      <c r="BR47" s="43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1"/>
    </row>
    <row r="48" spans="1:81" ht="13">
      <c r="A48" s="351" t="s">
        <v>86</v>
      </c>
      <c r="B48" s="113"/>
      <c r="C48" s="32"/>
      <c r="D48" s="113"/>
      <c r="E48" s="113"/>
      <c r="F48" s="113"/>
      <c r="G48" s="113"/>
      <c r="H48" s="113"/>
      <c r="I48" s="114"/>
      <c r="J48" s="32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4"/>
      <c r="V48" s="32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4"/>
      <c r="AH48" s="32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4"/>
      <c r="AT48" s="32"/>
      <c r="AU48" s="113"/>
      <c r="AV48" s="113"/>
      <c r="AW48" s="113"/>
      <c r="AX48" s="113"/>
      <c r="AY48" s="113"/>
      <c r="AZ48" s="113"/>
      <c r="BA48" s="113"/>
      <c r="BB48" s="113"/>
      <c r="BC48" s="113"/>
      <c r="BD48" s="113"/>
      <c r="BE48" s="114"/>
      <c r="BF48" s="32"/>
      <c r="BG48" s="113"/>
      <c r="BH48" s="113"/>
      <c r="BI48" s="113"/>
      <c r="BJ48" s="113"/>
      <c r="BK48" s="113"/>
      <c r="BL48" s="113"/>
      <c r="BM48" s="113"/>
      <c r="BN48" s="113"/>
      <c r="BO48" s="113"/>
      <c r="BP48" s="113"/>
      <c r="BQ48" s="114"/>
      <c r="BR48" s="32"/>
      <c r="BS48" s="113"/>
      <c r="BT48" s="113"/>
      <c r="BU48" s="113"/>
      <c r="BV48" s="113"/>
      <c r="BW48" s="113"/>
      <c r="BX48" s="113"/>
      <c r="BY48" s="113"/>
      <c r="BZ48" s="113"/>
      <c r="CA48" s="113"/>
      <c r="CB48" s="113"/>
      <c r="CC48" s="114"/>
    </row>
    <row r="49" spans="1:81" ht="13">
      <c r="A49" s="40"/>
      <c r="C49" s="40"/>
      <c r="I49" s="10"/>
      <c r="J49" s="40"/>
      <c r="U49" s="10"/>
      <c r="V49" s="40"/>
      <c r="AG49" s="10"/>
      <c r="AH49" s="40"/>
      <c r="AS49" s="10"/>
      <c r="AT49" s="40"/>
      <c r="BE49" s="10"/>
      <c r="BF49" s="40"/>
      <c r="BQ49" s="10"/>
      <c r="BR49" s="40"/>
      <c r="CC49" s="10"/>
    </row>
    <row r="50" spans="1:81" ht="14">
      <c r="A50" s="305" t="s">
        <v>185</v>
      </c>
      <c r="C50" s="40"/>
      <c r="I50" s="10"/>
      <c r="J50" s="40"/>
      <c r="U50" s="10"/>
      <c r="V50" s="40"/>
      <c r="AG50" s="10"/>
      <c r="AH50" s="129">
        <f>-'Annexe A  Plan RH'!AV96*Hypothèses!$B$96</f>
        <v>0</v>
      </c>
      <c r="AI50" s="130">
        <f>-'Annexe A  Plan RH'!AW96*Hypothèses!$B$96</f>
        <v>0</v>
      </c>
      <c r="AJ50" s="130">
        <f>-'Annexe A  Plan RH'!AX96*Hypothèses!$B$96</f>
        <v>0</v>
      </c>
      <c r="AK50" s="130">
        <f>-'Annexe A  Plan RH'!AY96*Hypothèses!$B$96</f>
        <v>0</v>
      </c>
      <c r="AL50" s="130">
        <f>-'Annexe A  Plan RH'!AZ96*Hypothèses!$B$96</f>
        <v>0</v>
      </c>
      <c r="AM50" s="130">
        <f>-'Annexe A  Plan RH'!BA96*Hypothèses!$B$96</f>
        <v>0</v>
      </c>
      <c r="AN50" s="130">
        <f>-'Annexe A  Plan RH'!BB96*Hypothèses!$B$96</f>
        <v>0</v>
      </c>
      <c r="AO50" s="130">
        <f>-'Annexe A  Plan RH'!BC96*Hypothèses!$B$96</f>
        <v>0</v>
      </c>
      <c r="AP50" s="130">
        <f>-'Annexe A  Plan RH'!BD96*Hypothèses!$B$96</f>
        <v>0</v>
      </c>
      <c r="AQ50" s="130">
        <f>-'Annexe A  Plan RH'!BE96*Hypothèses!$B$96</f>
        <v>0</v>
      </c>
      <c r="AR50" s="130">
        <f>-'Annexe A  Plan RH'!BF96*Hypothèses!$B$96</f>
        <v>0</v>
      </c>
      <c r="AS50" s="131">
        <f>-'Annexe A  Plan RH'!BG96*Hypothèses!$B$96</f>
        <v>0</v>
      </c>
      <c r="AT50" s="129">
        <f>-'Annexe A  Plan RH'!BH96*Hypothèses!$B$96</f>
        <v>0</v>
      </c>
      <c r="AU50" s="130">
        <f>-'Annexe A  Plan RH'!BI96*Hypothèses!$B$96</f>
        <v>0</v>
      </c>
      <c r="AV50" s="130">
        <f>-'Annexe A  Plan RH'!BJ96*Hypothèses!$B$96</f>
        <v>0</v>
      </c>
      <c r="AW50" s="130">
        <f>-'Annexe A  Plan RH'!BK96*Hypothèses!$B$96</f>
        <v>0</v>
      </c>
      <c r="AX50" s="130">
        <f>-'Annexe A  Plan RH'!BL96*Hypothèses!$B$96</f>
        <v>0</v>
      </c>
      <c r="AY50" s="130">
        <f>-'Annexe A  Plan RH'!BM96*Hypothèses!$B$96</f>
        <v>0</v>
      </c>
      <c r="AZ50" s="130">
        <f>-'Annexe A  Plan RH'!BN96*Hypothèses!$B$96</f>
        <v>0</v>
      </c>
      <c r="BA50" s="130">
        <f>-'Annexe A  Plan RH'!BO96*Hypothèses!$B$96</f>
        <v>0</v>
      </c>
      <c r="BB50" s="130">
        <f>-'Annexe A  Plan RH'!BP96*Hypothèses!$B$96</f>
        <v>0</v>
      </c>
      <c r="BC50" s="130">
        <f>-'Annexe A  Plan RH'!BQ96*Hypothèses!$B$96</f>
        <v>0</v>
      </c>
      <c r="BD50" s="130">
        <f>-'Annexe A  Plan RH'!BR96*Hypothèses!$B$96</f>
        <v>0</v>
      </c>
      <c r="BE50" s="130">
        <f>-'Annexe A  Plan RH'!BS96*Hypothèses!$B$96</f>
        <v>0</v>
      </c>
      <c r="BF50" s="129">
        <f>-'Annexe A  Plan RH'!BT96*Hypothèses!$B$96</f>
        <v>0</v>
      </c>
      <c r="BG50" s="130">
        <f>-'Annexe A  Plan RH'!BU96*Hypothèses!$B$96</f>
        <v>0</v>
      </c>
      <c r="BH50" s="130">
        <f>-'Annexe A  Plan RH'!BV96*Hypothèses!$B$96</f>
        <v>0</v>
      </c>
      <c r="BI50" s="130">
        <f>-'Annexe A  Plan RH'!BW96*Hypothèses!$B$96</f>
        <v>0</v>
      </c>
      <c r="BJ50" s="130">
        <f>-'Annexe A  Plan RH'!BX96*Hypothèses!$B$96</f>
        <v>0</v>
      </c>
      <c r="BK50" s="130">
        <f>-'Annexe A  Plan RH'!BY96*Hypothèses!$B$96</f>
        <v>0</v>
      </c>
      <c r="BL50" s="130">
        <f>-'Annexe A  Plan RH'!BZ96*Hypothèses!$B$96</f>
        <v>0</v>
      </c>
      <c r="BM50" s="130">
        <f>-'Annexe A  Plan RH'!CA96*Hypothèses!$B$96</f>
        <v>0</v>
      </c>
      <c r="BN50" s="130">
        <f>-'Annexe A  Plan RH'!CB96*Hypothèses!$B$96</f>
        <v>0</v>
      </c>
      <c r="BO50" s="130">
        <f>-'Annexe A  Plan RH'!CC96*Hypothèses!$B$96</f>
        <v>0</v>
      </c>
      <c r="BP50" s="130">
        <f>-'Annexe A  Plan RH'!CD96*Hypothèses!$B$96</f>
        <v>0</v>
      </c>
      <c r="BQ50" s="131">
        <f>-'Annexe A  Plan RH'!CE96*Hypothèses!$B$96</f>
        <v>0</v>
      </c>
      <c r="BR50" s="129">
        <f>-'Annexe A  Plan RH'!CF96*Hypothèses!$B$96</f>
        <v>0</v>
      </c>
      <c r="BS50" s="130">
        <f>-'Annexe A  Plan RH'!CG96*Hypothèses!$B$96</f>
        <v>0</v>
      </c>
      <c r="BT50" s="130">
        <f>-'Annexe A  Plan RH'!CH96*Hypothèses!$B$96</f>
        <v>0</v>
      </c>
      <c r="BU50" s="130">
        <f>-'Annexe A  Plan RH'!CI96*Hypothèses!$B$96</f>
        <v>0</v>
      </c>
      <c r="BV50" s="130">
        <f>-'Annexe A  Plan RH'!CJ96*Hypothèses!$B$96</f>
        <v>0</v>
      </c>
      <c r="BW50" s="130">
        <f>-'Annexe A  Plan RH'!CK96*Hypothèses!$B$96</f>
        <v>0</v>
      </c>
      <c r="BX50" s="130">
        <f>-'Annexe A  Plan RH'!CL96*Hypothèses!$B$96</f>
        <v>0</v>
      </c>
      <c r="BY50" s="130">
        <f>-'Annexe A  Plan RH'!CM96*Hypothèses!$B$96</f>
        <v>0</v>
      </c>
      <c r="BZ50" s="130">
        <f>-'Annexe A  Plan RH'!CN96*Hypothèses!$B$96</f>
        <v>0</v>
      </c>
      <c r="CA50" s="130">
        <f>-'Annexe A  Plan RH'!CO96*Hypothèses!$B$96</f>
        <v>0</v>
      </c>
      <c r="CB50" s="130">
        <f>-'Annexe A  Plan RH'!CP96*Hypothèses!$B$96</f>
        <v>0</v>
      </c>
      <c r="CC50" s="131">
        <f>-'Annexe A  Plan RH'!CQ96*Hypothèses!$B$96</f>
        <v>0</v>
      </c>
    </row>
    <row r="51" spans="1:81" ht="14">
      <c r="A51" s="305" t="s">
        <v>186</v>
      </c>
      <c r="C51" s="40"/>
      <c r="I51" s="10"/>
      <c r="J51" s="328">
        <f>1%*'Couts RH'!J$5*'Annexe A  Plan RH'!X$96/'Annexe A  Plan RH'!X$92</f>
        <v>0</v>
      </c>
      <c r="K51" s="328">
        <f>1%*'Couts RH'!K$5*'Annexe A  Plan RH'!Y96/'Annexe A  Plan RH'!Y$92</f>
        <v>0</v>
      </c>
      <c r="L51" s="328">
        <f>1%*'Couts RH'!L$5*'Annexe A  Plan RH'!Z96/'Annexe A  Plan RH'!Z$92</f>
        <v>0</v>
      </c>
      <c r="M51" s="328">
        <f>1%*'Couts RH'!M$5*'Annexe A  Plan RH'!AA96/'Annexe A  Plan RH'!AA$92</f>
        <v>0</v>
      </c>
      <c r="N51" s="328">
        <f>1%*'Couts RH'!N$5*'Annexe A  Plan RH'!AB96/'Annexe A  Plan RH'!AB$92</f>
        <v>0</v>
      </c>
      <c r="O51" s="328">
        <f>1%*'Couts RH'!O$5*'Annexe A  Plan RH'!AC96/'Annexe A  Plan RH'!AC$92</f>
        <v>0</v>
      </c>
      <c r="P51" s="328">
        <f>1%*'Couts RH'!P$5*'Annexe A  Plan RH'!AD96/'Annexe A  Plan RH'!AD$92</f>
        <v>0</v>
      </c>
      <c r="Q51" s="328">
        <f>1%*'Couts RH'!Q$5*'Annexe A  Plan RH'!AE96/'Annexe A  Plan RH'!AE$92</f>
        <v>0</v>
      </c>
      <c r="R51" s="328">
        <f>1%*'Couts RH'!R$5*'Annexe A  Plan RH'!AF96/'Annexe A  Plan RH'!AF$92</f>
        <v>0</v>
      </c>
      <c r="S51" s="328">
        <f>1%*'Couts RH'!S$5*'Annexe A  Plan RH'!AG96/'Annexe A  Plan RH'!AG$92</f>
        <v>0</v>
      </c>
      <c r="T51" s="328">
        <f>1%*'Couts RH'!T$5*'Annexe A  Plan RH'!AH96/'Annexe A  Plan RH'!AH$92</f>
        <v>0</v>
      </c>
      <c r="U51" s="330">
        <f>1%*'Couts RH'!U$5*'Annexe A  Plan RH'!AI96/'Annexe A  Plan RH'!AI$92</f>
        <v>0</v>
      </c>
      <c r="V51" s="329">
        <f>1%*'Couts RH'!V$5*'Annexe A  Plan RH'!AJ96/'Annexe A  Plan RH'!AJ$92</f>
        <v>0</v>
      </c>
      <c r="W51" s="328">
        <f>1%*'Couts RH'!W$5*'Annexe A  Plan RH'!AK96/'Annexe A  Plan RH'!AK$92</f>
        <v>0</v>
      </c>
      <c r="X51" s="328">
        <f>1%*'Couts RH'!X$5*'Annexe A  Plan RH'!AL96/'Annexe A  Plan RH'!AL$92</f>
        <v>0</v>
      </c>
      <c r="Y51" s="328">
        <f>1%*'Couts RH'!Y$5*'Annexe A  Plan RH'!AM96/'Annexe A  Plan RH'!AM$92</f>
        <v>0</v>
      </c>
      <c r="Z51" s="328">
        <f>1%*'Couts RH'!Z$5*'Annexe A  Plan RH'!AN96/'Annexe A  Plan RH'!AN$92</f>
        <v>0</v>
      </c>
      <c r="AA51" s="328">
        <f>1%*'Couts RH'!AA$5*'Annexe A  Plan RH'!AO96/'Annexe A  Plan RH'!AO$92</f>
        <v>0</v>
      </c>
      <c r="AB51" s="328">
        <f>1%*'Couts RH'!AB$5*'Annexe A  Plan RH'!AP96/'Annexe A  Plan RH'!AP$92</f>
        <v>0</v>
      </c>
      <c r="AC51" s="328">
        <f>1%*'Couts RH'!AC$5*'Annexe A  Plan RH'!AQ96/'Annexe A  Plan RH'!AQ$92</f>
        <v>0</v>
      </c>
      <c r="AD51" s="328">
        <f>1%*'Couts RH'!AD$5*'Annexe A  Plan RH'!AR96/'Annexe A  Plan RH'!AR$92</f>
        <v>0</v>
      </c>
      <c r="AE51" s="328">
        <f>1%*'Couts RH'!AE$5*'Annexe A  Plan RH'!AS96/'Annexe A  Plan RH'!AS$92</f>
        <v>0</v>
      </c>
      <c r="AF51" s="328">
        <f>1%*'Couts RH'!AF$5*'Annexe A  Plan RH'!AT96/'Annexe A  Plan RH'!AT$92</f>
        <v>0</v>
      </c>
      <c r="AG51" s="330">
        <f>1%*'Couts RH'!AG$5*'Annexe A  Plan RH'!AU96/'Annexe A  Plan RH'!AU$92</f>
        <v>0</v>
      </c>
      <c r="AH51" s="329">
        <f>1%*'Couts RH'!AH$5*'Annexe A  Plan RH'!AV96/'Annexe A  Plan RH'!AV$92</f>
        <v>0</v>
      </c>
      <c r="AI51" s="328">
        <f>1%*'Couts RH'!AI$5*'Annexe A  Plan RH'!AW96/'Annexe A  Plan RH'!AW$92</f>
        <v>0</v>
      </c>
      <c r="AJ51" s="328">
        <f>1%*'Couts RH'!AJ$5*'Annexe A  Plan RH'!AX96/'Annexe A  Plan RH'!AX$92</f>
        <v>0</v>
      </c>
      <c r="AK51" s="328">
        <f>1%*'Couts RH'!AK$5*'Annexe A  Plan RH'!AY96/'Annexe A  Plan RH'!AY$92</f>
        <v>0</v>
      </c>
      <c r="AL51" s="328">
        <f>1%*'Couts RH'!AL$5*'Annexe A  Plan RH'!AZ96/'Annexe A  Plan RH'!AZ$92</f>
        <v>0</v>
      </c>
      <c r="AM51" s="328">
        <f>1%*'Couts RH'!AM$5*'Annexe A  Plan RH'!BA96/'Annexe A  Plan RH'!BA$92</f>
        <v>0</v>
      </c>
      <c r="AN51" s="328">
        <f>1%*'Couts RH'!AN$5*'Annexe A  Plan RH'!BB96/'Annexe A  Plan RH'!BB$92</f>
        <v>0</v>
      </c>
      <c r="AO51" s="328">
        <f>1%*'Couts RH'!AO$5*'Annexe A  Plan RH'!BC96/'Annexe A  Plan RH'!BC$92</f>
        <v>0</v>
      </c>
      <c r="AP51" s="328">
        <f>1%*'Couts RH'!AP$5*'Annexe A  Plan RH'!BD96/'Annexe A  Plan RH'!BD$92</f>
        <v>0</v>
      </c>
      <c r="AQ51" s="328">
        <f>1%*'Couts RH'!AQ$5*'Annexe A  Plan RH'!BE96/'Annexe A  Plan RH'!BE$92</f>
        <v>0</v>
      </c>
      <c r="AR51" s="328">
        <f>1%*'Couts RH'!AR$5*'Annexe A  Plan RH'!BF96/'Annexe A  Plan RH'!BF$92</f>
        <v>0</v>
      </c>
      <c r="AS51" s="328">
        <f>1%*'Couts RH'!AS$5*'Annexe A  Plan RH'!BG96/'Annexe A  Plan RH'!BG$92</f>
        <v>0</v>
      </c>
      <c r="AT51" s="328">
        <f>1%*'Couts RH'!AT$5*'Annexe A  Plan RH'!BH96/'Annexe A  Plan RH'!BH$92</f>
        <v>0</v>
      </c>
      <c r="AU51" s="328">
        <f>1%*'Couts RH'!AU$5*'Annexe A  Plan RH'!BI96/'Annexe A  Plan RH'!BI$92</f>
        <v>0</v>
      </c>
      <c r="AV51" s="328">
        <f>1%*'Couts RH'!AV$5*'Annexe A  Plan RH'!BJ96/'Annexe A  Plan RH'!BJ$92</f>
        <v>0</v>
      </c>
      <c r="AW51" s="328">
        <f>1%*'Couts RH'!AW$5*'Annexe A  Plan RH'!BK96/'Annexe A  Plan RH'!BK$92</f>
        <v>0</v>
      </c>
      <c r="AX51" s="328">
        <f>1%*'Couts RH'!AX$5*'Annexe A  Plan RH'!BL96/'Annexe A  Plan RH'!BL$92</f>
        <v>0</v>
      </c>
      <c r="AY51" s="328">
        <f>1%*'Couts RH'!AY$5*'Annexe A  Plan RH'!BM96/'Annexe A  Plan RH'!BM$92</f>
        <v>0</v>
      </c>
      <c r="AZ51" s="328">
        <f>1%*'Couts RH'!AZ$5*'Annexe A  Plan RH'!BN96/'Annexe A  Plan RH'!BN$92</f>
        <v>0</v>
      </c>
      <c r="BA51" s="328">
        <f>1%*'Couts RH'!BA$5*'Annexe A  Plan RH'!BO96/'Annexe A  Plan RH'!BO$92</f>
        <v>0</v>
      </c>
      <c r="BB51" s="328">
        <f>1%*'Couts RH'!BB$5*'Annexe A  Plan RH'!BP96/'Annexe A  Plan RH'!BP$92</f>
        <v>0</v>
      </c>
      <c r="BC51" s="328">
        <f>1%*'Couts RH'!BC$5*'Annexe A  Plan RH'!BQ96/'Annexe A  Plan RH'!BQ$92</f>
        <v>0</v>
      </c>
      <c r="BD51" s="328">
        <f>1%*'Couts RH'!BD$5*'Annexe A  Plan RH'!BR96/'Annexe A  Plan RH'!BR$92</f>
        <v>0</v>
      </c>
      <c r="BE51" s="328">
        <f>1%*'Couts RH'!BE$5*'Annexe A  Plan RH'!BS96/'Annexe A  Plan RH'!BS$92</f>
        <v>0</v>
      </c>
      <c r="BF51" s="329">
        <f>1%*'Couts RH'!BF$5*'Annexe A  Plan RH'!BT96/'Annexe A  Plan RH'!BT$92</f>
        <v>0</v>
      </c>
      <c r="BG51" s="328">
        <f>1%*'Couts RH'!BG$5*'Annexe A  Plan RH'!BU96/'Annexe A  Plan RH'!BU$92</f>
        <v>0</v>
      </c>
      <c r="BH51" s="328">
        <f>1%*'Couts RH'!BH$5*'Annexe A  Plan RH'!BV96/'Annexe A  Plan RH'!BV$92</f>
        <v>0</v>
      </c>
      <c r="BI51" s="328">
        <f>1%*'Couts RH'!BI$5*'Annexe A  Plan RH'!BW96/'Annexe A  Plan RH'!BW$92</f>
        <v>0</v>
      </c>
      <c r="BJ51" s="328">
        <f>1%*'Couts RH'!BJ$5*'Annexe A  Plan RH'!BX96/'Annexe A  Plan RH'!BX$92</f>
        <v>0</v>
      </c>
      <c r="BK51" s="328">
        <f>1%*'Couts RH'!BK$5*'Annexe A  Plan RH'!BY96/'Annexe A  Plan RH'!BY$92</f>
        <v>0</v>
      </c>
      <c r="BL51" s="328">
        <f>1%*'Couts RH'!BL$5*'Annexe A  Plan RH'!BZ96/'Annexe A  Plan RH'!BZ$92</f>
        <v>0</v>
      </c>
      <c r="BM51" s="328">
        <f>1%*'Couts RH'!BM$5*'Annexe A  Plan RH'!CA96/'Annexe A  Plan RH'!CA$92</f>
        <v>0</v>
      </c>
      <c r="BN51" s="328">
        <f>1%*'Couts RH'!BN$5*'Annexe A  Plan RH'!CB96/'Annexe A  Plan RH'!CB$92</f>
        <v>0</v>
      </c>
      <c r="BO51" s="328">
        <f>1%*'Couts RH'!BO$5*'Annexe A  Plan RH'!CC96/'Annexe A  Plan RH'!CC$92</f>
        <v>0</v>
      </c>
      <c r="BP51" s="328">
        <f>1%*'Couts RH'!BP$5*'Annexe A  Plan RH'!CD96/'Annexe A  Plan RH'!CD$92</f>
        <v>0</v>
      </c>
      <c r="BQ51" s="330">
        <f>1%*'Couts RH'!BQ$5*'Annexe A  Plan RH'!CE96/'Annexe A  Plan RH'!CE$92</f>
        <v>0</v>
      </c>
      <c r="BR51" s="329">
        <f>1%*'Couts RH'!BR$5*'Annexe A  Plan RH'!CF96/'Annexe A  Plan RH'!CF$92</f>
        <v>0</v>
      </c>
      <c r="BS51" s="328">
        <f>1%*'Couts RH'!BS$5*'Annexe A  Plan RH'!CG96/'Annexe A  Plan RH'!CG$92</f>
        <v>0</v>
      </c>
      <c r="BT51" s="328">
        <f>1%*'Couts RH'!BT$5*'Annexe A  Plan RH'!CH96/'Annexe A  Plan RH'!CH$92</f>
        <v>0</v>
      </c>
      <c r="BU51" s="328">
        <f>1%*'Couts RH'!BU$5*'Annexe A  Plan RH'!CI96/'Annexe A  Plan RH'!CI$92</f>
        <v>0</v>
      </c>
      <c r="BV51" s="328">
        <f>1%*'Couts RH'!BV$5*'Annexe A  Plan RH'!CJ96/'Annexe A  Plan RH'!CJ$92</f>
        <v>0</v>
      </c>
      <c r="BW51" s="328">
        <f>1%*'Couts RH'!BW$5*'Annexe A  Plan RH'!CK96/'Annexe A  Plan RH'!CK$92</f>
        <v>0</v>
      </c>
      <c r="BX51" s="328">
        <f>1%*'Couts RH'!BX$5*'Annexe A  Plan RH'!CL96/'Annexe A  Plan RH'!CL$92</f>
        <v>0</v>
      </c>
      <c r="BY51" s="328">
        <f>1%*'Couts RH'!BY$5*'Annexe A  Plan RH'!CM96/'Annexe A  Plan RH'!CM$92</f>
        <v>0</v>
      </c>
      <c r="BZ51" s="328">
        <f>1%*'Couts RH'!BZ$5*'Annexe A  Plan RH'!CN96/'Annexe A  Plan RH'!CN$92</f>
        <v>0</v>
      </c>
      <c r="CA51" s="328">
        <f>1%*'Couts RH'!CA$5*'Annexe A  Plan RH'!CO96/'Annexe A  Plan RH'!CO$92</f>
        <v>0</v>
      </c>
      <c r="CB51" s="328">
        <f>1%*'Couts RH'!CB$5*'Annexe A  Plan RH'!CP96/'Annexe A  Plan RH'!CP$92</f>
        <v>0</v>
      </c>
      <c r="CC51" s="330">
        <f>1%*'Couts RH'!CC$5*'Annexe A  Plan RH'!CQ96/'Annexe A  Plan RH'!CQ$92</f>
        <v>0</v>
      </c>
    </row>
    <row r="52" spans="1:81" ht="14">
      <c r="A52" s="305" t="s">
        <v>187</v>
      </c>
      <c r="C52" s="40"/>
      <c r="I52" s="10"/>
      <c r="J52" s="328">
        <f>0.5%*'Couts RH'!J$5*'Annexe A  Plan RH'!X$96/'Annexe A  Plan RH'!X$92</f>
        <v>0</v>
      </c>
      <c r="K52" s="328">
        <f>0.5%*'Couts RH'!K$5*'Annexe A  Plan RH'!Y$96/'Annexe A  Plan RH'!Y$92</f>
        <v>0</v>
      </c>
      <c r="L52" s="328">
        <f>0.5%*'Couts RH'!L$5*'Annexe A  Plan RH'!Z$96/'Annexe A  Plan RH'!Z$92</f>
        <v>0</v>
      </c>
      <c r="M52" s="328">
        <f>0.5%*'Couts RH'!M$5*'Annexe A  Plan RH'!AA$96/'Annexe A  Plan RH'!AA$92</f>
        <v>0</v>
      </c>
      <c r="N52" s="328">
        <f>0.5%*'Couts RH'!N$5*'Annexe A  Plan RH'!AB$96/'Annexe A  Plan RH'!AB$92</f>
        <v>0</v>
      </c>
      <c r="O52" s="328">
        <f>0.5%*'Couts RH'!O$5*'Annexe A  Plan RH'!AC$96/'Annexe A  Plan RH'!AC$92</f>
        <v>0</v>
      </c>
      <c r="P52" s="328">
        <f>0.5%*'Couts RH'!P$5*'Annexe A  Plan RH'!AD$96/'Annexe A  Plan RH'!AD$92</f>
        <v>0</v>
      </c>
      <c r="Q52" s="328">
        <f>0.5%*'Couts RH'!Q$5*'Annexe A  Plan RH'!AE$96/'Annexe A  Plan RH'!AE$92</f>
        <v>0</v>
      </c>
      <c r="R52" s="328">
        <f>0.5%*'Couts RH'!R$5*'Annexe A  Plan RH'!AF$96/'Annexe A  Plan RH'!AF$92</f>
        <v>0</v>
      </c>
      <c r="S52" s="328">
        <f>0.5%*'Couts RH'!S$5*'Annexe A  Plan RH'!AG$96/'Annexe A  Plan RH'!AG$92</f>
        <v>0</v>
      </c>
      <c r="T52" s="328">
        <f>0.5%*'Couts RH'!T$5*'Annexe A  Plan RH'!AH$96/'Annexe A  Plan RH'!AH$92</f>
        <v>0</v>
      </c>
      <c r="U52" s="330">
        <f>0.5%*'Couts RH'!U$5*'Annexe A  Plan RH'!AI$96/'Annexe A  Plan RH'!AI$92</f>
        <v>0</v>
      </c>
      <c r="V52" s="329">
        <f>0.5%*'Couts RH'!V$5*'Annexe A  Plan RH'!AJ$96/'Annexe A  Plan RH'!AJ$92</f>
        <v>0</v>
      </c>
      <c r="W52" s="328">
        <f>0.5%*'Couts RH'!W$5*'Annexe A  Plan RH'!AK$96/'Annexe A  Plan RH'!AK$92</f>
        <v>0</v>
      </c>
      <c r="X52" s="328">
        <f>0.5%*'Couts RH'!X$5*'Annexe A  Plan RH'!AL$96/'Annexe A  Plan RH'!AL$92</f>
        <v>0</v>
      </c>
      <c r="Y52" s="328">
        <f>0.5%*'Couts RH'!Y$5*'Annexe A  Plan RH'!AM$96/'Annexe A  Plan RH'!AM$92</f>
        <v>0</v>
      </c>
      <c r="Z52" s="328">
        <f>0.5%*'Couts RH'!Z$5*'Annexe A  Plan RH'!AN$96/'Annexe A  Plan RH'!AN$92</f>
        <v>0</v>
      </c>
      <c r="AA52" s="328">
        <f>0.5%*'Couts RH'!AA$5*'Annexe A  Plan RH'!AO$96/'Annexe A  Plan RH'!AO$92</f>
        <v>0</v>
      </c>
      <c r="AB52" s="328">
        <f>0.5%*'Couts RH'!AB$5*'Annexe A  Plan RH'!AP$96/'Annexe A  Plan RH'!AP$92</f>
        <v>0</v>
      </c>
      <c r="AC52" s="328">
        <f>0.5%*'Couts RH'!AC$5*'Annexe A  Plan RH'!AQ$96/'Annexe A  Plan RH'!AQ$92</f>
        <v>0</v>
      </c>
      <c r="AD52" s="328">
        <f>0.5%*'Couts RH'!AD$5*'Annexe A  Plan RH'!AR$96/'Annexe A  Plan RH'!AR$92</f>
        <v>0</v>
      </c>
      <c r="AE52" s="328">
        <f>0.5%*'Couts RH'!AE$5*'Annexe A  Plan RH'!AS$96/'Annexe A  Plan RH'!AS$92</f>
        <v>0</v>
      </c>
      <c r="AF52" s="328">
        <f>0.5%*'Couts RH'!AF$5*'Annexe A  Plan RH'!AT$96/'Annexe A  Plan RH'!AT$92</f>
        <v>0</v>
      </c>
      <c r="AG52" s="330">
        <f>0.5%*'Couts RH'!AG$5*'Annexe A  Plan RH'!AU$96/'Annexe A  Plan RH'!AU$92</f>
        <v>0</v>
      </c>
      <c r="AH52" s="329">
        <f>0.5%*'Couts RH'!AH$5*'Annexe A  Plan RH'!AV$96/'Annexe A  Plan RH'!AV$92</f>
        <v>0</v>
      </c>
      <c r="AI52" s="328">
        <f>0.5%*'Couts RH'!AI$5*'Annexe A  Plan RH'!AW$96/'Annexe A  Plan RH'!AW$92</f>
        <v>0</v>
      </c>
      <c r="AJ52" s="328">
        <f>0.5%*'Couts RH'!AJ$5*'Annexe A  Plan RH'!AX$96/'Annexe A  Plan RH'!AX$92</f>
        <v>0</v>
      </c>
      <c r="AK52" s="328">
        <f>0.5%*'Couts RH'!AK$5*'Annexe A  Plan RH'!AY$96/'Annexe A  Plan RH'!AY$92</f>
        <v>0</v>
      </c>
      <c r="AL52" s="328">
        <f>0.5%*'Couts RH'!AL$5*'Annexe A  Plan RH'!AZ$96/'Annexe A  Plan RH'!AZ$92</f>
        <v>0</v>
      </c>
      <c r="AM52" s="328">
        <f>0.5%*'Couts RH'!AM$5*'Annexe A  Plan RH'!BA$96/'Annexe A  Plan RH'!BA$92</f>
        <v>0</v>
      </c>
      <c r="AN52" s="328">
        <f>0.5%*'Couts RH'!AN$5*'Annexe A  Plan RH'!BB$96/'Annexe A  Plan RH'!BB$92</f>
        <v>0</v>
      </c>
      <c r="AO52" s="328">
        <f>0.5%*'Couts RH'!AO$5*'Annexe A  Plan RH'!BC$96/'Annexe A  Plan RH'!BC$92</f>
        <v>0</v>
      </c>
      <c r="AP52" s="328">
        <f>0.5%*'Couts RH'!AP$5*'Annexe A  Plan RH'!BD$96/'Annexe A  Plan RH'!BD$92</f>
        <v>0</v>
      </c>
      <c r="AQ52" s="328">
        <f>0.5%*'Couts RH'!AQ$5*'Annexe A  Plan RH'!BE$96/'Annexe A  Plan RH'!BE$92</f>
        <v>0</v>
      </c>
      <c r="AR52" s="328">
        <f>0.5%*'Couts RH'!AR$5*'Annexe A  Plan RH'!BF$96/'Annexe A  Plan RH'!BF$92</f>
        <v>0</v>
      </c>
      <c r="AS52" s="328">
        <f>0.5%*'Couts RH'!AS$5*'Annexe A  Plan RH'!BG$96/'Annexe A  Plan RH'!BG$92</f>
        <v>0</v>
      </c>
      <c r="AT52" s="328">
        <f>0.5%*'Couts RH'!AT$5*'Annexe A  Plan RH'!BH$96/'Annexe A  Plan RH'!BH$92</f>
        <v>0</v>
      </c>
      <c r="AU52" s="328">
        <f>0.5%*'Couts RH'!AU$5*'Annexe A  Plan RH'!BI$96/'Annexe A  Plan RH'!BI$92</f>
        <v>0</v>
      </c>
      <c r="AV52" s="328">
        <f>0.5%*'Couts RH'!AV$5*'Annexe A  Plan RH'!BJ$96/'Annexe A  Plan RH'!BJ$92</f>
        <v>0</v>
      </c>
      <c r="AW52" s="328">
        <f>0.5%*'Couts RH'!AW$5*'Annexe A  Plan RH'!BK$96/'Annexe A  Plan RH'!BK$92</f>
        <v>0</v>
      </c>
      <c r="AX52" s="328">
        <f>0.5%*'Couts RH'!AX$5*'Annexe A  Plan RH'!BL$96/'Annexe A  Plan RH'!BL$92</f>
        <v>0</v>
      </c>
      <c r="AY52" s="328">
        <f>0.5%*'Couts RH'!AY$5*'Annexe A  Plan RH'!BM$96/'Annexe A  Plan RH'!BM$92</f>
        <v>0</v>
      </c>
      <c r="AZ52" s="328">
        <f>0.5%*'Couts RH'!AZ$5*'Annexe A  Plan RH'!BN$96/'Annexe A  Plan RH'!BN$92</f>
        <v>0</v>
      </c>
      <c r="BA52" s="328">
        <f>0.5%*'Couts RH'!BA$5*'Annexe A  Plan RH'!BO$96/'Annexe A  Plan RH'!BO$92</f>
        <v>0</v>
      </c>
      <c r="BB52" s="328">
        <f>0.5%*'Couts RH'!BB$5*'Annexe A  Plan RH'!BP$96/'Annexe A  Plan RH'!BP$92</f>
        <v>0</v>
      </c>
      <c r="BC52" s="328">
        <f>0.5%*'Couts RH'!BC$5*'Annexe A  Plan RH'!BQ$96/'Annexe A  Plan RH'!BQ$92</f>
        <v>0</v>
      </c>
      <c r="BD52" s="328">
        <f>0.5%*'Couts RH'!BD$5*'Annexe A  Plan RH'!BR$96/'Annexe A  Plan RH'!BR$92</f>
        <v>0</v>
      </c>
      <c r="BE52" s="328">
        <f>0.5%*'Couts RH'!BE$5*'Annexe A  Plan RH'!BS$96/'Annexe A  Plan RH'!BS$92</f>
        <v>0</v>
      </c>
      <c r="BF52" s="329">
        <f>0.5%*'Couts RH'!BF$5*'Annexe A  Plan RH'!BT$96/'Annexe A  Plan RH'!BT$92</f>
        <v>0</v>
      </c>
      <c r="BG52" s="328">
        <f>0.5%*'Couts RH'!BG$5*'Annexe A  Plan RH'!BU$96/'Annexe A  Plan RH'!BU$92</f>
        <v>0</v>
      </c>
      <c r="BH52" s="328">
        <f>0.5%*'Couts RH'!BH$5*'Annexe A  Plan RH'!BV$96/'Annexe A  Plan RH'!BV$92</f>
        <v>0</v>
      </c>
      <c r="BI52" s="328">
        <f>0.5%*'Couts RH'!BI$5*'Annexe A  Plan RH'!BW$96/'Annexe A  Plan RH'!BW$92</f>
        <v>0</v>
      </c>
      <c r="BJ52" s="328">
        <f>0.5%*'Couts RH'!BJ$5*'Annexe A  Plan RH'!BX$96/'Annexe A  Plan RH'!BX$92</f>
        <v>0</v>
      </c>
      <c r="BK52" s="328">
        <f>0.5%*'Couts RH'!BK$5*'Annexe A  Plan RH'!BY$96/'Annexe A  Plan RH'!BY$92</f>
        <v>0</v>
      </c>
      <c r="BL52" s="328">
        <f>0.5%*'Couts RH'!BL$5*'Annexe A  Plan RH'!BZ$96/'Annexe A  Plan RH'!BZ$92</f>
        <v>0</v>
      </c>
      <c r="BM52" s="328">
        <f>0.5%*'Couts RH'!BM$5*'Annexe A  Plan RH'!CA$96/'Annexe A  Plan RH'!CA$92</f>
        <v>0</v>
      </c>
      <c r="BN52" s="328">
        <f>0.5%*'Couts RH'!BN$5*'Annexe A  Plan RH'!CB$96/'Annexe A  Plan RH'!CB$92</f>
        <v>0</v>
      </c>
      <c r="BO52" s="328">
        <f>0.5%*'Couts RH'!BO$5*'Annexe A  Plan RH'!CC$96/'Annexe A  Plan RH'!CC$92</f>
        <v>0</v>
      </c>
      <c r="BP52" s="328">
        <f>0.5%*'Couts RH'!BP$5*'Annexe A  Plan RH'!CD$96/'Annexe A  Plan RH'!CD$92</f>
        <v>0</v>
      </c>
      <c r="BQ52" s="330">
        <f>0.5%*'Couts RH'!BQ$5*'Annexe A  Plan RH'!CE$96/'Annexe A  Plan RH'!CE$92</f>
        <v>0</v>
      </c>
      <c r="BR52" s="329">
        <f>0.5%*'Couts RH'!BR$5*'Annexe A  Plan RH'!CF$96/'Annexe A  Plan RH'!CF$92</f>
        <v>0</v>
      </c>
      <c r="BS52" s="328">
        <f>0.5%*'Couts RH'!BS$5*'Annexe A  Plan RH'!CG$96/'Annexe A  Plan RH'!CG$92</f>
        <v>0</v>
      </c>
      <c r="BT52" s="328">
        <f>0.5%*'Couts RH'!BT$5*'Annexe A  Plan RH'!CH$96/'Annexe A  Plan RH'!CH$92</f>
        <v>0</v>
      </c>
      <c r="BU52" s="328">
        <f>0.5%*'Couts RH'!BU$5*'Annexe A  Plan RH'!CI$96/'Annexe A  Plan RH'!CI$92</f>
        <v>0</v>
      </c>
      <c r="BV52" s="328">
        <f>0.5%*'Couts RH'!BV$5*'Annexe A  Plan RH'!CJ$96/'Annexe A  Plan RH'!CJ$92</f>
        <v>0</v>
      </c>
      <c r="BW52" s="328">
        <f>0.5%*'Couts RH'!BW$5*'Annexe A  Plan RH'!CK$96/'Annexe A  Plan RH'!CK$92</f>
        <v>0</v>
      </c>
      <c r="BX52" s="328">
        <f>0.5%*'Couts RH'!BX$5*'Annexe A  Plan RH'!CL$96/'Annexe A  Plan RH'!CL$92</f>
        <v>0</v>
      </c>
      <c r="BY52" s="328">
        <f>0.5%*'Couts RH'!BY$5*'Annexe A  Plan RH'!CM$96/'Annexe A  Plan RH'!CM$92</f>
        <v>0</v>
      </c>
      <c r="BZ52" s="328">
        <f>0.5%*'Couts RH'!BZ$5*'Annexe A  Plan RH'!CN$96/'Annexe A  Plan RH'!CN$92</f>
        <v>0</v>
      </c>
      <c r="CA52" s="328">
        <f>0.5%*'Couts RH'!CA$5*'Annexe A  Plan RH'!CO$96/'Annexe A  Plan RH'!CO$92</f>
        <v>0</v>
      </c>
      <c r="CB52" s="328">
        <f>0.5%*'Couts RH'!CB$5*'Annexe A  Plan RH'!CP$96/'Annexe A  Plan RH'!CP$92</f>
        <v>0</v>
      </c>
      <c r="CC52" s="330">
        <f>0.5%*'Couts RH'!CC$5*'Annexe A  Plan RH'!CQ$96/'Annexe A  Plan RH'!CQ$92</f>
        <v>0</v>
      </c>
    </row>
    <row r="53" spans="1:81" ht="14">
      <c r="A53" s="305" t="s">
        <v>188</v>
      </c>
      <c r="C53" s="40"/>
      <c r="I53" s="10"/>
      <c r="J53" s="40"/>
      <c r="U53" s="10"/>
      <c r="V53" s="40"/>
      <c r="AG53" s="10"/>
      <c r="AH53" s="40"/>
      <c r="AS53" s="130">
        <f>-'Annexe A  Plan RH'!AZ96*Hypothèses!$B$98</f>
        <v>0</v>
      </c>
      <c r="AT53" s="130">
        <f>-'Annexe A  Plan RH'!BA96*Hypothèses!$B$98</f>
        <v>0</v>
      </c>
      <c r="AU53" s="130">
        <f>-'Annexe A  Plan RH'!BB96*Hypothèses!$B$98</f>
        <v>0</v>
      </c>
      <c r="AV53" s="130">
        <f>-'Annexe A  Plan RH'!BC96*Hypothèses!$B$98</f>
        <v>0</v>
      </c>
      <c r="AW53" s="130">
        <f>-'Annexe A  Plan RH'!BD96*Hypothèses!$B$98</f>
        <v>0</v>
      </c>
      <c r="AX53" s="130">
        <f>-'Annexe A  Plan RH'!BE96*Hypothèses!$B$98</f>
        <v>0</v>
      </c>
      <c r="AY53" s="130">
        <f>-'Annexe A  Plan RH'!BF96*Hypothèses!$B$98</f>
        <v>0</v>
      </c>
      <c r="AZ53" s="130">
        <f>-'Annexe A  Plan RH'!BG96*Hypothèses!$B$98</f>
        <v>0</v>
      </c>
      <c r="BA53" s="130">
        <f>-'Annexe A  Plan RH'!BH96*Hypothèses!$B$98</f>
        <v>0</v>
      </c>
      <c r="BB53" s="130">
        <f>-'Annexe A  Plan RH'!BI96*Hypothèses!$B$98</f>
        <v>0</v>
      </c>
      <c r="BC53" s="130">
        <f>-'Annexe A  Plan RH'!BJ96*Hypothèses!$B$98</f>
        <v>0</v>
      </c>
      <c r="BD53" s="130">
        <f>-'Annexe A  Plan RH'!BK96*Hypothèses!$B$98</f>
        <v>0</v>
      </c>
      <c r="BE53" s="130">
        <f>-'Annexe A  Plan RH'!BL96*Hypothèses!$B$98</f>
        <v>0</v>
      </c>
      <c r="BF53" s="129">
        <f>-'Annexe A  Plan RH'!BM96*Hypothèses!$B$98</f>
        <v>0</v>
      </c>
      <c r="BG53" s="130">
        <f>-'Annexe A  Plan RH'!BN96*Hypothèses!$B$98</f>
        <v>0</v>
      </c>
      <c r="BH53" s="130">
        <f>-'Annexe A  Plan RH'!BO96*Hypothèses!$B$98</f>
        <v>0</v>
      </c>
      <c r="BI53" s="130">
        <f>-'Annexe A  Plan RH'!BP96*Hypothèses!$B$98</f>
        <v>0</v>
      </c>
      <c r="BJ53" s="130">
        <f>-'Annexe A  Plan RH'!BQ96*Hypothèses!$B$98</f>
        <v>0</v>
      </c>
      <c r="BK53" s="130">
        <f>-'Annexe A  Plan RH'!BR96*Hypothèses!$B$98</f>
        <v>0</v>
      </c>
      <c r="BL53" s="130">
        <f>-'Annexe A  Plan RH'!BS96*Hypothèses!$B$98</f>
        <v>0</v>
      </c>
      <c r="BM53" s="130">
        <f>-'Annexe A  Plan RH'!BT96*Hypothèses!$B$98</f>
        <v>0</v>
      </c>
      <c r="BN53" s="130">
        <f>-'Annexe A  Plan RH'!BU96*Hypothèses!$B$98</f>
        <v>0</v>
      </c>
      <c r="BO53" s="130">
        <f>-'Annexe A  Plan RH'!BV96*Hypothèses!$B$98</f>
        <v>0</v>
      </c>
      <c r="BP53" s="130">
        <f>-'Annexe A  Plan RH'!BW96*Hypothèses!$B$98</f>
        <v>0</v>
      </c>
      <c r="BQ53" s="131">
        <f>-'Annexe A  Plan RH'!BX96*Hypothèses!$B$98</f>
        <v>0</v>
      </c>
      <c r="BR53" s="129">
        <f>-'Annexe A  Plan RH'!BY96*Hypothèses!$B$98</f>
        <v>0</v>
      </c>
      <c r="BS53" s="130">
        <f>-'Annexe A  Plan RH'!BZ96*Hypothèses!$B$98</f>
        <v>0</v>
      </c>
      <c r="BT53" s="130">
        <f>-'Annexe A  Plan RH'!CA96*Hypothèses!$B$98</f>
        <v>0</v>
      </c>
      <c r="BU53" s="130">
        <f>-'Annexe A  Plan RH'!CB96*Hypothèses!$B$98</f>
        <v>0</v>
      </c>
      <c r="BV53" s="130">
        <f>-'Annexe A  Plan RH'!CC96*Hypothèses!$B$98</f>
        <v>0</v>
      </c>
      <c r="BW53" s="130">
        <f>-'Annexe A  Plan RH'!CD96*Hypothèses!$B$98</f>
        <v>0</v>
      </c>
      <c r="BX53" s="130">
        <f>-'Annexe A  Plan RH'!CE96*Hypothèses!$B$98</f>
        <v>0</v>
      </c>
      <c r="BY53" s="130">
        <f>-'Annexe A  Plan RH'!CF96*Hypothèses!$B$98</f>
        <v>0</v>
      </c>
      <c r="BZ53" s="130">
        <f>-'Annexe A  Plan RH'!CG96*Hypothèses!$B$98</f>
        <v>0</v>
      </c>
      <c r="CA53" s="130">
        <f>-'Annexe A  Plan RH'!CH96*Hypothèses!$B$98</f>
        <v>0</v>
      </c>
      <c r="CB53" s="130">
        <f>-'Annexe A  Plan RH'!CI96*Hypothèses!$B$98</f>
        <v>0</v>
      </c>
      <c r="CC53" s="131">
        <f>-'Annexe A  Plan RH'!CJ96*Hypothèses!$B$98</f>
        <v>0</v>
      </c>
    </row>
    <row r="54" spans="1:81" ht="14">
      <c r="A54" s="305" t="s">
        <v>189</v>
      </c>
      <c r="C54" s="40"/>
      <c r="I54" s="10"/>
      <c r="J54" s="40"/>
      <c r="U54" s="10"/>
      <c r="V54" s="40"/>
      <c r="AG54" s="10"/>
      <c r="AH54" s="40"/>
      <c r="AS54" s="328">
        <f>-'Annexe A  Plan RH'!BG96*Hypothèses!$B$99</f>
        <v>0</v>
      </c>
      <c r="AT54" s="328">
        <f>-'Annexe A  Plan RH'!BH96*Hypothèses!$B$99</f>
        <v>0</v>
      </c>
      <c r="AU54" s="328">
        <f>-'Annexe A  Plan RH'!BI96*Hypothèses!$B$99</f>
        <v>0</v>
      </c>
      <c r="AV54" s="328">
        <f>-'Annexe A  Plan RH'!BJ96*Hypothèses!$B$99</f>
        <v>0</v>
      </c>
      <c r="AW54" s="328">
        <f>-'Annexe A  Plan RH'!BK96*Hypothèses!$B$99</f>
        <v>0</v>
      </c>
      <c r="AX54" s="328">
        <f>-'Annexe A  Plan RH'!BL96*Hypothèses!$B$99</f>
        <v>0</v>
      </c>
      <c r="AY54" s="328">
        <f>-'Annexe A  Plan RH'!BM96*Hypothèses!$B$99</f>
        <v>0</v>
      </c>
      <c r="AZ54" s="328">
        <f>-'Annexe A  Plan RH'!BN96*Hypothèses!$B$99</f>
        <v>0</v>
      </c>
      <c r="BA54" s="328">
        <f>-'Annexe A  Plan RH'!BO96*Hypothèses!$B$99</f>
        <v>0</v>
      </c>
      <c r="BB54" s="328">
        <f>-'Annexe A  Plan RH'!BP96*Hypothèses!$B$99</f>
        <v>0</v>
      </c>
      <c r="BC54" s="328">
        <f>-'Annexe A  Plan RH'!BQ96*Hypothèses!$B$99</f>
        <v>0</v>
      </c>
      <c r="BD54" s="328">
        <f>-'Annexe A  Plan RH'!BR96*Hypothèses!$B$99</f>
        <v>0</v>
      </c>
      <c r="BE54" s="328">
        <f>-'Annexe A  Plan RH'!BS96*Hypothèses!$B$99</f>
        <v>0</v>
      </c>
      <c r="BF54" s="329">
        <f>-'Annexe A  Plan RH'!BT96*Hypothèses!$B$99</f>
        <v>0</v>
      </c>
      <c r="BG54" s="328">
        <f>-'Annexe A  Plan RH'!BU96*Hypothèses!$B$99</f>
        <v>0</v>
      </c>
      <c r="BH54" s="328">
        <f>-'Annexe A  Plan RH'!BV96*Hypothèses!$B$99</f>
        <v>0</v>
      </c>
      <c r="BI54" s="328">
        <f>-'Annexe A  Plan RH'!BW96*Hypothèses!$B$99</f>
        <v>0</v>
      </c>
      <c r="BJ54" s="328">
        <f>-'Annexe A  Plan RH'!BX96*Hypothèses!$B$99</f>
        <v>0</v>
      </c>
      <c r="BK54" s="328">
        <f>-'Annexe A  Plan RH'!BY96*Hypothèses!$B$99</f>
        <v>0</v>
      </c>
      <c r="BL54" s="328">
        <f>-'Annexe A  Plan RH'!BZ96*Hypothèses!$B$99</f>
        <v>0</v>
      </c>
      <c r="BM54" s="328">
        <f>-'Annexe A  Plan RH'!CA96*Hypothèses!$B$99</f>
        <v>0</v>
      </c>
      <c r="BN54" s="328">
        <f>-'Annexe A  Plan RH'!CB96*Hypothèses!$B$99</f>
        <v>0</v>
      </c>
      <c r="BO54" s="328">
        <f>-'Annexe A  Plan RH'!CC96*Hypothèses!$B$99</f>
        <v>0</v>
      </c>
      <c r="BP54" s="328">
        <f>-'Annexe A  Plan RH'!CD96*Hypothèses!$B$99</f>
        <v>0</v>
      </c>
      <c r="BQ54" s="330">
        <f>-'Annexe A  Plan RH'!CE96*Hypothèses!$B$99</f>
        <v>0</v>
      </c>
      <c r="BR54" s="329">
        <f>-'Annexe A  Plan RH'!CF96*Hypothèses!$B$99</f>
        <v>0</v>
      </c>
      <c r="BS54" s="328">
        <f>-'Annexe A  Plan RH'!CG96*Hypothèses!$B$99</f>
        <v>0</v>
      </c>
      <c r="BT54" s="328">
        <f>-'Annexe A  Plan RH'!CH96*Hypothèses!$B$99</f>
        <v>0</v>
      </c>
      <c r="BU54" s="328">
        <f>-'Annexe A  Plan RH'!CI96*Hypothèses!$B$99</f>
        <v>0</v>
      </c>
      <c r="BV54" s="328">
        <f>-'Annexe A  Plan RH'!CJ96*Hypothèses!$B$99</f>
        <v>0</v>
      </c>
      <c r="BW54" s="328">
        <f>-'Annexe A  Plan RH'!CK96*Hypothèses!$B$99</f>
        <v>0</v>
      </c>
      <c r="BX54" s="328">
        <f>-'Annexe A  Plan RH'!CL96*Hypothèses!$B$99</f>
        <v>0</v>
      </c>
      <c r="BY54" s="328">
        <f>-'Annexe A  Plan RH'!CM96*Hypothèses!$B$99</f>
        <v>0</v>
      </c>
      <c r="BZ54" s="328">
        <f>-'Annexe A  Plan RH'!CN96*Hypothèses!$B$99</f>
        <v>0</v>
      </c>
      <c r="CA54" s="328">
        <f>-'Annexe A  Plan RH'!CO96*Hypothèses!$B$99</f>
        <v>0</v>
      </c>
      <c r="CB54" s="328">
        <f>-'Annexe A  Plan RH'!CP96*Hypothèses!$B$99</f>
        <v>0</v>
      </c>
      <c r="CC54" s="330">
        <f>-'Annexe A  Plan RH'!CQ96*Hypothèses!$B$99</f>
        <v>0</v>
      </c>
    </row>
    <row r="55" spans="1:81" ht="14">
      <c r="A55" s="305" t="s">
        <v>190</v>
      </c>
      <c r="C55" s="40"/>
      <c r="I55" s="10"/>
      <c r="J55" s="40"/>
      <c r="U55" s="10"/>
      <c r="V55" s="40"/>
      <c r="AG55" s="10"/>
      <c r="AH55" s="40"/>
      <c r="AI55" s="130">
        <f>-'Annexe A  Plan RH'!AW96*Hypothèses!$B$98</f>
        <v>0</v>
      </c>
      <c r="AJ55" s="130">
        <f>-'Annexe A  Plan RH'!AX96*Hypothèses!$B$98</f>
        <v>0</v>
      </c>
      <c r="AK55" s="130">
        <f>-'Annexe A  Plan RH'!AY96*Hypothèses!$B$98</f>
        <v>0</v>
      </c>
      <c r="AL55" s="130">
        <f>-'Annexe A  Plan RH'!AZ96*Hypothèses!$B$98</f>
        <v>0</v>
      </c>
      <c r="AM55" s="130">
        <f>-'Annexe A  Plan RH'!BA96*Hypothèses!$B$98</f>
        <v>0</v>
      </c>
      <c r="AN55" s="130">
        <f>-'Annexe A  Plan RH'!BB96*Hypothèses!$B$98</f>
        <v>0</v>
      </c>
      <c r="AO55" s="130">
        <f>-'Annexe A  Plan RH'!BC96*Hypothèses!$B$98</f>
        <v>0</v>
      </c>
      <c r="AP55" s="130">
        <f>-'Annexe A  Plan RH'!BD96*Hypothèses!$B$98</f>
        <v>0</v>
      </c>
      <c r="AQ55" s="130">
        <f>-'Annexe A  Plan RH'!BE96*Hypothèses!$B$98</f>
        <v>0</v>
      </c>
      <c r="AR55" s="130">
        <f>-'Annexe A  Plan RH'!BF96*Hypothèses!$B$98</f>
        <v>0</v>
      </c>
      <c r="AS55" s="130">
        <f>-'Annexe A  Plan RH'!BG96*Hypothèses!$B$98</f>
        <v>0</v>
      </c>
      <c r="AT55" s="130">
        <f>-'Annexe A  Plan RH'!BH96*Hypothèses!$B$98</f>
        <v>0</v>
      </c>
      <c r="AU55" s="130">
        <f>-'Annexe A  Plan RH'!BI96*Hypothèses!$B$98</f>
        <v>0</v>
      </c>
      <c r="AV55" s="130">
        <f>-'Annexe A  Plan RH'!BJ96*Hypothèses!$B$98</f>
        <v>0</v>
      </c>
      <c r="AW55" s="130">
        <f>-'Annexe A  Plan RH'!BK96*Hypothèses!$B$98</f>
        <v>0</v>
      </c>
      <c r="AX55" s="130">
        <f>-'Annexe A  Plan RH'!BL96*Hypothèses!$B$98</f>
        <v>0</v>
      </c>
      <c r="AY55" s="130">
        <f>-'Annexe A  Plan RH'!BM96*Hypothèses!$B$98</f>
        <v>0</v>
      </c>
      <c r="AZ55" s="130">
        <f>-'Annexe A  Plan RH'!BN96*Hypothèses!$B$98</f>
        <v>0</v>
      </c>
      <c r="BA55" s="130">
        <f>-'Annexe A  Plan RH'!BO96*Hypothèses!$B$98</f>
        <v>0</v>
      </c>
      <c r="BB55" s="130">
        <f>-'Annexe A  Plan RH'!BP96*Hypothèses!$B$98</f>
        <v>0</v>
      </c>
      <c r="BC55" s="130">
        <f>-'Annexe A  Plan RH'!BQ96*Hypothèses!$B$98</f>
        <v>0</v>
      </c>
      <c r="BD55" s="130">
        <f>-'Annexe A  Plan RH'!BR96*Hypothèses!$B$98</f>
        <v>0</v>
      </c>
      <c r="BE55" s="130">
        <f>-'Annexe A  Plan RH'!BS96*Hypothèses!$B$98</f>
        <v>0</v>
      </c>
      <c r="BF55" s="129">
        <f>-'Annexe A  Plan RH'!BT96*Hypothèses!$B$98</f>
        <v>0</v>
      </c>
      <c r="BG55" s="130">
        <f>-'Annexe A  Plan RH'!BU96*Hypothèses!$B$98</f>
        <v>0</v>
      </c>
      <c r="BH55" s="130">
        <f>-'Annexe A  Plan RH'!BV96*Hypothèses!$B$98</f>
        <v>0</v>
      </c>
      <c r="BI55" s="130">
        <f>-'Annexe A  Plan RH'!BW96*Hypothèses!$B$98</f>
        <v>0</v>
      </c>
      <c r="BJ55" s="130">
        <f>-'Annexe A  Plan RH'!BX96*Hypothèses!$B$98</f>
        <v>0</v>
      </c>
      <c r="BK55" s="130">
        <f>-'Annexe A  Plan RH'!BY96*Hypothèses!$B$98</f>
        <v>0</v>
      </c>
      <c r="BL55" s="130">
        <f>-'Annexe A  Plan RH'!BZ96*Hypothèses!$B$98</f>
        <v>0</v>
      </c>
      <c r="BM55" s="130">
        <f>-'Annexe A  Plan RH'!CA96*Hypothèses!$B$98</f>
        <v>0</v>
      </c>
      <c r="BN55" s="130">
        <f>-'Annexe A  Plan RH'!CB96*Hypothèses!$B$98</f>
        <v>0</v>
      </c>
      <c r="BO55" s="130">
        <f>-'Annexe A  Plan RH'!CC96*Hypothèses!$B$98</f>
        <v>0</v>
      </c>
      <c r="BP55" s="130">
        <f>-'Annexe A  Plan RH'!CD96*Hypothèses!$B$98</f>
        <v>0</v>
      </c>
      <c r="BQ55" s="131">
        <f>-'Annexe A  Plan RH'!CE96*Hypothèses!$B$98</f>
        <v>0</v>
      </c>
      <c r="BR55" s="129">
        <f>-'Annexe A  Plan RH'!CF96*Hypothèses!$B$98</f>
        <v>0</v>
      </c>
      <c r="BS55" s="130">
        <f>-'Annexe A  Plan RH'!CG96*Hypothèses!$B$98</f>
        <v>0</v>
      </c>
      <c r="BT55" s="130">
        <f>-'Annexe A  Plan RH'!CH96*Hypothèses!$B$98</f>
        <v>0</v>
      </c>
      <c r="BU55" s="130">
        <f>-'Annexe A  Plan RH'!CI96*Hypothèses!$B$98</f>
        <v>0</v>
      </c>
      <c r="BV55" s="130">
        <f>-'Annexe A  Plan RH'!CJ96*Hypothèses!$B$98</f>
        <v>0</v>
      </c>
      <c r="BW55" s="130">
        <f>-'Annexe A  Plan RH'!CK96*Hypothèses!$B$98</f>
        <v>0</v>
      </c>
      <c r="BX55" s="130">
        <f>-'Annexe A  Plan RH'!CL96*Hypothèses!$B$98</f>
        <v>0</v>
      </c>
      <c r="BY55" s="130">
        <f>-'Annexe A  Plan RH'!CM96*Hypothèses!$B$98</f>
        <v>0</v>
      </c>
      <c r="BZ55" s="130">
        <f>-'Annexe A  Plan RH'!CN96*Hypothèses!$B$98</f>
        <v>0</v>
      </c>
      <c r="CA55" s="130">
        <f>-'Annexe A  Plan RH'!CO96*Hypothèses!$B$98</f>
        <v>0</v>
      </c>
      <c r="CB55" s="130">
        <f>-'Annexe A  Plan RH'!CP96*Hypothèses!$B$98</f>
        <v>0</v>
      </c>
      <c r="CC55" s="131">
        <f>-'Annexe A  Plan RH'!CQ96*Hypothèses!$B$98</f>
        <v>0</v>
      </c>
    </row>
    <row r="56" spans="1:81" ht="14">
      <c r="A56" s="305" t="s">
        <v>191</v>
      </c>
      <c r="C56" s="40"/>
      <c r="I56" s="10"/>
      <c r="J56" s="40"/>
      <c r="U56" s="10"/>
      <c r="V56" s="40"/>
      <c r="AG56" s="10"/>
      <c r="AH56" s="40"/>
      <c r="AS56" s="130">
        <f>-Hypothèses!$F$64/12</f>
        <v>0</v>
      </c>
      <c r="AT56" s="130">
        <f>-Hypothèses!$F$64/12</f>
        <v>0</v>
      </c>
      <c r="AU56" s="130">
        <f>-Hypothèses!$F$64/12</f>
        <v>0</v>
      </c>
      <c r="AV56" s="130">
        <f>-Hypothèses!$F$64/12</f>
        <v>0</v>
      </c>
      <c r="AW56" s="130">
        <f>-Hypothèses!$F$64/12</f>
        <v>0</v>
      </c>
      <c r="AX56" s="130">
        <f>-Hypothèses!$F$64/12</f>
        <v>0</v>
      </c>
      <c r="AY56" s="130">
        <f>-Hypothèses!$F$64/12</f>
        <v>0</v>
      </c>
      <c r="AZ56" s="130">
        <f>-Hypothèses!$F$64/12</f>
        <v>0</v>
      </c>
      <c r="BA56" s="130">
        <f>-Hypothèses!$F$64/12</f>
        <v>0</v>
      </c>
      <c r="BB56" s="130">
        <f>-Hypothèses!$F$64/12</f>
        <v>0</v>
      </c>
      <c r="BC56" s="130">
        <f>-Hypothèses!$F$64/12</f>
        <v>0</v>
      </c>
      <c r="BD56" s="130">
        <f>-Hypothèses!$F$64/12</f>
        <v>0</v>
      </c>
      <c r="BE56" s="130">
        <f>-Hypothèses!$F$64/12</f>
        <v>0</v>
      </c>
      <c r="BF56" s="129">
        <f>-Hypothèses!$G$64/12</f>
        <v>0</v>
      </c>
      <c r="BG56" s="130">
        <f>-Hypothèses!$G$64/12</f>
        <v>0</v>
      </c>
      <c r="BH56" s="130">
        <f>-Hypothèses!$G$64/12</f>
        <v>0</v>
      </c>
      <c r="BI56" s="130">
        <f>-Hypothèses!$G$64/12</f>
        <v>0</v>
      </c>
      <c r="BJ56" s="130">
        <f>-Hypothèses!$G$64/12</f>
        <v>0</v>
      </c>
      <c r="BK56" s="130">
        <f>-Hypothèses!$G$64/12</f>
        <v>0</v>
      </c>
      <c r="BL56" s="130">
        <f>-Hypothèses!$G$64/12</f>
        <v>0</v>
      </c>
      <c r="BM56" s="130">
        <f>-Hypothèses!$G$64/12</f>
        <v>0</v>
      </c>
      <c r="BN56" s="130">
        <f>-Hypothèses!$G$64/12</f>
        <v>0</v>
      </c>
      <c r="BO56" s="130">
        <f>-Hypothèses!$G$64/12</f>
        <v>0</v>
      </c>
      <c r="BP56" s="130">
        <f>-Hypothèses!$G$64/12</f>
        <v>0</v>
      </c>
      <c r="BQ56" s="131">
        <f>-Hypothèses!$G$64/12</f>
        <v>0</v>
      </c>
      <c r="BR56" s="129">
        <f>-Hypothèses!$H$64/12</f>
        <v>0</v>
      </c>
      <c r="BS56" s="130">
        <f>-Hypothèses!$H$64/12</f>
        <v>0</v>
      </c>
      <c r="BT56" s="130">
        <f>-Hypothèses!$H$64/12</f>
        <v>0</v>
      </c>
      <c r="BU56" s="130">
        <f>-Hypothèses!$H$64/12</f>
        <v>0</v>
      </c>
      <c r="BV56" s="130">
        <f>-Hypothèses!$H$64/12</f>
        <v>0</v>
      </c>
      <c r="BW56" s="130">
        <f>-Hypothèses!$H$64/12</f>
        <v>0</v>
      </c>
      <c r="BX56" s="130">
        <f>-Hypothèses!$H$64/12</f>
        <v>0</v>
      </c>
      <c r="BY56" s="130">
        <f>-Hypothèses!$H$64/12</f>
        <v>0</v>
      </c>
      <c r="BZ56" s="130">
        <f>-Hypothèses!$H$64/12</f>
        <v>0</v>
      </c>
      <c r="CA56" s="130">
        <f>-Hypothèses!$H$64/12</f>
        <v>0</v>
      </c>
      <c r="CB56" s="130">
        <f>-Hypothèses!$H$64/12</f>
        <v>0</v>
      </c>
      <c r="CC56" s="131">
        <f>-Hypothèses!$H$64/12</f>
        <v>0</v>
      </c>
    </row>
    <row r="57" spans="1:81" ht="14">
      <c r="A57" s="305" t="s">
        <v>198</v>
      </c>
      <c r="C57" s="40"/>
      <c r="I57" s="10"/>
      <c r="J57" s="328">
        <f>0.5%*'Couts RH'!J$5*'Annexe A  Plan RH'!X$96/'Annexe A  Plan RH'!X$92</f>
        <v>0</v>
      </c>
      <c r="K57" s="328">
        <f>0.5%*'Couts RH'!K$5*'Annexe A  Plan RH'!Y$96/'Annexe A  Plan RH'!Y$92</f>
        <v>0</v>
      </c>
      <c r="L57" s="328">
        <f>0.5%*'Couts RH'!L$5*'Annexe A  Plan RH'!Z$96/'Annexe A  Plan RH'!Z$92</f>
        <v>0</v>
      </c>
      <c r="M57" s="328">
        <f>0.5%*'Couts RH'!M$5*'Annexe A  Plan RH'!AA$96/'Annexe A  Plan RH'!AA$92</f>
        <v>0</v>
      </c>
      <c r="N57" s="328">
        <f>0.5%*'Couts RH'!N$5*'Annexe A  Plan RH'!AB$96/'Annexe A  Plan RH'!AB$92</f>
        <v>0</v>
      </c>
      <c r="O57" s="328">
        <f>0.5%*'Couts RH'!O$5*'Annexe A  Plan RH'!AC$96/'Annexe A  Plan RH'!AC$92</f>
        <v>0</v>
      </c>
      <c r="P57" s="328">
        <f>0.5%*'Couts RH'!P$5*'Annexe A  Plan RH'!AD$96/'Annexe A  Plan RH'!AD$92</f>
        <v>0</v>
      </c>
      <c r="Q57" s="328">
        <f>0.5%*'Couts RH'!Q$5*'Annexe A  Plan RH'!AE$96/'Annexe A  Plan RH'!AE$92</f>
        <v>0</v>
      </c>
      <c r="R57" s="328">
        <f>0.5%*'Couts RH'!R$5*'Annexe A  Plan RH'!AF$96/'Annexe A  Plan RH'!AF$92</f>
        <v>0</v>
      </c>
      <c r="S57" s="328">
        <f>0.5%*'Couts RH'!S$5*'Annexe A  Plan RH'!AG$96/'Annexe A  Plan RH'!AG$92</f>
        <v>0</v>
      </c>
      <c r="T57" s="328">
        <f>0.5%*'Couts RH'!T$5*'Annexe A  Plan RH'!AH$96/'Annexe A  Plan RH'!AH$92</f>
        <v>0</v>
      </c>
      <c r="U57" s="330">
        <f>0.5%*'Couts RH'!U$5*'Annexe A  Plan RH'!AI$96/'Annexe A  Plan RH'!AI$92</f>
        <v>0</v>
      </c>
      <c r="V57" s="329">
        <f>0.5%*'Couts RH'!V$5*'Annexe A  Plan RH'!AJ$96/'Annexe A  Plan RH'!AJ$92</f>
        <v>0</v>
      </c>
      <c r="W57" s="328">
        <f>0.5%*'Couts RH'!W$5*'Annexe A  Plan RH'!AK$96/'Annexe A  Plan RH'!AK$92</f>
        <v>0</v>
      </c>
      <c r="X57" s="328">
        <f>0.5%*'Couts RH'!X$5*'Annexe A  Plan RH'!AL$96/'Annexe A  Plan RH'!AL$92</f>
        <v>0</v>
      </c>
      <c r="Y57" s="328">
        <f>0.5%*'Couts RH'!Y$5*'Annexe A  Plan RH'!AM$96/'Annexe A  Plan RH'!AM$92</f>
        <v>0</v>
      </c>
      <c r="Z57" s="328">
        <f>0.5%*'Couts RH'!Z$5*'Annexe A  Plan RH'!AN$96/'Annexe A  Plan RH'!AN$92</f>
        <v>0</v>
      </c>
      <c r="AA57" s="328">
        <f>0.5%*'Couts RH'!AA$5*'Annexe A  Plan RH'!AO$96/'Annexe A  Plan RH'!AO$92</f>
        <v>0</v>
      </c>
      <c r="AB57" s="328">
        <f>0.5%*'Couts RH'!AB$5*'Annexe A  Plan RH'!AP$96/'Annexe A  Plan RH'!AP$92</f>
        <v>0</v>
      </c>
      <c r="AC57" s="328">
        <f>0.5%*'Couts RH'!AC$5*'Annexe A  Plan RH'!AQ$96/'Annexe A  Plan RH'!AQ$92</f>
        <v>0</v>
      </c>
      <c r="AD57" s="328">
        <f>0.5%*'Couts RH'!AD$5*'Annexe A  Plan RH'!AR$96/'Annexe A  Plan RH'!AR$92</f>
        <v>0</v>
      </c>
      <c r="AE57" s="328">
        <f>0.5%*'Couts RH'!AE$5*'Annexe A  Plan RH'!AS$96/'Annexe A  Plan RH'!AS$92</f>
        <v>0</v>
      </c>
      <c r="AF57" s="328">
        <f>0.5%*'Couts RH'!AF$5*'Annexe A  Plan RH'!AT$96/'Annexe A  Plan RH'!AT$92</f>
        <v>0</v>
      </c>
      <c r="AG57" s="330">
        <f>0.5%*'Couts RH'!AG$5*'Annexe A  Plan RH'!AU$96/'Annexe A  Plan RH'!AU$92</f>
        <v>0</v>
      </c>
      <c r="AH57" s="329">
        <f>0.5%*'Couts RH'!AH$5*'Annexe A  Plan RH'!AV$96/'Annexe A  Plan RH'!AV$92</f>
        <v>0</v>
      </c>
      <c r="AI57" s="328">
        <f>0.5%*'Couts RH'!AI$5*'Annexe A  Plan RH'!AW$96/'Annexe A  Plan RH'!AW$92</f>
        <v>0</v>
      </c>
      <c r="AJ57" s="328">
        <f>0.5%*'Couts RH'!AJ$5*'Annexe A  Plan RH'!AX$96/'Annexe A  Plan RH'!AX$92</f>
        <v>0</v>
      </c>
      <c r="AK57" s="328">
        <f>0.5%*'Couts RH'!AK$5*'Annexe A  Plan RH'!AY$96/'Annexe A  Plan RH'!AY$92</f>
        <v>0</v>
      </c>
      <c r="AL57" s="328">
        <f>0.5%*'Couts RH'!AL$5*'Annexe A  Plan RH'!AZ$96/'Annexe A  Plan RH'!AZ$92</f>
        <v>0</v>
      </c>
      <c r="AM57" s="328">
        <f>0.5%*'Couts RH'!AM$5*'Annexe A  Plan RH'!BA$96/'Annexe A  Plan RH'!BA$92</f>
        <v>0</v>
      </c>
      <c r="AN57" s="328">
        <f>0.5%*'Couts RH'!AN$5*'Annexe A  Plan RH'!BB$96/'Annexe A  Plan RH'!BB$92</f>
        <v>0</v>
      </c>
      <c r="AO57" s="328">
        <f>0.5%*'Couts RH'!AO$5*'Annexe A  Plan RH'!BC$96/'Annexe A  Plan RH'!BC$92</f>
        <v>0</v>
      </c>
      <c r="AP57" s="328">
        <f>0.5%*'Couts RH'!AP$5*'Annexe A  Plan RH'!BD$96/'Annexe A  Plan RH'!BD$92</f>
        <v>0</v>
      </c>
      <c r="AQ57" s="328">
        <f>0.5%*'Couts RH'!AQ$5*'Annexe A  Plan RH'!BE$96/'Annexe A  Plan RH'!BE$92</f>
        <v>0</v>
      </c>
      <c r="AR57" s="328">
        <f>0.5%*'Couts RH'!AR$5*'Annexe A  Plan RH'!BF$96/'Annexe A  Plan RH'!BF$92</f>
        <v>0</v>
      </c>
      <c r="AS57" s="328">
        <f>0.5%*'Couts RH'!AS$5*'Annexe A  Plan RH'!BG$96/'Annexe A  Plan RH'!BG$92</f>
        <v>0</v>
      </c>
      <c r="AT57" s="328">
        <f>0.5%*'Couts RH'!AT$5*'Annexe A  Plan RH'!BH$96/'Annexe A  Plan RH'!BH$92</f>
        <v>0</v>
      </c>
      <c r="AU57" s="328">
        <f>0.5%*'Couts RH'!AU$5*'Annexe A  Plan RH'!BI$96/'Annexe A  Plan RH'!BI$92</f>
        <v>0</v>
      </c>
      <c r="AV57" s="328">
        <f>0.5%*'Couts RH'!AV$5*'Annexe A  Plan RH'!BJ$96/'Annexe A  Plan RH'!BJ$92</f>
        <v>0</v>
      </c>
      <c r="AW57" s="328">
        <f>0.5%*'Couts RH'!AW$5*'Annexe A  Plan RH'!BK$96/'Annexe A  Plan RH'!BK$92</f>
        <v>0</v>
      </c>
      <c r="AX57" s="328">
        <f>0.5%*'Couts RH'!AX$5*'Annexe A  Plan RH'!BL$96/'Annexe A  Plan RH'!BL$92</f>
        <v>0</v>
      </c>
      <c r="AY57" s="328">
        <f>0.5%*'Couts RH'!AY$5*'Annexe A  Plan RH'!BM$96/'Annexe A  Plan RH'!BM$92</f>
        <v>0</v>
      </c>
      <c r="AZ57" s="328">
        <f>0.5%*'Couts RH'!AZ$5*'Annexe A  Plan RH'!BN$96/'Annexe A  Plan RH'!BN$92</f>
        <v>0</v>
      </c>
      <c r="BA57" s="328">
        <f>0.5%*'Couts RH'!BA$5*'Annexe A  Plan RH'!BO$96/'Annexe A  Plan RH'!BO$92</f>
        <v>0</v>
      </c>
      <c r="BB57" s="328">
        <f>0.5%*'Couts RH'!BB$5*'Annexe A  Plan RH'!BP$96/'Annexe A  Plan RH'!BP$92</f>
        <v>0</v>
      </c>
      <c r="BC57" s="328">
        <f>0.5%*'Couts RH'!BC$5*'Annexe A  Plan RH'!BQ$96/'Annexe A  Plan RH'!BQ$92</f>
        <v>0</v>
      </c>
      <c r="BD57" s="328">
        <f>0.5%*'Couts RH'!BD$5*'Annexe A  Plan RH'!BR$96/'Annexe A  Plan RH'!BR$92</f>
        <v>0</v>
      </c>
      <c r="BE57" s="328">
        <f>0.5%*'Couts RH'!BE$5*'Annexe A  Plan RH'!BS$96/'Annexe A  Plan RH'!BS$92</f>
        <v>0</v>
      </c>
      <c r="BF57" s="329">
        <f>0.5%*'Couts RH'!BF$5*'Annexe A  Plan RH'!BT$96/'Annexe A  Plan RH'!BT$92</f>
        <v>0</v>
      </c>
      <c r="BG57" s="328">
        <f>0.5%*'Couts RH'!BG$5*'Annexe A  Plan RH'!BU$96/'Annexe A  Plan RH'!BU$92</f>
        <v>0</v>
      </c>
      <c r="BH57" s="328">
        <f>0.5%*'Couts RH'!BH$5*'Annexe A  Plan RH'!BV$96/'Annexe A  Plan RH'!BV$92</f>
        <v>0</v>
      </c>
      <c r="BI57" s="328">
        <f>0.5%*'Couts RH'!BI$5*'Annexe A  Plan RH'!BW$96/'Annexe A  Plan RH'!BW$92</f>
        <v>0</v>
      </c>
      <c r="BJ57" s="328">
        <f>0.5%*'Couts RH'!BJ$5*'Annexe A  Plan RH'!BX$96/'Annexe A  Plan RH'!BX$92</f>
        <v>0</v>
      </c>
      <c r="BK57" s="328">
        <f>0.5%*'Couts RH'!BK$5*'Annexe A  Plan RH'!BY$96/'Annexe A  Plan RH'!BY$92</f>
        <v>0</v>
      </c>
      <c r="BL57" s="328">
        <f>0.5%*'Couts RH'!BL$5*'Annexe A  Plan RH'!BZ$96/'Annexe A  Plan RH'!BZ$92</f>
        <v>0</v>
      </c>
      <c r="BM57" s="328">
        <f>0.5%*'Couts RH'!BM$5*'Annexe A  Plan RH'!CA$96/'Annexe A  Plan RH'!CA$92</f>
        <v>0</v>
      </c>
      <c r="BN57" s="328">
        <f>0.5%*'Couts RH'!BN$5*'Annexe A  Plan RH'!CB$96/'Annexe A  Plan RH'!CB$92</f>
        <v>0</v>
      </c>
      <c r="BO57" s="328">
        <f>0.5%*'Couts RH'!BO$5*'Annexe A  Plan RH'!CC$96/'Annexe A  Plan RH'!CC$92</f>
        <v>0</v>
      </c>
      <c r="BP57" s="328">
        <f>0.5%*'Couts RH'!BP$5*'Annexe A  Plan RH'!CD$96/'Annexe A  Plan RH'!CD$92</f>
        <v>0</v>
      </c>
      <c r="BQ57" s="330">
        <f>0.5%*'Couts RH'!BQ$5*'Annexe A  Plan RH'!CE$96/'Annexe A  Plan RH'!CE$92</f>
        <v>0</v>
      </c>
      <c r="BR57" s="329">
        <f>0.5%*'Couts RH'!BR$5*'Annexe A  Plan RH'!CF$96/'Annexe A  Plan RH'!CF$92</f>
        <v>0</v>
      </c>
      <c r="BS57" s="328">
        <f>0.5%*'Couts RH'!BS$5*'Annexe A  Plan RH'!CG$96/'Annexe A  Plan RH'!CG$92</f>
        <v>0</v>
      </c>
      <c r="BT57" s="328">
        <f>0.5%*'Couts RH'!BT$5*'Annexe A  Plan RH'!CH$96/'Annexe A  Plan RH'!CH$92</f>
        <v>0</v>
      </c>
      <c r="BU57" s="328">
        <f>0.5%*'Couts RH'!BU$5*'Annexe A  Plan RH'!CI$96/'Annexe A  Plan RH'!CI$92</f>
        <v>0</v>
      </c>
      <c r="BV57" s="328">
        <f>0.5%*'Couts RH'!BV$5*'Annexe A  Plan RH'!CJ$96/'Annexe A  Plan RH'!CJ$92</f>
        <v>0</v>
      </c>
      <c r="BW57" s="328">
        <f>0.5%*'Couts RH'!BW$5*'Annexe A  Plan RH'!CK$96/'Annexe A  Plan RH'!CK$92</f>
        <v>0</v>
      </c>
      <c r="BX57" s="328">
        <f>0.5%*'Couts RH'!BX$5*'Annexe A  Plan RH'!CL$96/'Annexe A  Plan RH'!CL$92</f>
        <v>0</v>
      </c>
      <c r="BY57" s="328">
        <f>0.5%*'Couts RH'!BY$5*'Annexe A  Plan RH'!CM$96/'Annexe A  Plan RH'!CM$92</f>
        <v>0</v>
      </c>
      <c r="BZ57" s="328">
        <f>0.5%*'Couts RH'!BZ$5*'Annexe A  Plan RH'!CN$96/'Annexe A  Plan RH'!CN$92</f>
        <v>0</v>
      </c>
      <c r="CA57" s="328">
        <f>0.5%*'Couts RH'!CA$5*'Annexe A  Plan RH'!CO$96/'Annexe A  Plan RH'!CO$92</f>
        <v>0</v>
      </c>
      <c r="CB57" s="328">
        <f>0.5%*'Couts RH'!CB$5*'Annexe A  Plan RH'!CP$96/'Annexe A  Plan RH'!CP$92</f>
        <v>0</v>
      </c>
      <c r="CC57" s="330">
        <f>0.5%*'Couts RH'!CC$5*'Annexe A  Plan RH'!CQ$96/'Annexe A  Plan RH'!CQ$92</f>
        <v>0</v>
      </c>
    </row>
    <row r="58" spans="1:81" ht="14">
      <c r="A58" s="305" t="s">
        <v>199</v>
      </c>
      <c r="B58" s="261"/>
      <c r="C58" s="352"/>
      <c r="D58" s="261"/>
      <c r="E58" s="261"/>
      <c r="F58" s="261"/>
      <c r="G58" s="261"/>
      <c r="H58" s="261"/>
      <c r="I58" s="353"/>
      <c r="J58" s="352"/>
      <c r="K58" s="261"/>
      <c r="L58" s="261"/>
      <c r="M58" s="261"/>
      <c r="N58" s="261"/>
      <c r="O58" s="261"/>
      <c r="P58" s="261"/>
      <c r="Q58" s="261"/>
      <c r="R58" s="261"/>
      <c r="S58" s="261"/>
      <c r="T58" s="261"/>
      <c r="U58" s="353"/>
      <c r="V58" s="352"/>
      <c r="W58" s="261"/>
      <c r="X58" s="261"/>
      <c r="Y58" s="261"/>
      <c r="Z58" s="261"/>
      <c r="AA58" s="261"/>
      <c r="AB58" s="261"/>
      <c r="AC58" s="261"/>
      <c r="AD58" s="261"/>
      <c r="AE58" s="261"/>
      <c r="AF58" s="261"/>
      <c r="AG58" s="353"/>
      <c r="AH58" s="352"/>
      <c r="AI58" s="261"/>
      <c r="AJ58" s="261"/>
      <c r="AK58" s="261"/>
      <c r="AL58" s="261"/>
      <c r="AM58" s="261"/>
      <c r="AN58" s="261"/>
      <c r="AO58" s="261"/>
      <c r="AP58" s="261"/>
      <c r="AQ58" s="261"/>
      <c r="AR58" s="261"/>
      <c r="AS58" s="328">
        <f>-80*'Annexe A  Plan RH'!BG96</f>
        <v>0</v>
      </c>
      <c r="AT58" s="328">
        <f>-80*'Annexe A  Plan RH'!BH96</f>
        <v>0</v>
      </c>
      <c r="AU58" s="328">
        <f>-80*'Annexe A  Plan RH'!BI96</f>
        <v>0</v>
      </c>
      <c r="AV58" s="328">
        <f>-80*'Annexe A  Plan RH'!BJ96</f>
        <v>0</v>
      </c>
      <c r="AW58" s="328">
        <f>-80*'Annexe A  Plan RH'!BK96</f>
        <v>0</v>
      </c>
      <c r="AX58" s="328">
        <f>-80*'Annexe A  Plan RH'!BL96</f>
        <v>0</v>
      </c>
      <c r="AY58" s="328">
        <f>-80*'Annexe A  Plan RH'!BM96</f>
        <v>0</v>
      </c>
      <c r="AZ58" s="328">
        <f>-80*'Annexe A  Plan RH'!BN96</f>
        <v>0</v>
      </c>
      <c r="BA58" s="328">
        <f>-80*'Annexe A  Plan RH'!BO96</f>
        <v>0</v>
      </c>
      <c r="BB58" s="328">
        <f>-80*'Annexe A  Plan RH'!BP96</f>
        <v>0</v>
      </c>
      <c r="BC58" s="328">
        <f>-80*'Annexe A  Plan RH'!BQ96</f>
        <v>0</v>
      </c>
      <c r="BD58" s="328">
        <f>-80*'Annexe A  Plan RH'!BR96</f>
        <v>0</v>
      </c>
      <c r="BE58" s="328">
        <f>-80*'Annexe A  Plan RH'!BS96</f>
        <v>0</v>
      </c>
      <c r="BF58" s="329">
        <f>-80*'Annexe A  Plan RH'!BT96</f>
        <v>0</v>
      </c>
      <c r="BG58" s="328">
        <f>-80*'Annexe A  Plan RH'!BU96</f>
        <v>0</v>
      </c>
      <c r="BH58" s="328">
        <f>-80*'Annexe A  Plan RH'!BV96</f>
        <v>0</v>
      </c>
      <c r="BI58" s="328">
        <f>-80*'Annexe A  Plan RH'!BW96</f>
        <v>0</v>
      </c>
      <c r="BJ58" s="328">
        <f>-80*'Annexe A  Plan RH'!BX96</f>
        <v>0</v>
      </c>
      <c r="BK58" s="328">
        <f>-80*'Annexe A  Plan RH'!BY96</f>
        <v>0</v>
      </c>
      <c r="BL58" s="328">
        <f>-80*'Annexe A  Plan RH'!BZ96</f>
        <v>0</v>
      </c>
      <c r="BM58" s="328">
        <f>-80*'Annexe A  Plan RH'!CA96</f>
        <v>0</v>
      </c>
      <c r="BN58" s="328">
        <f>-80*'Annexe A  Plan RH'!CB96</f>
        <v>0</v>
      </c>
      <c r="BO58" s="328">
        <f>-80*'Annexe A  Plan RH'!CC96</f>
        <v>0</v>
      </c>
      <c r="BP58" s="328">
        <f>-80*'Annexe A  Plan RH'!CD96</f>
        <v>0</v>
      </c>
      <c r="BQ58" s="330">
        <f>-80*'Annexe A  Plan RH'!CE96</f>
        <v>0</v>
      </c>
      <c r="BR58" s="329">
        <f>-80*'Annexe A  Plan RH'!CF96</f>
        <v>0</v>
      </c>
      <c r="BS58" s="328">
        <f>-80*'Annexe A  Plan RH'!CG96</f>
        <v>0</v>
      </c>
      <c r="BT58" s="328">
        <f>-80*'Annexe A  Plan RH'!CH96</f>
        <v>0</v>
      </c>
      <c r="BU58" s="328">
        <f>-80*'Annexe A  Plan RH'!CI96</f>
        <v>0</v>
      </c>
      <c r="BV58" s="328">
        <f>-80*'Annexe A  Plan RH'!CJ96</f>
        <v>0</v>
      </c>
      <c r="BW58" s="328">
        <f>-80*'Annexe A  Plan RH'!CK96</f>
        <v>0</v>
      </c>
      <c r="BX58" s="328">
        <f>-80*'Annexe A  Plan RH'!CL96</f>
        <v>0</v>
      </c>
      <c r="BY58" s="328">
        <f>-80*'Annexe A  Plan RH'!CM96</f>
        <v>0</v>
      </c>
      <c r="BZ58" s="328">
        <f>-80*'Annexe A  Plan RH'!CN96</f>
        <v>0</v>
      </c>
      <c r="CA58" s="328">
        <f>-80*'Annexe A  Plan RH'!CO96</f>
        <v>0</v>
      </c>
      <c r="CB58" s="328">
        <f>-80*'Annexe A  Plan RH'!CP96</f>
        <v>0</v>
      </c>
      <c r="CC58" s="330">
        <f>-80*'Annexe A  Plan RH'!CQ96</f>
        <v>0</v>
      </c>
    </row>
    <row r="59" spans="1:81" ht="14">
      <c r="A59" s="305" t="s">
        <v>200</v>
      </c>
      <c r="C59" s="40"/>
      <c r="I59" s="10"/>
      <c r="J59" s="40"/>
      <c r="U59" s="10"/>
      <c r="V59" s="40"/>
      <c r="AG59" s="10"/>
      <c r="AH59" s="40"/>
      <c r="AS59" s="10"/>
      <c r="AT59" s="40"/>
      <c r="BE59" s="10"/>
      <c r="BF59" s="40"/>
      <c r="BQ59" s="10"/>
      <c r="BR59" s="40"/>
      <c r="CC59" s="10"/>
    </row>
    <row r="60" spans="1:81" ht="14">
      <c r="A60" s="305" t="s">
        <v>195</v>
      </c>
      <c r="C60" s="40"/>
      <c r="I60" s="10"/>
      <c r="J60" s="40"/>
      <c r="U60" s="10"/>
      <c r="V60" s="40"/>
      <c r="AG60" s="10"/>
      <c r="AH60" s="40"/>
      <c r="AS60" s="10"/>
      <c r="AT60" s="40"/>
      <c r="BE60" s="10"/>
      <c r="BF60" s="40"/>
      <c r="BQ60" s="10"/>
      <c r="BR60" s="40"/>
      <c r="CC60" s="10"/>
    </row>
    <row r="61" spans="1:81" ht="14">
      <c r="A61" s="305" t="s">
        <v>197</v>
      </c>
      <c r="C61" s="40"/>
      <c r="I61" s="10"/>
      <c r="J61" s="40"/>
      <c r="U61" s="10"/>
      <c r="V61" s="40"/>
      <c r="AG61" s="10"/>
      <c r="AH61" s="40"/>
      <c r="AK61" s="130">
        <f ca="1">-(Ventes!AK46-Ventes!AJ46)*Hypothèses!$B$44*$B$84</f>
        <v>0</v>
      </c>
      <c r="AL61" s="130">
        <f ca="1">-(Ventes!AL46-Ventes!AK46)*Hypothèses!$B$44*$B$84</f>
        <v>0</v>
      </c>
      <c r="AM61" s="130">
        <f ca="1">-(Ventes!AM46-Ventes!AL46)*Hypothèses!$B$44*$B$84</f>
        <v>0</v>
      </c>
      <c r="AN61" s="130">
        <f ca="1">-(Ventes!AN46-Ventes!AM46)*Hypothèses!$B$44*$B$84</f>
        <v>0</v>
      </c>
      <c r="AO61" s="130">
        <f ca="1">-(Ventes!AO46-Ventes!AN46)*Hypothèses!$B$44*$B$84</f>
        <v>0</v>
      </c>
      <c r="AP61" s="130">
        <f ca="1">-(Ventes!AP46-Ventes!AO46)*Hypothèses!$B$44*$B$84</f>
        <v>0</v>
      </c>
      <c r="AQ61" s="130">
        <f ca="1">-(Ventes!AQ46-Ventes!AP46)*Hypothèses!$B$44*$B$84</f>
        <v>0</v>
      </c>
      <c r="AR61" s="130">
        <f ca="1">-(Ventes!AR46-Ventes!AQ46)*Hypothèses!$B$44*$B$84</f>
        <v>0</v>
      </c>
      <c r="AS61" s="131">
        <f ca="1">-(Ventes!AS46-Ventes!AR46)*Hypothèses!$B$44*$B$84</f>
        <v>0</v>
      </c>
      <c r="AT61" s="129">
        <f ca="1">-(Ventes!AT46-Ventes!AS46)*Hypothèses!$B$44*$B$84</f>
        <v>0</v>
      </c>
      <c r="AU61" s="130">
        <f ca="1">-(Ventes!AU46-Ventes!AT46)*Hypothèses!$B$44*$B$84</f>
        <v>0</v>
      </c>
      <c r="AV61" s="130">
        <f ca="1">-(Ventes!AV46-Ventes!AU46)*Hypothèses!$B$44*$B$84</f>
        <v>0</v>
      </c>
      <c r="AW61" s="130">
        <f ca="1">-(Ventes!AW46-Ventes!AV46)*Hypothèses!$B$44*$B$84</f>
        <v>0</v>
      </c>
      <c r="AX61" s="130">
        <f ca="1">-(Ventes!AX46-Ventes!AW46)*Hypothèses!$B$44*$B$84</f>
        <v>0</v>
      </c>
      <c r="AY61" s="130">
        <f ca="1">-(Ventes!AY46-Ventes!AX46)*Hypothèses!$B$44*$B$84</f>
        <v>0</v>
      </c>
      <c r="AZ61" s="130">
        <f ca="1">-(Ventes!AZ46-Ventes!AY46)*Hypothèses!$B$44*$B$84</f>
        <v>0</v>
      </c>
      <c r="BA61" s="130">
        <f ca="1">-(Ventes!BA46-Ventes!AZ46)*Hypothèses!$B$44*$B$84</f>
        <v>0</v>
      </c>
      <c r="BB61" s="130">
        <f ca="1">-(Ventes!BB46-Ventes!BA46)*Hypothèses!$B$44*$B$84</f>
        <v>0</v>
      </c>
      <c r="BC61" s="130">
        <f ca="1">-(Ventes!BC46-Ventes!BB46)*Hypothèses!$B$44*$B$84</f>
        <v>0</v>
      </c>
      <c r="BD61" s="130">
        <f ca="1">-(Ventes!BD46-Ventes!BC46)*Hypothèses!$B$44*$B$84</f>
        <v>0</v>
      </c>
      <c r="BE61" s="131">
        <f ca="1">-(Ventes!BE46-Ventes!BD46)*Hypothèses!$B$44*$B$84</f>
        <v>0</v>
      </c>
      <c r="BF61" s="129">
        <f ca="1">-(Ventes!BF46-Ventes!BE46)*Hypothèses!$B$44*$B$84</f>
        <v>0</v>
      </c>
      <c r="BG61" s="130">
        <f ca="1">-(Ventes!BG46-Ventes!BF46)*Hypothèses!$B$44*$B$84</f>
        <v>0</v>
      </c>
      <c r="BH61" s="130">
        <f ca="1">-(Ventes!BH46-Ventes!BG46)*Hypothèses!$B$44*$B$84</f>
        <v>0</v>
      </c>
      <c r="BI61" s="130">
        <f ca="1">-(Ventes!BI46-Ventes!BH46)*Hypothèses!$B$44*$B$84</f>
        <v>0</v>
      </c>
      <c r="BJ61" s="130">
        <f ca="1">-(Ventes!BJ46-Ventes!BI46)*Hypothèses!$B$44*$B$84</f>
        <v>0</v>
      </c>
      <c r="BK61" s="130">
        <f ca="1">-(Ventes!BK46-Ventes!BJ46)*Hypothèses!$B$44*$B$84</f>
        <v>0</v>
      </c>
      <c r="BL61" s="130">
        <f ca="1">-(Ventes!BL46-Ventes!BK46)*Hypothèses!$B$44*$B$84</f>
        <v>0</v>
      </c>
      <c r="BM61" s="130">
        <f ca="1">-(Ventes!BM46-Ventes!BL46)*Hypothèses!$B$44*$B$84</f>
        <v>0</v>
      </c>
      <c r="BN61" s="130">
        <f ca="1">-(Ventes!BN46-Ventes!BM46)*Hypothèses!$B$44*$B$84</f>
        <v>0</v>
      </c>
      <c r="BO61" s="130">
        <f ca="1">-(Ventes!BO46-Ventes!BN46)*Hypothèses!$B$44*$B$84</f>
        <v>0</v>
      </c>
      <c r="BP61" s="130">
        <f ca="1">-(Ventes!BP46-Ventes!BO46)*Hypothèses!$B$44*$B$84</f>
        <v>0</v>
      </c>
      <c r="BQ61" s="131">
        <f ca="1">-(Ventes!BQ46-Ventes!BP46)*Hypothèses!$B$44*$B$84</f>
        <v>0</v>
      </c>
      <c r="BR61" s="129">
        <f ca="1">-(Ventes!BR46-Ventes!BQ46)*Hypothèses!$B$44*$B$84</f>
        <v>0</v>
      </c>
      <c r="BS61" s="130">
        <f ca="1">-(Ventes!BS46-Ventes!BR46)*Hypothèses!$B$44*$B$84</f>
        <v>0</v>
      </c>
      <c r="BT61" s="130">
        <f ca="1">-(Ventes!BT46-Ventes!BS46)*Hypothèses!$B$44*$B$84</f>
        <v>0</v>
      </c>
      <c r="BU61" s="130">
        <f ca="1">-(Ventes!BU46-Ventes!BT46)*Hypothèses!$B$44*$B$84</f>
        <v>0</v>
      </c>
      <c r="BV61" s="130">
        <f ca="1">-(Ventes!BV46-Ventes!BU46)*Hypothèses!$B$44*$B$84</f>
        <v>0</v>
      </c>
      <c r="BW61" s="130">
        <f ca="1">-(Ventes!BW46-Ventes!BV46)*Hypothèses!$B$44*$B$84</f>
        <v>0</v>
      </c>
      <c r="BX61" s="130">
        <f ca="1">-(Ventes!BX46-Ventes!BW46)*Hypothèses!$B$44*$B$84</f>
        <v>0</v>
      </c>
      <c r="BY61" s="130">
        <f ca="1">-(Ventes!BY46-Ventes!BX46)*Hypothèses!$B$44*$B$84</f>
        <v>0</v>
      </c>
      <c r="BZ61" s="130">
        <f ca="1">-(Ventes!BZ46-Ventes!BY46)*Hypothèses!$B$44*$B$84</f>
        <v>0</v>
      </c>
      <c r="CA61" s="130">
        <f ca="1">-(Ventes!CA46-Ventes!BZ46)*Hypothèses!$B$44*$B$84</f>
        <v>0</v>
      </c>
      <c r="CB61" s="130">
        <f ca="1">-(Ventes!CB46-Ventes!CA46)*Hypothèses!$B$44*$B$84</f>
        <v>0</v>
      </c>
      <c r="CC61" s="131">
        <f ca="1">-(Ventes!CC46-Ventes!CB46)*Hypothèses!$B$44*$B$84</f>
        <v>0</v>
      </c>
    </row>
    <row r="62" spans="1:81" ht="13">
      <c r="A62" s="43"/>
      <c r="B62" s="120"/>
      <c r="C62" s="43"/>
      <c r="D62" s="120"/>
      <c r="E62" s="120"/>
      <c r="F62" s="120"/>
      <c r="G62" s="120"/>
      <c r="H62" s="120"/>
      <c r="I62" s="121"/>
      <c r="J62" s="43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1"/>
      <c r="V62" s="43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1"/>
      <c r="AH62" s="43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1"/>
      <c r="AT62" s="43"/>
      <c r="AU62" s="120"/>
      <c r="AV62" s="120"/>
      <c r="AW62" s="120"/>
      <c r="AX62" s="120"/>
      <c r="AY62" s="120"/>
      <c r="AZ62" s="120"/>
      <c r="BA62" s="120"/>
      <c r="BB62" s="120"/>
      <c r="BC62" s="120"/>
      <c r="BD62" s="120"/>
      <c r="BE62" s="121"/>
      <c r="BF62" s="43"/>
      <c r="BG62" s="120"/>
      <c r="BH62" s="120"/>
      <c r="BI62" s="120"/>
      <c r="BJ62" s="120"/>
      <c r="BK62" s="120"/>
      <c r="BL62" s="120"/>
      <c r="BM62" s="120"/>
      <c r="BN62" s="120"/>
      <c r="BO62" s="120"/>
      <c r="BP62" s="120"/>
      <c r="BQ62" s="121"/>
      <c r="BR62" s="43"/>
      <c r="BS62" s="120"/>
      <c r="BT62" s="120"/>
      <c r="BU62" s="120"/>
      <c r="BV62" s="120"/>
      <c r="BW62" s="120"/>
      <c r="BX62" s="120"/>
      <c r="BY62" s="120"/>
      <c r="BZ62" s="120"/>
      <c r="CA62" s="120"/>
      <c r="CB62" s="120"/>
      <c r="CC62" s="121"/>
    </row>
    <row r="63" spans="1:81" ht="13">
      <c r="A63" s="351" t="s">
        <v>87</v>
      </c>
      <c r="B63" s="113"/>
      <c r="C63" s="32"/>
      <c r="D63" s="113"/>
      <c r="E63" s="113"/>
      <c r="F63" s="113"/>
      <c r="G63" s="113"/>
      <c r="H63" s="113"/>
      <c r="I63" s="114"/>
      <c r="J63" s="32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4"/>
      <c r="V63" s="32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4"/>
      <c r="AH63" s="32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4"/>
      <c r="AT63" s="32"/>
      <c r="AU63" s="113"/>
      <c r="AV63" s="113"/>
      <c r="AW63" s="113"/>
      <c r="AX63" s="113"/>
      <c r="AY63" s="113"/>
      <c r="AZ63" s="113"/>
      <c r="BA63" s="113"/>
      <c r="BB63" s="113"/>
      <c r="BC63" s="113"/>
      <c r="BD63" s="113"/>
      <c r="BE63" s="114"/>
      <c r="BF63" s="32"/>
      <c r="BG63" s="113"/>
      <c r="BH63" s="113"/>
      <c r="BI63" s="113"/>
      <c r="BJ63" s="113"/>
      <c r="BK63" s="113"/>
      <c r="BL63" s="113"/>
      <c r="BM63" s="113"/>
      <c r="BN63" s="113"/>
      <c r="BO63" s="113"/>
      <c r="BP63" s="113"/>
      <c r="BQ63" s="114"/>
      <c r="BR63" s="32"/>
      <c r="BS63" s="113"/>
      <c r="BT63" s="113"/>
      <c r="BU63" s="113"/>
      <c r="BV63" s="113"/>
      <c r="BW63" s="113"/>
      <c r="BX63" s="113"/>
      <c r="BY63" s="113"/>
      <c r="BZ63" s="113"/>
      <c r="CA63" s="113"/>
      <c r="CB63" s="113"/>
      <c r="CC63" s="114"/>
    </row>
    <row r="64" spans="1:81" ht="13">
      <c r="A64" s="40"/>
      <c r="C64" s="40"/>
      <c r="I64" s="10"/>
      <c r="J64" s="40"/>
      <c r="U64" s="10"/>
      <c r="V64" s="40"/>
      <c r="AG64" s="10"/>
      <c r="AH64" s="40"/>
      <c r="AS64" s="10"/>
      <c r="AT64" s="40"/>
      <c r="BE64" s="10"/>
      <c r="BF64" s="40"/>
      <c r="BQ64" s="10"/>
      <c r="BR64" s="40"/>
      <c r="CC64" s="10"/>
    </row>
    <row r="65" spans="1:81" ht="14">
      <c r="A65" s="305" t="s">
        <v>185</v>
      </c>
      <c r="C65" s="40"/>
      <c r="I65" s="10"/>
      <c r="J65" s="40"/>
      <c r="U65" s="10"/>
      <c r="V65" s="40"/>
      <c r="AG65" s="10"/>
      <c r="AH65" s="40"/>
      <c r="AS65" s="10"/>
      <c r="AT65" s="129">
        <f>-'Annexe A  Plan RH'!BH97*Hypothèses!$B$96</f>
        <v>0</v>
      </c>
      <c r="AU65" s="130">
        <f>-'Annexe A  Plan RH'!BI97*Hypothèses!$B$96</f>
        <v>0</v>
      </c>
      <c r="AV65" s="130">
        <f>-'Annexe A  Plan RH'!BJ97*Hypothèses!$B$96</f>
        <v>0</v>
      </c>
      <c r="AW65" s="130">
        <f>-'Annexe A  Plan RH'!BK97*Hypothèses!$B$96</f>
        <v>0</v>
      </c>
      <c r="AX65" s="130">
        <f>-'Annexe A  Plan RH'!BL97*Hypothèses!$B$96</f>
        <v>0</v>
      </c>
      <c r="AY65" s="130">
        <f>-'Annexe A  Plan RH'!BM97*Hypothèses!$B$96</f>
        <v>0</v>
      </c>
      <c r="AZ65" s="130">
        <f>-'Annexe A  Plan RH'!BN97*Hypothèses!$B$96</f>
        <v>0</v>
      </c>
      <c r="BA65" s="130">
        <f>-'Annexe A  Plan RH'!BO97*Hypothèses!$B$96</f>
        <v>0</v>
      </c>
      <c r="BB65" s="130">
        <f>-'Annexe A  Plan RH'!BP97*Hypothèses!$B$96</f>
        <v>0</v>
      </c>
      <c r="BC65" s="130">
        <f>-'Annexe A  Plan RH'!BQ97*Hypothèses!$B$96</f>
        <v>0</v>
      </c>
      <c r="BD65" s="130">
        <f>-'Annexe A  Plan RH'!BR97*Hypothèses!$B$96</f>
        <v>0</v>
      </c>
      <c r="BE65" s="131">
        <f>-'Annexe A  Plan RH'!BS97*Hypothèses!$B$96</f>
        <v>0</v>
      </c>
      <c r="BF65" s="129">
        <f>-'Annexe A  Plan RH'!BT97*Hypothèses!$B$96</f>
        <v>0</v>
      </c>
      <c r="BG65" s="130">
        <f>-'Annexe A  Plan RH'!BU97*Hypothèses!$B$96</f>
        <v>0</v>
      </c>
      <c r="BH65" s="130">
        <f>-'Annexe A  Plan RH'!BV97*Hypothèses!$B$96</f>
        <v>0</v>
      </c>
      <c r="BI65" s="130">
        <f>-'Annexe A  Plan RH'!BW97*Hypothèses!$B$96</f>
        <v>0</v>
      </c>
      <c r="BJ65" s="130">
        <f>-'Annexe A  Plan RH'!BX97*Hypothèses!$B$96</f>
        <v>0</v>
      </c>
      <c r="BK65" s="130">
        <f>-'Annexe A  Plan RH'!BY97*Hypothèses!$B$96</f>
        <v>0</v>
      </c>
      <c r="BL65" s="130">
        <f>-'Annexe A  Plan RH'!BZ97*Hypothèses!$B$96</f>
        <v>0</v>
      </c>
      <c r="BM65" s="130">
        <f>-'Annexe A  Plan RH'!CA97*Hypothèses!$B$96</f>
        <v>0</v>
      </c>
      <c r="BN65" s="130">
        <f>-'Annexe A  Plan RH'!CB97*Hypothèses!$B$96</f>
        <v>0</v>
      </c>
      <c r="BO65" s="130">
        <f>-'Annexe A  Plan RH'!CC97*Hypothèses!$B$96</f>
        <v>0</v>
      </c>
      <c r="BP65" s="130">
        <f>-'Annexe A  Plan RH'!CD97*Hypothèses!$B$96</f>
        <v>0</v>
      </c>
      <c r="BQ65" s="131">
        <f>-'Annexe A  Plan RH'!CE97*Hypothèses!$B$96</f>
        <v>0</v>
      </c>
      <c r="BR65" s="129">
        <f>-'Annexe A  Plan RH'!CF97*Hypothèses!$B$96</f>
        <v>0</v>
      </c>
      <c r="BS65" s="130">
        <f>-'Annexe A  Plan RH'!CG97*Hypothèses!$B$96</f>
        <v>0</v>
      </c>
      <c r="BT65" s="130">
        <f>-'Annexe A  Plan RH'!CH97*Hypothèses!$B$96</f>
        <v>0</v>
      </c>
      <c r="BU65" s="130">
        <f>-'Annexe A  Plan RH'!CI97*Hypothèses!$B$96</f>
        <v>0</v>
      </c>
      <c r="BV65" s="130">
        <f>-'Annexe A  Plan RH'!CJ97*Hypothèses!$B$96</f>
        <v>0</v>
      </c>
      <c r="BW65" s="130">
        <f>-'Annexe A  Plan RH'!CK97*Hypothèses!$B$96</f>
        <v>0</v>
      </c>
      <c r="BX65" s="130">
        <f>-'Annexe A  Plan RH'!CL97*Hypothèses!$B$96</f>
        <v>0</v>
      </c>
      <c r="BY65" s="130">
        <f>-'Annexe A  Plan RH'!CM97*Hypothèses!$B$96</f>
        <v>0</v>
      </c>
      <c r="BZ65" s="130">
        <f>-'Annexe A  Plan RH'!CN97*Hypothèses!$B$96</f>
        <v>0</v>
      </c>
      <c r="CA65" s="130">
        <f>-'Annexe A  Plan RH'!CO97*Hypothèses!$B$96</f>
        <v>0</v>
      </c>
      <c r="CB65" s="130">
        <f>-'Annexe A  Plan RH'!CP97*Hypothèses!$B$96</f>
        <v>0</v>
      </c>
      <c r="CC65" s="131">
        <f>-'Annexe A  Plan RH'!CQ97*Hypothèses!$B$96</f>
        <v>0</v>
      </c>
    </row>
    <row r="66" spans="1:81" ht="14">
      <c r="A66" s="305" t="s">
        <v>186</v>
      </c>
      <c r="C66" s="40"/>
      <c r="I66" s="10"/>
      <c r="J66" s="328">
        <f>1%*'Couts RH'!J$5*'Annexe A  Plan RH'!X97/'Annexe A  Plan RH'!X$92</f>
        <v>0</v>
      </c>
      <c r="K66" s="328">
        <f>1%*'Couts RH'!K$5*'Annexe A  Plan RH'!Y97/'Annexe A  Plan RH'!Y$92</f>
        <v>0</v>
      </c>
      <c r="L66" s="328">
        <f>1%*'Couts RH'!L$5*'Annexe A  Plan RH'!Z97/'Annexe A  Plan RH'!Z$92</f>
        <v>0</v>
      </c>
      <c r="M66" s="328">
        <f>1%*'Couts RH'!M$5*'Annexe A  Plan RH'!AA97/'Annexe A  Plan RH'!AA$92</f>
        <v>0</v>
      </c>
      <c r="N66" s="328">
        <f>1%*'Couts RH'!N$5*'Annexe A  Plan RH'!AB97/'Annexe A  Plan RH'!AB$92</f>
        <v>0</v>
      </c>
      <c r="O66" s="328">
        <f>1%*'Couts RH'!O$5*'Annexe A  Plan RH'!AC97/'Annexe A  Plan RH'!AC$92</f>
        <v>0</v>
      </c>
      <c r="P66" s="328">
        <f>1%*'Couts RH'!P$5*'Annexe A  Plan RH'!AD97/'Annexe A  Plan RH'!AD$92</f>
        <v>0</v>
      </c>
      <c r="Q66" s="328">
        <f>1%*'Couts RH'!Q$5*'Annexe A  Plan RH'!AE97/'Annexe A  Plan RH'!AE$92</f>
        <v>0</v>
      </c>
      <c r="R66" s="328">
        <f>1%*'Couts RH'!R$5*'Annexe A  Plan RH'!AF97/'Annexe A  Plan RH'!AF$92</f>
        <v>0</v>
      </c>
      <c r="S66" s="328">
        <f>1%*'Couts RH'!S$5*'Annexe A  Plan RH'!AG97/'Annexe A  Plan RH'!AG$92</f>
        <v>0</v>
      </c>
      <c r="T66" s="328">
        <f>1%*'Couts RH'!T$5*'Annexe A  Plan RH'!AH97/'Annexe A  Plan RH'!AH$92</f>
        <v>0</v>
      </c>
      <c r="U66" s="330">
        <f>1%*'Couts RH'!U$5*'Annexe A  Plan RH'!AI97/'Annexe A  Plan RH'!AI$92</f>
        <v>0</v>
      </c>
      <c r="V66" s="329">
        <f>1%*'Couts RH'!V$5*'Annexe A  Plan RH'!AJ97/'Annexe A  Plan RH'!AJ$92</f>
        <v>0</v>
      </c>
      <c r="W66" s="328">
        <f>1%*'Couts RH'!W$5*'Annexe A  Plan RH'!AK97/'Annexe A  Plan RH'!AK$92</f>
        <v>0</v>
      </c>
      <c r="X66" s="328">
        <f>1%*'Couts RH'!X$5*'Annexe A  Plan RH'!AL97/'Annexe A  Plan RH'!AL$92</f>
        <v>0</v>
      </c>
      <c r="Y66" s="328">
        <f>1%*'Couts RH'!Y$5*'Annexe A  Plan RH'!AM97/'Annexe A  Plan RH'!AM$92</f>
        <v>0</v>
      </c>
      <c r="Z66" s="328">
        <f>1%*'Couts RH'!Z$5*'Annexe A  Plan RH'!AN97/'Annexe A  Plan RH'!AN$92</f>
        <v>0</v>
      </c>
      <c r="AA66" s="328">
        <f>1%*'Couts RH'!AA$5*'Annexe A  Plan RH'!AO97/'Annexe A  Plan RH'!AO$92</f>
        <v>0</v>
      </c>
      <c r="AB66" s="328">
        <f>1%*'Couts RH'!AB$5*'Annexe A  Plan RH'!AP97/'Annexe A  Plan RH'!AP$92</f>
        <v>0</v>
      </c>
      <c r="AC66" s="328">
        <f>1%*'Couts RH'!AC$5*'Annexe A  Plan RH'!AQ97/'Annexe A  Plan RH'!AQ$92</f>
        <v>0</v>
      </c>
      <c r="AD66" s="328">
        <f>1%*'Couts RH'!AD$5*'Annexe A  Plan RH'!AR97/'Annexe A  Plan RH'!AR$92</f>
        <v>0</v>
      </c>
      <c r="AE66" s="328">
        <f>1%*'Couts RH'!AE$5*'Annexe A  Plan RH'!AS97/'Annexe A  Plan RH'!AS$92</f>
        <v>0</v>
      </c>
      <c r="AF66" s="328">
        <f>1%*'Couts RH'!AF$5*'Annexe A  Plan RH'!AT97/'Annexe A  Plan RH'!AT$92</f>
        <v>0</v>
      </c>
      <c r="AG66" s="330">
        <f>1%*'Couts RH'!AG$5*'Annexe A  Plan RH'!AU97/'Annexe A  Plan RH'!AU$92</f>
        <v>0</v>
      </c>
      <c r="AH66" s="329">
        <f>1%*'Couts RH'!AH$5*'Annexe A  Plan RH'!AV97/'Annexe A  Plan RH'!AV$92</f>
        <v>0</v>
      </c>
      <c r="AI66" s="328">
        <f>1%*'Couts RH'!AI$5*'Annexe A  Plan RH'!AW97/'Annexe A  Plan RH'!AW$92</f>
        <v>0</v>
      </c>
      <c r="AJ66" s="328">
        <f>1%*'Couts RH'!AJ$5*'Annexe A  Plan RH'!AX97/'Annexe A  Plan RH'!AX$92</f>
        <v>0</v>
      </c>
      <c r="AK66" s="328">
        <f>1%*'Couts RH'!AK$5*'Annexe A  Plan RH'!AY97/'Annexe A  Plan RH'!AY$92</f>
        <v>0</v>
      </c>
      <c r="AL66" s="328">
        <f>1%*'Couts RH'!AL$5*'Annexe A  Plan RH'!AZ97/'Annexe A  Plan RH'!AZ$92</f>
        <v>0</v>
      </c>
      <c r="AM66" s="328">
        <f>1%*'Couts RH'!AM$5*'Annexe A  Plan RH'!BA97/'Annexe A  Plan RH'!BA$92</f>
        <v>0</v>
      </c>
      <c r="AN66" s="328">
        <f>1%*'Couts RH'!AN$5*'Annexe A  Plan RH'!BB97/'Annexe A  Plan RH'!BB$92</f>
        <v>0</v>
      </c>
      <c r="AO66" s="328">
        <f>1%*'Couts RH'!AO$5*'Annexe A  Plan RH'!BC97/'Annexe A  Plan RH'!BC$92</f>
        <v>0</v>
      </c>
      <c r="AP66" s="328">
        <f>1%*'Couts RH'!AP$5*'Annexe A  Plan RH'!BD97/'Annexe A  Plan RH'!BD$92</f>
        <v>0</v>
      </c>
      <c r="AQ66" s="328">
        <f>1%*'Couts RH'!AQ$5*'Annexe A  Plan RH'!BE97/'Annexe A  Plan RH'!BE$92</f>
        <v>0</v>
      </c>
      <c r="AR66" s="328">
        <f>1%*'Couts RH'!AR$5*'Annexe A  Plan RH'!BF97/'Annexe A  Plan RH'!BF$92</f>
        <v>0</v>
      </c>
      <c r="AS66" s="330">
        <f>1%*'Couts RH'!AS$5*'Annexe A  Plan RH'!BG97/'Annexe A  Plan RH'!BG$92</f>
        <v>0</v>
      </c>
      <c r="AT66" s="328">
        <f>1%*'Couts RH'!AT$5*'Annexe A  Plan RH'!BH97/'Annexe A  Plan RH'!BH$92</f>
        <v>0</v>
      </c>
      <c r="AU66" s="328">
        <f>1%*'Couts RH'!AU$5*'Annexe A  Plan RH'!BI97/'Annexe A  Plan RH'!BI$92</f>
        <v>0</v>
      </c>
      <c r="AV66" s="328">
        <f>1%*'Couts RH'!AV$5*'Annexe A  Plan RH'!BJ97/'Annexe A  Plan RH'!BJ$92</f>
        <v>0</v>
      </c>
      <c r="AW66" s="328">
        <f>1%*'Couts RH'!AW$5*'Annexe A  Plan RH'!BK97/'Annexe A  Plan RH'!BK$92</f>
        <v>0</v>
      </c>
      <c r="AX66" s="328">
        <f>1%*'Couts RH'!AX$5*'Annexe A  Plan RH'!BL97/'Annexe A  Plan RH'!BL$92</f>
        <v>0</v>
      </c>
      <c r="AY66" s="328">
        <f>1%*'Couts RH'!AY$5*'Annexe A  Plan RH'!BM97/'Annexe A  Plan RH'!BM$92</f>
        <v>0</v>
      </c>
      <c r="AZ66" s="328">
        <f>1%*'Couts RH'!AZ$5*'Annexe A  Plan RH'!BN97/'Annexe A  Plan RH'!BN$92</f>
        <v>0</v>
      </c>
      <c r="BA66" s="328">
        <f>1%*'Couts RH'!BA$5*'Annexe A  Plan RH'!BO97/'Annexe A  Plan RH'!BO$92</f>
        <v>0</v>
      </c>
      <c r="BB66" s="328">
        <f>1%*'Couts RH'!BB$5*'Annexe A  Plan RH'!BP97/'Annexe A  Plan RH'!BP$92</f>
        <v>0</v>
      </c>
      <c r="BC66" s="328">
        <f>1%*'Couts RH'!BC$5*'Annexe A  Plan RH'!BQ97/'Annexe A  Plan RH'!BQ$92</f>
        <v>0</v>
      </c>
      <c r="BD66" s="328">
        <f>1%*'Couts RH'!BD$5*'Annexe A  Plan RH'!BR97/'Annexe A  Plan RH'!BR$92</f>
        <v>0</v>
      </c>
      <c r="BE66" s="330">
        <f>1%*'Couts RH'!BE$5*'Annexe A  Plan RH'!BS97/'Annexe A  Plan RH'!BS$92</f>
        <v>0</v>
      </c>
      <c r="BF66" s="329">
        <f>1%*'Couts RH'!BF$5*'Annexe A  Plan RH'!BT97/'Annexe A  Plan RH'!BT$92</f>
        <v>0</v>
      </c>
      <c r="BG66" s="328">
        <f>1%*'Couts RH'!BG$5*'Annexe A  Plan RH'!BU97/'Annexe A  Plan RH'!BU$92</f>
        <v>0</v>
      </c>
      <c r="BH66" s="328">
        <f>1%*'Couts RH'!BH$5*'Annexe A  Plan RH'!BV97/'Annexe A  Plan RH'!BV$92</f>
        <v>0</v>
      </c>
      <c r="BI66" s="328">
        <f>1%*'Couts RH'!BI$5*'Annexe A  Plan RH'!BW97/'Annexe A  Plan RH'!BW$92</f>
        <v>0</v>
      </c>
      <c r="BJ66" s="328">
        <f>1%*'Couts RH'!BJ$5*'Annexe A  Plan RH'!BX97/'Annexe A  Plan RH'!BX$92</f>
        <v>0</v>
      </c>
      <c r="BK66" s="328">
        <f>1%*'Couts RH'!BK$5*'Annexe A  Plan RH'!BY97/'Annexe A  Plan RH'!BY$92</f>
        <v>0</v>
      </c>
      <c r="BL66" s="328">
        <f>1%*'Couts RH'!BL$5*'Annexe A  Plan RH'!BZ97/'Annexe A  Plan RH'!BZ$92</f>
        <v>0</v>
      </c>
      <c r="BM66" s="328">
        <f>1%*'Couts RH'!BM$5*'Annexe A  Plan RH'!CA97/'Annexe A  Plan RH'!CA$92</f>
        <v>0</v>
      </c>
      <c r="BN66" s="328">
        <f>1%*'Couts RH'!BN$5*'Annexe A  Plan RH'!CB97/'Annexe A  Plan RH'!CB$92</f>
        <v>0</v>
      </c>
      <c r="BO66" s="328">
        <f>1%*'Couts RH'!BO$5*'Annexe A  Plan RH'!CC97/'Annexe A  Plan RH'!CC$92</f>
        <v>0</v>
      </c>
      <c r="BP66" s="328">
        <f>1%*'Couts RH'!BP$5*'Annexe A  Plan RH'!CD97/'Annexe A  Plan RH'!CD$92</f>
        <v>0</v>
      </c>
      <c r="BQ66" s="330">
        <f>1%*'Couts RH'!BQ$5*'Annexe A  Plan RH'!CE97/'Annexe A  Plan RH'!CE$92</f>
        <v>0</v>
      </c>
      <c r="BR66" s="329">
        <f>1%*'Couts RH'!BR$5*'Annexe A  Plan RH'!CF97/'Annexe A  Plan RH'!CF$92</f>
        <v>0</v>
      </c>
      <c r="BS66" s="328">
        <f>1%*'Couts RH'!BS$5*'Annexe A  Plan RH'!CG97/'Annexe A  Plan RH'!CG$92</f>
        <v>0</v>
      </c>
      <c r="BT66" s="328">
        <f>1%*'Couts RH'!BT$5*'Annexe A  Plan RH'!CH97/'Annexe A  Plan RH'!CH$92</f>
        <v>0</v>
      </c>
      <c r="BU66" s="328">
        <f>1%*'Couts RH'!BU$5*'Annexe A  Plan RH'!CI97/'Annexe A  Plan RH'!CI$92</f>
        <v>0</v>
      </c>
      <c r="BV66" s="328">
        <f>1%*'Couts RH'!BV$5*'Annexe A  Plan RH'!CJ97/'Annexe A  Plan RH'!CJ$92</f>
        <v>0</v>
      </c>
      <c r="BW66" s="328">
        <f>1%*'Couts RH'!BW$5*'Annexe A  Plan RH'!CK97/'Annexe A  Plan RH'!CK$92</f>
        <v>0</v>
      </c>
      <c r="BX66" s="328">
        <f>1%*'Couts RH'!BX$5*'Annexe A  Plan RH'!CL97/'Annexe A  Plan RH'!CL$92</f>
        <v>0</v>
      </c>
      <c r="BY66" s="328">
        <f>1%*'Couts RH'!BY$5*'Annexe A  Plan RH'!CM97/'Annexe A  Plan RH'!CM$92</f>
        <v>0</v>
      </c>
      <c r="BZ66" s="328">
        <f>1%*'Couts RH'!BZ$5*'Annexe A  Plan RH'!CN97/'Annexe A  Plan RH'!CN$92</f>
        <v>0</v>
      </c>
      <c r="CA66" s="328">
        <f>1%*'Couts RH'!CA$5*'Annexe A  Plan RH'!CO97/'Annexe A  Plan RH'!CO$92</f>
        <v>0</v>
      </c>
      <c r="CB66" s="328">
        <f>1%*'Couts RH'!CB$5*'Annexe A  Plan RH'!CP97/'Annexe A  Plan RH'!CP$92</f>
        <v>0</v>
      </c>
      <c r="CC66" s="330">
        <f>1%*'Couts RH'!CC$5*'Annexe A  Plan RH'!CQ97/'Annexe A  Plan RH'!CQ$92</f>
        <v>0</v>
      </c>
    </row>
    <row r="67" spans="1:81" ht="14">
      <c r="A67" s="305" t="s">
        <v>187</v>
      </c>
      <c r="C67" s="40"/>
      <c r="I67" s="10"/>
      <c r="J67" s="328">
        <f>0.5%*'Couts RH'!J$5*'Annexe A  Plan RH'!X$97/'Annexe A  Plan RH'!X$92</f>
        <v>0</v>
      </c>
      <c r="K67" s="328">
        <f>0.5%*'Couts RH'!K$5*'Annexe A  Plan RH'!Y$97/'Annexe A  Plan RH'!Y$92</f>
        <v>0</v>
      </c>
      <c r="L67" s="328">
        <f>0.5%*'Couts RH'!L$5*'Annexe A  Plan RH'!Z$97/'Annexe A  Plan RH'!Z$92</f>
        <v>0</v>
      </c>
      <c r="M67" s="328">
        <f>0.5%*'Couts RH'!M$5*'Annexe A  Plan RH'!AA$97/'Annexe A  Plan RH'!AA$92</f>
        <v>0</v>
      </c>
      <c r="N67" s="328">
        <f>0.5%*'Couts RH'!N$5*'Annexe A  Plan RH'!AB$97/'Annexe A  Plan RH'!AB$92</f>
        <v>0</v>
      </c>
      <c r="O67" s="328">
        <f>0.5%*'Couts RH'!O$5*'Annexe A  Plan RH'!AC$97/'Annexe A  Plan RH'!AC$92</f>
        <v>0</v>
      </c>
      <c r="P67" s="328">
        <f>0.5%*'Couts RH'!P$5*'Annexe A  Plan RH'!AD$97/'Annexe A  Plan RH'!AD$92</f>
        <v>0</v>
      </c>
      <c r="Q67" s="328">
        <f>0.5%*'Couts RH'!Q$5*'Annexe A  Plan RH'!AE$97/'Annexe A  Plan RH'!AE$92</f>
        <v>0</v>
      </c>
      <c r="R67" s="328">
        <f>0.5%*'Couts RH'!R$5*'Annexe A  Plan RH'!AF$97/'Annexe A  Plan RH'!AF$92</f>
        <v>0</v>
      </c>
      <c r="S67" s="328">
        <f>0.5%*'Couts RH'!S$5*'Annexe A  Plan RH'!AG$97/'Annexe A  Plan RH'!AG$92</f>
        <v>0</v>
      </c>
      <c r="T67" s="328">
        <f>0.5%*'Couts RH'!T$5*'Annexe A  Plan RH'!AH$97/'Annexe A  Plan RH'!AH$92</f>
        <v>0</v>
      </c>
      <c r="U67" s="330">
        <f>0.5%*'Couts RH'!U$5*'Annexe A  Plan RH'!AI$97/'Annexe A  Plan RH'!AI$92</f>
        <v>0</v>
      </c>
      <c r="V67" s="329">
        <f>0.5%*'Couts RH'!V$5*'Annexe A  Plan RH'!AJ$97/'Annexe A  Plan RH'!AJ$92</f>
        <v>0</v>
      </c>
      <c r="W67" s="328">
        <f>0.5%*'Couts RH'!W$5*'Annexe A  Plan RH'!AK$97/'Annexe A  Plan RH'!AK$92</f>
        <v>0</v>
      </c>
      <c r="X67" s="328">
        <f>0.5%*'Couts RH'!X$5*'Annexe A  Plan RH'!AL$97/'Annexe A  Plan RH'!AL$92</f>
        <v>0</v>
      </c>
      <c r="Y67" s="328">
        <f>0.5%*'Couts RH'!Y$5*'Annexe A  Plan RH'!AM$97/'Annexe A  Plan RH'!AM$92</f>
        <v>0</v>
      </c>
      <c r="Z67" s="328">
        <f>0.5%*'Couts RH'!Z$5*'Annexe A  Plan RH'!AN$97/'Annexe A  Plan RH'!AN$92</f>
        <v>0</v>
      </c>
      <c r="AA67" s="328">
        <f>0.5%*'Couts RH'!AA$5*'Annexe A  Plan RH'!AO$97/'Annexe A  Plan RH'!AO$92</f>
        <v>0</v>
      </c>
      <c r="AB67" s="328">
        <f>0.5%*'Couts RH'!AB$5*'Annexe A  Plan RH'!AP$97/'Annexe A  Plan RH'!AP$92</f>
        <v>0</v>
      </c>
      <c r="AC67" s="328">
        <f>0.5%*'Couts RH'!AC$5*'Annexe A  Plan RH'!AQ$97/'Annexe A  Plan RH'!AQ$92</f>
        <v>0</v>
      </c>
      <c r="AD67" s="328">
        <f>0.5%*'Couts RH'!AD$5*'Annexe A  Plan RH'!AR$97/'Annexe A  Plan RH'!AR$92</f>
        <v>0</v>
      </c>
      <c r="AE67" s="328">
        <f>0.5%*'Couts RH'!AE$5*'Annexe A  Plan RH'!AS$97/'Annexe A  Plan RH'!AS$92</f>
        <v>0</v>
      </c>
      <c r="AF67" s="328">
        <f>0.5%*'Couts RH'!AF$5*'Annexe A  Plan RH'!AT$97/'Annexe A  Plan RH'!AT$92</f>
        <v>0</v>
      </c>
      <c r="AG67" s="330">
        <f>0.5%*'Couts RH'!AG$5*'Annexe A  Plan RH'!AU$97/'Annexe A  Plan RH'!AU$92</f>
        <v>0</v>
      </c>
      <c r="AH67" s="329">
        <f>0.5%*'Couts RH'!AH$5*'Annexe A  Plan RH'!AV$97/'Annexe A  Plan RH'!AV$92</f>
        <v>0</v>
      </c>
      <c r="AI67" s="328">
        <f>0.5%*'Couts RH'!AI$5*'Annexe A  Plan RH'!AW$97/'Annexe A  Plan RH'!AW$92</f>
        <v>0</v>
      </c>
      <c r="AJ67" s="328">
        <f>0.5%*'Couts RH'!AJ$5*'Annexe A  Plan RH'!AX$97/'Annexe A  Plan RH'!AX$92</f>
        <v>0</v>
      </c>
      <c r="AK67" s="328">
        <f>0.5%*'Couts RH'!AK$5*'Annexe A  Plan RH'!AY$97/'Annexe A  Plan RH'!AY$92</f>
        <v>0</v>
      </c>
      <c r="AL67" s="328">
        <f>0.5%*'Couts RH'!AL$5*'Annexe A  Plan RH'!AZ$97/'Annexe A  Plan RH'!AZ$92</f>
        <v>0</v>
      </c>
      <c r="AM67" s="328">
        <f>0.5%*'Couts RH'!AM$5*'Annexe A  Plan RH'!BA$97/'Annexe A  Plan RH'!BA$92</f>
        <v>0</v>
      </c>
      <c r="AN67" s="328">
        <f>0.5%*'Couts RH'!AN$5*'Annexe A  Plan RH'!BB$97/'Annexe A  Plan RH'!BB$92</f>
        <v>0</v>
      </c>
      <c r="AO67" s="328">
        <f>0.5%*'Couts RH'!AO$5*'Annexe A  Plan RH'!BC$97/'Annexe A  Plan RH'!BC$92</f>
        <v>0</v>
      </c>
      <c r="AP67" s="328">
        <f>0.5%*'Couts RH'!AP$5*'Annexe A  Plan RH'!BD$97/'Annexe A  Plan RH'!BD$92</f>
        <v>0</v>
      </c>
      <c r="AQ67" s="328">
        <f>0.5%*'Couts RH'!AQ$5*'Annexe A  Plan RH'!BE$97/'Annexe A  Plan RH'!BE$92</f>
        <v>0</v>
      </c>
      <c r="AR67" s="328">
        <f>0.5%*'Couts RH'!AR$5*'Annexe A  Plan RH'!BF$97/'Annexe A  Plan RH'!BF$92</f>
        <v>0</v>
      </c>
      <c r="AS67" s="330">
        <f>0.5%*'Couts RH'!AS$5*'Annexe A  Plan RH'!BG$97/'Annexe A  Plan RH'!BG$92</f>
        <v>0</v>
      </c>
      <c r="AT67" s="328">
        <f>0.5%*'Couts RH'!AT$5*'Annexe A  Plan RH'!BH$97/'Annexe A  Plan RH'!BH$92</f>
        <v>0</v>
      </c>
      <c r="AU67" s="328">
        <f>0.5%*'Couts RH'!AU$5*'Annexe A  Plan RH'!BI$97/'Annexe A  Plan RH'!BI$92</f>
        <v>0</v>
      </c>
      <c r="AV67" s="328">
        <f>0.5%*'Couts RH'!AV$5*'Annexe A  Plan RH'!BJ$97/'Annexe A  Plan RH'!BJ$92</f>
        <v>0</v>
      </c>
      <c r="AW67" s="328">
        <f>0.5%*'Couts RH'!AW$5*'Annexe A  Plan RH'!BK$97/'Annexe A  Plan RH'!BK$92</f>
        <v>0</v>
      </c>
      <c r="AX67" s="328">
        <f>0.5%*'Couts RH'!AX$5*'Annexe A  Plan RH'!BL$97/'Annexe A  Plan RH'!BL$92</f>
        <v>0</v>
      </c>
      <c r="AY67" s="328">
        <f>0.5%*'Couts RH'!AY$5*'Annexe A  Plan RH'!BM$97/'Annexe A  Plan RH'!BM$92</f>
        <v>0</v>
      </c>
      <c r="AZ67" s="328">
        <f>0.5%*'Couts RH'!AZ$5*'Annexe A  Plan RH'!BN$97/'Annexe A  Plan RH'!BN$92</f>
        <v>0</v>
      </c>
      <c r="BA67" s="328">
        <f>0.5%*'Couts RH'!BA$5*'Annexe A  Plan RH'!BO$97/'Annexe A  Plan RH'!BO$92</f>
        <v>0</v>
      </c>
      <c r="BB67" s="328">
        <f>0.5%*'Couts RH'!BB$5*'Annexe A  Plan RH'!BP$97/'Annexe A  Plan RH'!BP$92</f>
        <v>0</v>
      </c>
      <c r="BC67" s="328">
        <f>0.5%*'Couts RH'!BC$5*'Annexe A  Plan RH'!BQ$97/'Annexe A  Plan RH'!BQ$92</f>
        <v>0</v>
      </c>
      <c r="BD67" s="328">
        <f>0.5%*'Couts RH'!BD$5*'Annexe A  Plan RH'!BR$97/'Annexe A  Plan RH'!BR$92</f>
        <v>0</v>
      </c>
      <c r="BE67" s="330">
        <f>0.5%*'Couts RH'!BE$5*'Annexe A  Plan RH'!BS$97/'Annexe A  Plan RH'!BS$92</f>
        <v>0</v>
      </c>
      <c r="BF67" s="329">
        <f>0.5%*'Couts RH'!BF$5*'Annexe A  Plan RH'!BT$97/'Annexe A  Plan RH'!BT$92</f>
        <v>0</v>
      </c>
      <c r="BG67" s="328">
        <f>0.5%*'Couts RH'!BG$5*'Annexe A  Plan RH'!BU$97/'Annexe A  Plan RH'!BU$92</f>
        <v>0</v>
      </c>
      <c r="BH67" s="328">
        <f>0.5%*'Couts RH'!BH$5*'Annexe A  Plan RH'!BV$97/'Annexe A  Plan RH'!BV$92</f>
        <v>0</v>
      </c>
      <c r="BI67" s="328">
        <f>0.5%*'Couts RH'!BI$5*'Annexe A  Plan RH'!BW$97/'Annexe A  Plan RH'!BW$92</f>
        <v>0</v>
      </c>
      <c r="BJ67" s="328">
        <f>0.5%*'Couts RH'!BJ$5*'Annexe A  Plan RH'!BX$97/'Annexe A  Plan RH'!BX$92</f>
        <v>0</v>
      </c>
      <c r="BK67" s="328">
        <f>0.5%*'Couts RH'!BK$5*'Annexe A  Plan RH'!BY$97/'Annexe A  Plan RH'!BY$92</f>
        <v>0</v>
      </c>
      <c r="BL67" s="328">
        <f>0.5%*'Couts RH'!BL$5*'Annexe A  Plan RH'!BZ$97/'Annexe A  Plan RH'!BZ$92</f>
        <v>0</v>
      </c>
      <c r="BM67" s="328">
        <f>0.5%*'Couts RH'!BM$5*'Annexe A  Plan RH'!CA$97/'Annexe A  Plan RH'!CA$92</f>
        <v>0</v>
      </c>
      <c r="BN67" s="328">
        <f>0.5%*'Couts RH'!BN$5*'Annexe A  Plan RH'!CB$97/'Annexe A  Plan RH'!CB$92</f>
        <v>0</v>
      </c>
      <c r="BO67" s="328">
        <f>0.5%*'Couts RH'!BO$5*'Annexe A  Plan RH'!CC$97/'Annexe A  Plan RH'!CC$92</f>
        <v>0</v>
      </c>
      <c r="BP67" s="328">
        <f>0.5%*'Couts RH'!BP$5*'Annexe A  Plan RH'!CD$97/'Annexe A  Plan RH'!CD$92</f>
        <v>0</v>
      </c>
      <c r="BQ67" s="330">
        <f>0.5%*'Couts RH'!BQ$5*'Annexe A  Plan RH'!CE$97/'Annexe A  Plan RH'!CE$92</f>
        <v>0</v>
      </c>
      <c r="BR67" s="329">
        <f>0.5%*'Couts RH'!BR$5*'Annexe A  Plan RH'!CF$97/'Annexe A  Plan RH'!CF$92</f>
        <v>0</v>
      </c>
      <c r="BS67" s="328">
        <f>0.5%*'Couts RH'!BS$5*'Annexe A  Plan RH'!CG$97/'Annexe A  Plan RH'!CG$92</f>
        <v>0</v>
      </c>
      <c r="BT67" s="328">
        <f>0.5%*'Couts RH'!BT$5*'Annexe A  Plan RH'!CH$97/'Annexe A  Plan RH'!CH$92</f>
        <v>0</v>
      </c>
      <c r="BU67" s="328">
        <f>0.5%*'Couts RH'!BU$5*'Annexe A  Plan RH'!CI$97/'Annexe A  Plan RH'!CI$92</f>
        <v>0</v>
      </c>
      <c r="BV67" s="328">
        <f>0.5%*'Couts RH'!BV$5*'Annexe A  Plan RH'!CJ$97/'Annexe A  Plan RH'!CJ$92</f>
        <v>0</v>
      </c>
      <c r="BW67" s="328">
        <f>0.5%*'Couts RH'!BW$5*'Annexe A  Plan RH'!CK$97/'Annexe A  Plan RH'!CK$92</f>
        <v>0</v>
      </c>
      <c r="BX67" s="328">
        <f>0.5%*'Couts RH'!BX$5*'Annexe A  Plan RH'!CL$97/'Annexe A  Plan RH'!CL$92</f>
        <v>0</v>
      </c>
      <c r="BY67" s="328">
        <f>0.5%*'Couts RH'!BY$5*'Annexe A  Plan RH'!CM$97/'Annexe A  Plan RH'!CM$92</f>
        <v>0</v>
      </c>
      <c r="BZ67" s="328">
        <f>0.5%*'Couts RH'!BZ$5*'Annexe A  Plan RH'!CN$97/'Annexe A  Plan RH'!CN$92</f>
        <v>0</v>
      </c>
      <c r="CA67" s="328">
        <f>0.5%*'Couts RH'!CA$5*'Annexe A  Plan RH'!CO$97/'Annexe A  Plan RH'!CO$92</f>
        <v>0</v>
      </c>
      <c r="CB67" s="328">
        <f>0.5%*'Couts RH'!CB$5*'Annexe A  Plan RH'!CP$97/'Annexe A  Plan RH'!CP$92</f>
        <v>0</v>
      </c>
      <c r="CC67" s="330">
        <f>0.5%*'Couts RH'!CC$5*'Annexe A  Plan RH'!CQ$97/'Annexe A  Plan RH'!CQ$92</f>
        <v>0</v>
      </c>
    </row>
    <row r="68" spans="1:81" ht="14">
      <c r="A68" s="305" t="s">
        <v>188</v>
      </c>
      <c r="C68" s="40"/>
      <c r="I68" s="10"/>
      <c r="J68" s="40"/>
      <c r="U68" s="10"/>
      <c r="V68" s="40"/>
      <c r="AG68" s="10"/>
      <c r="AH68" s="40"/>
      <c r="AS68" s="10"/>
      <c r="AT68" s="130">
        <f>-'Annexe A  Plan RH'!BA97*Hypothèses!$B$98</f>
        <v>0</v>
      </c>
      <c r="AU68" s="130">
        <f>-'Annexe A  Plan RH'!BB97*Hypothèses!$B$98</f>
        <v>0</v>
      </c>
      <c r="AV68" s="130">
        <f>-'Annexe A  Plan RH'!BC97*Hypothèses!$B$98</f>
        <v>0</v>
      </c>
      <c r="AW68" s="130">
        <f>-'Annexe A  Plan RH'!BD97*Hypothèses!$B$98</f>
        <v>0</v>
      </c>
      <c r="AX68" s="130">
        <f>-'Annexe A  Plan RH'!BE97*Hypothèses!$B$98</f>
        <v>0</v>
      </c>
      <c r="AY68" s="130">
        <f>-'Annexe A  Plan RH'!BF97*Hypothèses!$B$98</f>
        <v>0</v>
      </c>
      <c r="AZ68" s="130">
        <f>-'Annexe A  Plan RH'!BG97*Hypothèses!$B$98</f>
        <v>0</v>
      </c>
      <c r="BA68" s="130">
        <f>-'Annexe A  Plan RH'!BH97*Hypothèses!$B$98</f>
        <v>0</v>
      </c>
      <c r="BB68" s="130">
        <f>-'Annexe A  Plan RH'!BI97*Hypothèses!$B$98</f>
        <v>0</v>
      </c>
      <c r="BC68" s="130">
        <f>-'Annexe A  Plan RH'!BJ97*Hypothèses!$B$98</f>
        <v>0</v>
      </c>
      <c r="BD68" s="130">
        <f>-'Annexe A  Plan RH'!BK97*Hypothèses!$B$98</f>
        <v>0</v>
      </c>
      <c r="BE68" s="131">
        <f>-'Annexe A  Plan RH'!BL97*Hypothèses!$B$98</f>
        <v>0</v>
      </c>
      <c r="BF68" s="129">
        <f>-'Annexe A  Plan RH'!BM97*Hypothèses!$B$98</f>
        <v>0</v>
      </c>
      <c r="BG68" s="130">
        <f>-'Annexe A  Plan RH'!BN97*Hypothèses!$B$98</f>
        <v>0</v>
      </c>
      <c r="BH68" s="130">
        <f>-'Annexe A  Plan RH'!BO97*Hypothèses!$B$98</f>
        <v>0</v>
      </c>
      <c r="BI68" s="130">
        <f>-'Annexe A  Plan RH'!BP97*Hypothèses!$B$98</f>
        <v>0</v>
      </c>
      <c r="BJ68" s="130">
        <f>-'Annexe A  Plan RH'!BQ97*Hypothèses!$B$98</f>
        <v>0</v>
      </c>
      <c r="BK68" s="130">
        <f>-'Annexe A  Plan RH'!BR97*Hypothèses!$B$98</f>
        <v>0</v>
      </c>
      <c r="BL68" s="130">
        <f>-'Annexe A  Plan RH'!BS97*Hypothèses!$B$98</f>
        <v>0</v>
      </c>
      <c r="BM68" s="130">
        <f>-'Annexe A  Plan RH'!BT97*Hypothèses!$B$98</f>
        <v>0</v>
      </c>
      <c r="BN68" s="130">
        <f>-'Annexe A  Plan RH'!BU97*Hypothèses!$B$98</f>
        <v>0</v>
      </c>
      <c r="BO68" s="130">
        <f>-'Annexe A  Plan RH'!BV97*Hypothèses!$B$98</f>
        <v>0</v>
      </c>
      <c r="BP68" s="130">
        <f>-'Annexe A  Plan RH'!BW97*Hypothèses!$B$98</f>
        <v>0</v>
      </c>
      <c r="BQ68" s="131">
        <f>-'Annexe A  Plan RH'!BX97*Hypothèses!$B$98</f>
        <v>0</v>
      </c>
      <c r="BR68" s="129">
        <f>-'Annexe A  Plan RH'!BY97*Hypothèses!$B$98</f>
        <v>0</v>
      </c>
      <c r="BS68" s="130">
        <f>-'Annexe A  Plan RH'!BZ97*Hypothèses!$B$98</f>
        <v>0</v>
      </c>
      <c r="BT68" s="130">
        <f>-'Annexe A  Plan RH'!CA97*Hypothèses!$B$98</f>
        <v>0</v>
      </c>
      <c r="BU68" s="130">
        <f>-'Annexe A  Plan RH'!CB97*Hypothèses!$B$98</f>
        <v>0</v>
      </c>
      <c r="BV68" s="130">
        <f>-'Annexe A  Plan RH'!CC97*Hypothèses!$B$98</f>
        <v>0</v>
      </c>
      <c r="BW68" s="130">
        <f>-'Annexe A  Plan RH'!CD97*Hypothèses!$B$98</f>
        <v>0</v>
      </c>
      <c r="BX68" s="130">
        <f>-'Annexe A  Plan RH'!CE97*Hypothèses!$B$98</f>
        <v>0</v>
      </c>
      <c r="BY68" s="130">
        <f>-'Annexe A  Plan RH'!CF97*Hypothèses!$B$98</f>
        <v>0</v>
      </c>
      <c r="BZ68" s="130">
        <f>-'Annexe A  Plan RH'!CG97*Hypothèses!$B$98</f>
        <v>0</v>
      </c>
      <c r="CA68" s="130">
        <f>-'Annexe A  Plan RH'!CH97*Hypothèses!$B$98</f>
        <v>0</v>
      </c>
      <c r="CB68" s="130">
        <f>-'Annexe A  Plan RH'!CI97*Hypothèses!$B$98</f>
        <v>0</v>
      </c>
      <c r="CC68" s="131">
        <f>-'Annexe A  Plan RH'!CJ97*Hypothèses!$B$98</f>
        <v>0</v>
      </c>
    </row>
    <row r="69" spans="1:81" ht="14">
      <c r="A69" s="305" t="s">
        <v>189</v>
      </c>
      <c r="C69" s="40"/>
      <c r="I69" s="10"/>
      <c r="J69" s="40"/>
      <c r="U69" s="10"/>
      <c r="V69" s="40"/>
      <c r="AG69" s="10"/>
      <c r="AH69" s="40"/>
      <c r="AS69" s="10"/>
      <c r="AT69" s="328">
        <f>-'Annexe A  Plan RH'!BH97*Hypothèses!$B$99</f>
        <v>0</v>
      </c>
      <c r="AU69" s="328">
        <f>-'Annexe A  Plan RH'!BI97*Hypothèses!$B$99</f>
        <v>0</v>
      </c>
      <c r="AV69" s="328">
        <f>-'Annexe A  Plan RH'!BJ97*Hypothèses!$B$99</f>
        <v>0</v>
      </c>
      <c r="AW69" s="328">
        <f>-'Annexe A  Plan RH'!BK97*Hypothèses!$B$99</f>
        <v>0</v>
      </c>
      <c r="AX69" s="328">
        <f>-'Annexe A  Plan RH'!BL97*Hypothèses!$B$99</f>
        <v>0</v>
      </c>
      <c r="AY69" s="328">
        <f>-'Annexe A  Plan RH'!BM97*Hypothèses!$B$99</f>
        <v>0</v>
      </c>
      <c r="AZ69" s="328">
        <f>-'Annexe A  Plan RH'!BN97*Hypothèses!$B$99</f>
        <v>0</v>
      </c>
      <c r="BA69" s="328">
        <f>-'Annexe A  Plan RH'!BO97*Hypothèses!$B$99</f>
        <v>0</v>
      </c>
      <c r="BB69" s="328">
        <f>-'Annexe A  Plan RH'!BP97*Hypothèses!$B$99</f>
        <v>0</v>
      </c>
      <c r="BC69" s="328">
        <f>-'Annexe A  Plan RH'!BQ97*Hypothèses!$B$99</f>
        <v>0</v>
      </c>
      <c r="BD69" s="328">
        <f>-'Annexe A  Plan RH'!BR97*Hypothèses!$B$99</f>
        <v>0</v>
      </c>
      <c r="BE69" s="330">
        <f>-'Annexe A  Plan RH'!BS97*Hypothèses!$B$99</f>
        <v>0</v>
      </c>
      <c r="BF69" s="329">
        <f>-'Annexe A  Plan RH'!BT97*Hypothèses!$B$99</f>
        <v>0</v>
      </c>
      <c r="BG69" s="328">
        <f>-'Annexe A  Plan RH'!BU97*Hypothèses!$B$99</f>
        <v>0</v>
      </c>
      <c r="BH69" s="328">
        <f>-'Annexe A  Plan RH'!BV97*Hypothèses!$B$99</f>
        <v>0</v>
      </c>
      <c r="BI69" s="328">
        <f>-'Annexe A  Plan RH'!BW97*Hypothèses!$B$99</f>
        <v>0</v>
      </c>
      <c r="BJ69" s="328">
        <f>-'Annexe A  Plan RH'!BX97*Hypothèses!$B$99</f>
        <v>0</v>
      </c>
      <c r="BK69" s="328">
        <f>-'Annexe A  Plan RH'!BY97*Hypothèses!$B$99</f>
        <v>0</v>
      </c>
      <c r="BL69" s="328">
        <f>-'Annexe A  Plan RH'!BZ97*Hypothèses!$B$99</f>
        <v>0</v>
      </c>
      <c r="BM69" s="328">
        <f>-'Annexe A  Plan RH'!CA97*Hypothèses!$B$99</f>
        <v>0</v>
      </c>
      <c r="BN69" s="328">
        <f>-'Annexe A  Plan RH'!CB97*Hypothèses!$B$99</f>
        <v>0</v>
      </c>
      <c r="BO69" s="328">
        <f>-'Annexe A  Plan RH'!CC97*Hypothèses!$B$99</f>
        <v>0</v>
      </c>
      <c r="BP69" s="328">
        <f>-'Annexe A  Plan RH'!CD97*Hypothèses!$B$99</f>
        <v>0</v>
      </c>
      <c r="BQ69" s="330">
        <f>-'Annexe A  Plan RH'!CE97*Hypothèses!$B$99</f>
        <v>0</v>
      </c>
      <c r="BR69" s="329">
        <f>-'Annexe A  Plan RH'!CF97*Hypothèses!$B$99</f>
        <v>0</v>
      </c>
      <c r="BS69" s="328">
        <f>-'Annexe A  Plan RH'!CG97*Hypothèses!$B$99</f>
        <v>0</v>
      </c>
      <c r="BT69" s="328">
        <f>-'Annexe A  Plan RH'!CH97*Hypothèses!$B$99</f>
        <v>0</v>
      </c>
      <c r="BU69" s="328">
        <f>-'Annexe A  Plan RH'!CI97*Hypothèses!$B$99</f>
        <v>0</v>
      </c>
      <c r="BV69" s="328">
        <f>-'Annexe A  Plan RH'!CJ97*Hypothèses!$B$99</f>
        <v>0</v>
      </c>
      <c r="BW69" s="328">
        <f>-'Annexe A  Plan RH'!CK97*Hypothèses!$B$99</f>
        <v>0</v>
      </c>
      <c r="BX69" s="328">
        <f>-'Annexe A  Plan RH'!CL97*Hypothèses!$B$99</f>
        <v>0</v>
      </c>
      <c r="BY69" s="328">
        <f>-'Annexe A  Plan RH'!CM97*Hypothèses!$B$99</f>
        <v>0</v>
      </c>
      <c r="BZ69" s="328">
        <f>-'Annexe A  Plan RH'!CN97*Hypothèses!$B$99</f>
        <v>0</v>
      </c>
      <c r="CA69" s="328">
        <f>-'Annexe A  Plan RH'!CO97*Hypothèses!$B$99</f>
        <v>0</v>
      </c>
      <c r="CB69" s="328">
        <f>-'Annexe A  Plan RH'!CP97*Hypothèses!$B$99</f>
        <v>0</v>
      </c>
      <c r="CC69" s="330">
        <f>-'Annexe A  Plan RH'!CQ97*Hypothèses!$B$99</f>
        <v>0</v>
      </c>
    </row>
    <row r="70" spans="1:81" ht="14">
      <c r="A70" s="305" t="s">
        <v>190</v>
      </c>
      <c r="C70" s="40"/>
      <c r="I70" s="10"/>
      <c r="J70" s="40"/>
      <c r="U70" s="10"/>
      <c r="V70" s="40"/>
      <c r="AG70" s="10"/>
      <c r="AH70" s="40"/>
      <c r="AS70" s="10"/>
      <c r="AT70" s="328">
        <f>-'Annexe A  Plan RH'!BH97*Hypothèses!$B$98</f>
        <v>0</v>
      </c>
      <c r="AU70" s="328">
        <f>-'Annexe A  Plan RH'!BI97*Hypothèses!$B$98</f>
        <v>0</v>
      </c>
      <c r="AV70" s="328">
        <f>-'Annexe A  Plan RH'!BJ97*Hypothèses!$B$98</f>
        <v>0</v>
      </c>
      <c r="AW70" s="328">
        <f>-'Annexe A  Plan RH'!BK97*Hypothèses!$B$98</f>
        <v>0</v>
      </c>
      <c r="AX70" s="328">
        <f>-'Annexe A  Plan RH'!BL97*Hypothèses!$B$98</f>
        <v>0</v>
      </c>
      <c r="AY70" s="328">
        <f>-'Annexe A  Plan RH'!BM97*Hypothèses!$B$98</f>
        <v>0</v>
      </c>
      <c r="AZ70" s="328">
        <f>-'Annexe A  Plan RH'!BN97*Hypothèses!$B$98</f>
        <v>0</v>
      </c>
      <c r="BA70" s="328">
        <f>-'Annexe A  Plan RH'!BO97*Hypothèses!$B$98</f>
        <v>0</v>
      </c>
      <c r="BB70" s="328">
        <f>-'Annexe A  Plan RH'!BP97*Hypothèses!$B$98</f>
        <v>0</v>
      </c>
      <c r="BC70" s="328">
        <f>-'Annexe A  Plan RH'!BQ97*Hypothèses!$B$98</f>
        <v>0</v>
      </c>
      <c r="BD70" s="328">
        <f>-'Annexe A  Plan RH'!BR97*Hypothèses!$B$98</f>
        <v>0</v>
      </c>
      <c r="BE70" s="330">
        <f>-'Annexe A  Plan RH'!BS97*Hypothèses!$B$98</f>
        <v>0</v>
      </c>
      <c r="BF70" s="329">
        <f>-'Annexe A  Plan RH'!BT97*Hypothèses!$B$98</f>
        <v>0</v>
      </c>
      <c r="BG70" s="328">
        <f>-'Annexe A  Plan RH'!BU97*Hypothèses!$B$98</f>
        <v>0</v>
      </c>
      <c r="BH70" s="328">
        <f>-'Annexe A  Plan RH'!BV97*Hypothèses!$B$98</f>
        <v>0</v>
      </c>
      <c r="BI70" s="328">
        <f>-'Annexe A  Plan RH'!BW97*Hypothèses!$B$98</f>
        <v>0</v>
      </c>
      <c r="BJ70" s="328">
        <f>-'Annexe A  Plan RH'!BX97*Hypothèses!$B$98</f>
        <v>0</v>
      </c>
      <c r="BK70" s="328">
        <f>-'Annexe A  Plan RH'!BY97*Hypothèses!$B$98</f>
        <v>0</v>
      </c>
      <c r="BL70" s="328">
        <f>-'Annexe A  Plan RH'!BZ97*Hypothèses!$B$98</f>
        <v>0</v>
      </c>
      <c r="BM70" s="328">
        <f>-'Annexe A  Plan RH'!CA97*Hypothèses!$B$98</f>
        <v>0</v>
      </c>
      <c r="BN70" s="328">
        <f>-'Annexe A  Plan RH'!CB97*Hypothèses!$B$98</f>
        <v>0</v>
      </c>
      <c r="BO70" s="328">
        <f>-'Annexe A  Plan RH'!CC97*Hypothèses!$B$98</f>
        <v>0</v>
      </c>
      <c r="BP70" s="328">
        <f>-'Annexe A  Plan RH'!CD97*Hypothèses!$B$98</f>
        <v>0</v>
      </c>
      <c r="BQ70" s="330">
        <f>-'Annexe A  Plan RH'!CE97*Hypothèses!$B$98</f>
        <v>0</v>
      </c>
      <c r="BR70" s="329">
        <f>-'Annexe A  Plan RH'!CF97*Hypothèses!$B$98</f>
        <v>0</v>
      </c>
      <c r="BS70" s="328">
        <f>-'Annexe A  Plan RH'!CG97*Hypothèses!$B$98</f>
        <v>0</v>
      </c>
      <c r="BT70" s="328">
        <f>-'Annexe A  Plan RH'!CH97*Hypothèses!$B$98</f>
        <v>0</v>
      </c>
      <c r="BU70" s="328">
        <f>-'Annexe A  Plan RH'!CI97*Hypothèses!$B$98</f>
        <v>0</v>
      </c>
      <c r="BV70" s="328">
        <f>-'Annexe A  Plan RH'!CJ97*Hypothèses!$B$98</f>
        <v>0</v>
      </c>
      <c r="BW70" s="328">
        <f>-'Annexe A  Plan RH'!CK97*Hypothèses!$B$98</f>
        <v>0</v>
      </c>
      <c r="BX70" s="328">
        <f>-'Annexe A  Plan RH'!CL97*Hypothèses!$B$98</f>
        <v>0</v>
      </c>
      <c r="BY70" s="328">
        <f>-'Annexe A  Plan RH'!CM97*Hypothèses!$B$98</f>
        <v>0</v>
      </c>
      <c r="BZ70" s="328">
        <f>-'Annexe A  Plan RH'!CN97*Hypothèses!$B$98</f>
        <v>0</v>
      </c>
      <c r="CA70" s="328">
        <f>-'Annexe A  Plan RH'!CO97*Hypothèses!$B$98</f>
        <v>0</v>
      </c>
      <c r="CB70" s="328">
        <f>-'Annexe A  Plan RH'!CP97*Hypothèses!$B$98</f>
        <v>0</v>
      </c>
      <c r="CC70" s="330">
        <f>-'Annexe A  Plan RH'!CQ97*Hypothèses!$B$98</f>
        <v>0</v>
      </c>
    </row>
    <row r="71" spans="1:81" ht="14">
      <c r="A71" s="305" t="s">
        <v>191</v>
      </c>
      <c r="C71" s="40"/>
      <c r="I71" s="10"/>
      <c r="J71" s="40"/>
      <c r="U71" s="10"/>
      <c r="V71" s="40"/>
      <c r="AG71" s="10"/>
      <c r="AH71" s="40"/>
      <c r="AS71" s="10"/>
      <c r="AT71" s="130">
        <f>-Hypothèses!$F$65/12</f>
        <v>0</v>
      </c>
      <c r="AU71" s="130">
        <f>-Hypothèses!$F$65/12</f>
        <v>0</v>
      </c>
      <c r="AV71" s="130">
        <f>-Hypothèses!$F$65/12</f>
        <v>0</v>
      </c>
      <c r="AW71" s="130">
        <f>-Hypothèses!$F$65/12</f>
        <v>0</v>
      </c>
      <c r="AX71" s="130">
        <f>-Hypothèses!$F$65/12</f>
        <v>0</v>
      </c>
      <c r="AY71" s="130">
        <f>-Hypothèses!$F$65/12</f>
        <v>0</v>
      </c>
      <c r="AZ71" s="130">
        <f>-Hypothèses!$F$65/12</f>
        <v>0</v>
      </c>
      <c r="BA71" s="130">
        <f>-Hypothèses!$F$65/12</f>
        <v>0</v>
      </c>
      <c r="BB71" s="130">
        <f>-Hypothèses!$F$65/12</f>
        <v>0</v>
      </c>
      <c r="BC71" s="130">
        <f>-Hypothèses!$F$65/12</f>
        <v>0</v>
      </c>
      <c r="BD71" s="130">
        <f>-Hypothèses!$F$65/12</f>
        <v>0</v>
      </c>
      <c r="BE71" s="131">
        <f>-Hypothèses!$F$65/12</f>
        <v>0</v>
      </c>
      <c r="BF71" s="129">
        <f>-Hypothèses!$G$65/12</f>
        <v>0</v>
      </c>
      <c r="BG71" s="130">
        <f>-Hypothèses!$G$65/12</f>
        <v>0</v>
      </c>
      <c r="BH71" s="130">
        <f>-Hypothèses!$G$65/12</f>
        <v>0</v>
      </c>
      <c r="BI71" s="130">
        <f>-Hypothèses!$G$65/12</f>
        <v>0</v>
      </c>
      <c r="BJ71" s="130">
        <f>-Hypothèses!$G$65/12</f>
        <v>0</v>
      </c>
      <c r="BK71" s="130">
        <f>-Hypothèses!$G$65/12</f>
        <v>0</v>
      </c>
      <c r="BL71" s="130">
        <f>-Hypothèses!$G$65/12</f>
        <v>0</v>
      </c>
      <c r="BM71" s="130">
        <f>-Hypothèses!$G$65/12</f>
        <v>0</v>
      </c>
      <c r="BN71" s="130">
        <f>-Hypothèses!$G$65/12</f>
        <v>0</v>
      </c>
      <c r="BO71" s="130">
        <f>-Hypothèses!$G$65/12</f>
        <v>0</v>
      </c>
      <c r="BP71" s="130">
        <f>-Hypothèses!$G$65/12</f>
        <v>0</v>
      </c>
      <c r="BQ71" s="131">
        <f>-Hypothèses!$G$65/12</f>
        <v>0</v>
      </c>
      <c r="BR71" s="129">
        <f>-Hypothèses!$H$65/12</f>
        <v>0</v>
      </c>
      <c r="BS71" s="130">
        <f>-Hypothèses!$H$65/12</f>
        <v>0</v>
      </c>
      <c r="BT71" s="130">
        <f>-Hypothèses!$H$65/12</f>
        <v>0</v>
      </c>
      <c r="BU71" s="130">
        <f>-Hypothèses!$H$65/12</f>
        <v>0</v>
      </c>
      <c r="BV71" s="130">
        <f>-Hypothèses!$H$65/12</f>
        <v>0</v>
      </c>
      <c r="BW71" s="130">
        <f>-Hypothèses!$H$65/12</f>
        <v>0</v>
      </c>
      <c r="BX71" s="130">
        <f>-Hypothèses!$H$65/12</f>
        <v>0</v>
      </c>
      <c r="BY71" s="130">
        <f>-Hypothèses!$H$65/12</f>
        <v>0</v>
      </c>
      <c r="BZ71" s="130">
        <f>-Hypothèses!$H$65/12</f>
        <v>0</v>
      </c>
      <c r="CA71" s="130">
        <f>-Hypothèses!$H$65/12</f>
        <v>0</v>
      </c>
      <c r="CB71" s="130">
        <f>-Hypothèses!$H$65/12</f>
        <v>0</v>
      </c>
      <c r="CC71" s="131">
        <f>-Hypothèses!$H$65/12</f>
        <v>0</v>
      </c>
    </row>
    <row r="72" spans="1:81" ht="14">
      <c r="A72" s="305" t="s">
        <v>198</v>
      </c>
      <c r="C72" s="40"/>
      <c r="I72" s="10"/>
      <c r="J72" s="328">
        <f>0.5%*'Couts RH'!J$5*'Annexe A  Plan RH'!X$97/'Annexe A  Plan RH'!X$92</f>
        <v>0</v>
      </c>
      <c r="K72" s="328">
        <f>0.5%*'Couts RH'!K$5*'Annexe A  Plan RH'!Y$97/'Annexe A  Plan RH'!Y$92</f>
        <v>0</v>
      </c>
      <c r="L72" s="328">
        <f>0.5%*'Couts RH'!L$5*'Annexe A  Plan RH'!Z$97/'Annexe A  Plan RH'!Z$92</f>
        <v>0</v>
      </c>
      <c r="M72" s="328">
        <f>0.5%*'Couts RH'!M$5*'Annexe A  Plan RH'!AA$97/'Annexe A  Plan RH'!AA$92</f>
        <v>0</v>
      </c>
      <c r="N72" s="328">
        <f>0.5%*'Couts RH'!N$5*'Annexe A  Plan RH'!AB$97/'Annexe A  Plan RH'!AB$92</f>
        <v>0</v>
      </c>
      <c r="O72" s="328">
        <f>0.5%*'Couts RH'!O$5*'Annexe A  Plan RH'!AC$97/'Annexe A  Plan RH'!AC$92</f>
        <v>0</v>
      </c>
      <c r="P72" s="328">
        <f>0.5%*'Couts RH'!P$5*'Annexe A  Plan RH'!AD$97/'Annexe A  Plan RH'!AD$92</f>
        <v>0</v>
      </c>
      <c r="Q72" s="328">
        <f>0.5%*'Couts RH'!Q$5*'Annexe A  Plan RH'!AE$97/'Annexe A  Plan RH'!AE$92</f>
        <v>0</v>
      </c>
      <c r="R72" s="328">
        <f>0.5%*'Couts RH'!R$5*'Annexe A  Plan RH'!AF$97/'Annexe A  Plan RH'!AF$92</f>
        <v>0</v>
      </c>
      <c r="S72" s="328">
        <f>0.5%*'Couts RH'!S$5*'Annexe A  Plan RH'!AG$97/'Annexe A  Plan RH'!AG$92</f>
        <v>0</v>
      </c>
      <c r="T72" s="328">
        <f>0.5%*'Couts RH'!T$5*'Annexe A  Plan RH'!AH$97/'Annexe A  Plan RH'!AH$92</f>
        <v>0</v>
      </c>
      <c r="U72" s="330">
        <f>0.5%*'Couts RH'!U$5*'Annexe A  Plan RH'!AI$97/'Annexe A  Plan RH'!AI$92</f>
        <v>0</v>
      </c>
      <c r="V72" s="329">
        <f>0.5%*'Couts RH'!V$5*'Annexe A  Plan RH'!AJ$97/'Annexe A  Plan RH'!AJ$92</f>
        <v>0</v>
      </c>
      <c r="W72" s="328">
        <f>0.5%*'Couts RH'!W$5*'Annexe A  Plan RH'!AK$97/'Annexe A  Plan RH'!AK$92</f>
        <v>0</v>
      </c>
      <c r="X72" s="328">
        <f>0.5%*'Couts RH'!X$5*'Annexe A  Plan RH'!AL$97/'Annexe A  Plan RH'!AL$92</f>
        <v>0</v>
      </c>
      <c r="Y72" s="328">
        <f>0.5%*'Couts RH'!Y$5*'Annexe A  Plan RH'!AM$97/'Annexe A  Plan RH'!AM$92</f>
        <v>0</v>
      </c>
      <c r="Z72" s="328">
        <f>0.5%*'Couts RH'!Z$5*'Annexe A  Plan RH'!AN$97/'Annexe A  Plan RH'!AN$92</f>
        <v>0</v>
      </c>
      <c r="AA72" s="328">
        <f>0.5%*'Couts RH'!AA$5*'Annexe A  Plan RH'!AO$97/'Annexe A  Plan RH'!AO$92</f>
        <v>0</v>
      </c>
      <c r="AB72" s="328">
        <f>0.5%*'Couts RH'!AB$5*'Annexe A  Plan RH'!AP$97/'Annexe A  Plan RH'!AP$92</f>
        <v>0</v>
      </c>
      <c r="AC72" s="328">
        <f>0.5%*'Couts RH'!AC$5*'Annexe A  Plan RH'!AQ$97/'Annexe A  Plan RH'!AQ$92</f>
        <v>0</v>
      </c>
      <c r="AD72" s="328">
        <f>0.5%*'Couts RH'!AD$5*'Annexe A  Plan RH'!AR$97/'Annexe A  Plan RH'!AR$92</f>
        <v>0</v>
      </c>
      <c r="AE72" s="328">
        <f>0.5%*'Couts RH'!AE$5*'Annexe A  Plan RH'!AS$97/'Annexe A  Plan RH'!AS$92</f>
        <v>0</v>
      </c>
      <c r="AF72" s="328">
        <f>0.5%*'Couts RH'!AF$5*'Annexe A  Plan RH'!AT$97/'Annexe A  Plan RH'!AT$92</f>
        <v>0</v>
      </c>
      <c r="AG72" s="330">
        <f>0.5%*'Couts RH'!AG$5*'Annexe A  Plan RH'!AU$97/'Annexe A  Plan RH'!AU$92</f>
        <v>0</v>
      </c>
      <c r="AH72" s="329">
        <f>0.5%*'Couts RH'!AH$5*'Annexe A  Plan RH'!AV$97/'Annexe A  Plan RH'!AV$92</f>
        <v>0</v>
      </c>
      <c r="AI72" s="328">
        <f>0.5%*'Couts RH'!AI$5*'Annexe A  Plan RH'!AW$97/'Annexe A  Plan RH'!AW$92</f>
        <v>0</v>
      </c>
      <c r="AJ72" s="328">
        <f>0.5%*'Couts RH'!AJ$5*'Annexe A  Plan RH'!AX$97/'Annexe A  Plan RH'!AX$92</f>
        <v>0</v>
      </c>
      <c r="AK72" s="328">
        <f>0.5%*'Couts RH'!AK$5*'Annexe A  Plan RH'!AY$97/'Annexe A  Plan RH'!AY$92</f>
        <v>0</v>
      </c>
      <c r="AL72" s="328">
        <f>0.5%*'Couts RH'!AL$5*'Annexe A  Plan RH'!AZ$97/'Annexe A  Plan RH'!AZ$92</f>
        <v>0</v>
      </c>
      <c r="AM72" s="328">
        <f>0.5%*'Couts RH'!AM$5*'Annexe A  Plan RH'!BA$97/'Annexe A  Plan RH'!BA$92</f>
        <v>0</v>
      </c>
      <c r="AN72" s="328">
        <f>0.5%*'Couts RH'!AN$5*'Annexe A  Plan RH'!BB$97/'Annexe A  Plan RH'!BB$92</f>
        <v>0</v>
      </c>
      <c r="AO72" s="328">
        <f>0.5%*'Couts RH'!AO$5*'Annexe A  Plan RH'!BC$97/'Annexe A  Plan RH'!BC$92</f>
        <v>0</v>
      </c>
      <c r="AP72" s="328">
        <f>0.5%*'Couts RH'!AP$5*'Annexe A  Plan RH'!BD$97/'Annexe A  Plan RH'!BD$92</f>
        <v>0</v>
      </c>
      <c r="AQ72" s="328">
        <f>0.5%*'Couts RH'!AQ$5*'Annexe A  Plan RH'!BE$97/'Annexe A  Plan RH'!BE$92</f>
        <v>0</v>
      </c>
      <c r="AR72" s="328">
        <f>0.5%*'Couts RH'!AR$5*'Annexe A  Plan RH'!BF$97/'Annexe A  Plan RH'!BF$92</f>
        <v>0</v>
      </c>
      <c r="AS72" s="330">
        <f>0.5%*'Couts RH'!AS$5*'Annexe A  Plan RH'!BG$97/'Annexe A  Plan RH'!BG$92</f>
        <v>0</v>
      </c>
      <c r="AT72" s="328">
        <f>0.5%*'Couts RH'!AT$5*'Annexe A  Plan RH'!BH$97/'Annexe A  Plan RH'!BH$92</f>
        <v>0</v>
      </c>
      <c r="AU72" s="328">
        <f>0.5%*'Couts RH'!AU$5*'Annexe A  Plan RH'!BI$97/'Annexe A  Plan RH'!BI$92</f>
        <v>0</v>
      </c>
      <c r="AV72" s="328">
        <f>0.5%*'Couts RH'!AV$5*'Annexe A  Plan RH'!BJ$97/'Annexe A  Plan RH'!BJ$92</f>
        <v>0</v>
      </c>
      <c r="AW72" s="328">
        <f>0.5%*'Couts RH'!AW$5*'Annexe A  Plan RH'!BK$97/'Annexe A  Plan RH'!BK$92</f>
        <v>0</v>
      </c>
      <c r="AX72" s="328">
        <f>0.5%*'Couts RH'!AX$5*'Annexe A  Plan RH'!BL$97/'Annexe A  Plan RH'!BL$92</f>
        <v>0</v>
      </c>
      <c r="AY72" s="328">
        <f>0.5%*'Couts RH'!AY$5*'Annexe A  Plan RH'!BM$97/'Annexe A  Plan RH'!BM$92</f>
        <v>0</v>
      </c>
      <c r="AZ72" s="328">
        <f>0.5%*'Couts RH'!AZ$5*'Annexe A  Plan RH'!BN$97/'Annexe A  Plan RH'!BN$92</f>
        <v>0</v>
      </c>
      <c r="BA72" s="328">
        <f>0.5%*'Couts RH'!BA$5*'Annexe A  Plan RH'!BO$97/'Annexe A  Plan RH'!BO$92</f>
        <v>0</v>
      </c>
      <c r="BB72" s="328">
        <f>0.5%*'Couts RH'!BB$5*'Annexe A  Plan RH'!BP$97/'Annexe A  Plan RH'!BP$92</f>
        <v>0</v>
      </c>
      <c r="BC72" s="328">
        <f>0.5%*'Couts RH'!BC$5*'Annexe A  Plan RH'!BQ$97/'Annexe A  Plan RH'!BQ$92</f>
        <v>0</v>
      </c>
      <c r="BD72" s="328">
        <f>0.5%*'Couts RH'!BD$5*'Annexe A  Plan RH'!BR$97/'Annexe A  Plan RH'!BR$92</f>
        <v>0</v>
      </c>
      <c r="BE72" s="330">
        <f>0.5%*'Couts RH'!BE$5*'Annexe A  Plan RH'!BS$97/'Annexe A  Plan RH'!BS$92</f>
        <v>0</v>
      </c>
      <c r="BF72" s="329">
        <f>0.5%*'Couts RH'!BF$5*'Annexe A  Plan RH'!BT$97/'Annexe A  Plan RH'!BT$92</f>
        <v>0</v>
      </c>
      <c r="BG72" s="328">
        <f>0.5%*'Couts RH'!BG$5*'Annexe A  Plan RH'!BU$97/'Annexe A  Plan RH'!BU$92</f>
        <v>0</v>
      </c>
      <c r="BH72" s="328">
        <f>0.5%*'Couts RH'!BH$5*'Annexe A  Plan RH'!BV$97/'Annexe A  Plan RH'!BV$92</f>
        <v>0</v>
      </c>
      <c r="BI72" s="328">
        <f>0.5%*'Couts RH'!BI$5*'Annexe A  Plan RH'!BW$97/'Annexe A  Plan RH'!BW$92</f>
        <v>0</v>
      </c>
      <c r="BJ72" s="328">
        <f>0.5%*'Couts RH'!BJ$5*'Annexe A  Plan RH'!BX$97/'Annexe A  Plan RH'!BX$92</f>
        <v>0</v>
      </c>
      <c r="BK72" s="328">
        <f>0.5%*'Couts RH'!BK$5*'Annexe A  Plan RH'!BY$97/'Annexe A  Plan RH'!BY$92</f>
        <v>0</v>
      </c>
      <c r="BL72" s="328">
        <f>0.5%*'Couts RH'!BL$5*'Annexe A  Plan RH'!BZ$97/'Annexe A  Plan RH'!BZ$92</f>
        <v>0</v>
      </c>
      <c r="BM72" s="328">
        <f>0.5%*'Couts RH'!BM$5*'Annexe A  Plan RH'!CA$97/'Annexe A  Plan RH'!CA$92</f>
        <v>0</v>
      </c>
      <c r="BN72" s="328">
        <f>0.5%*'Couts RH'!BN$5*'Annexe A  Plan RH'!CB$97/'Annexe A  Plan RH'!CB$92</f>
        <v>0</v>
      </c>
      <c r="BO72" s="328">
        <f>0.5%*'Couts RH'!BO$5*'Annexe A  Plan RH'!CC$97/'Annexe A  Plan RH'!CC$92</f>
        <v>0</v>
      </c>
      <c r="BP72" s="328">
        <f>0.5%*'Couts RH'!BP$5*'Annexe A  Plan RH'!CD$97/'Annexe A  Plan RH'!CD$92</f>
        <v>0</v>
      </c>
      <c r="BQ72" s="330">
        <f>0.5%*'Couts RH'!BQ$5*'Annexe A  Plan RH'!CE$97/'Annexe A  Plan RH'!CE$92</f>
        <v>0</v>
      </c>
      <c r="BR72" s="329">
        <f>0.5%*'Couts RH'!BR$5*'Annexe A  Plan RH'!CF$97/'Annexe A  Plan RH'!CF$92</f>
        <v>0</v>
      </c>
      <c r="BS72" s="328">
        <f>0.5%*'Couts RH'!BS$5*'Annexe A  Plan RH'!CG$97/'Annexe A  Plan RH'!CG$92</f>
        <v>0</v>
      </c>
      <c r="BT72" s="328">
        <f>0.5%*'Couts RH'!BT$5*'Annexe A  Plan RH'!CH$97/'Annexe A  Plan RH'!CH$92</f>
        <v>0</v>
      </c>
      <c r="BU72" s="328">
        <f>0.5%*'Couts RH'!BU$5*'Annexe A  Plan RH'!CI$97/'Annexe A  Plan RH'!CI$92</f>
        <v>0</v>
      </c>
      <c r="BV72" s="328">
        <f>0.5%*'Couts RH'!BV$5*'Annexe A  Plan RH'!CJ$97/'Annexe A  Plan RH'!CJ$92</f>
        <v>0</v>
      </c>
      <c r="BW72" s="328">
        <f>0.5%*'Couts RH'!BW$5*'Annexe A  Plan RH'!CK$97/'Annexe A  Plan RH'!CK$92</f>
        <v>0</v>
      </c>
      <c r="BX72" s="328">
        <f>0.5%*'Couts RH'!BX$5*'Annexe A  Plan RH'!CL$97/'Annexe A  Plan RH'!CL$92</f>
        <v>0</v>
      </c>
      <c r="BY72" s="328">
        <f>0.5%*'Couts RH'!BY$5*'Annexe A  Plan RH'!CM$97/'Annexe A  Plan RH'!CM$92</f>
        <v>0</v>
      </c>
      <c r="BZ72" s="328">
        <f>0.5%*'Couts RH'!BZ$5*'Annexe A  Plan RH'!CN$97/'Annexe A  Plan RH'!CN$92</f>
        <v>0</v>
      </c>
      <c r="CA72" s="328">
        <f>0.5%*'Couts RH'!CA$5*'Annexe A  Plan RH'!CO$97/'Annexe A  Plan RH'!CO$92</f>
        <v>0</v>
      </c>
      <c r="CB72" s="328">
        <f>0.5%*'Couts RH'!CB$5*'Annexe A  Plan RH'!CP$97/'Annexe A  Plan RH'!CP$92</f>
        <v>0</v>
      </c>
      <c r="CC72" s="330">
        <f>0.5%*'Couts RH'!CC$5*'Annexe A  Plan RH'!CQ$97/'Annexe A  Plan RH'!CQ$92</f>
        <v>0</v>
      </c>
    </row>
    <row r="73" spans="1:81" ht="14">
      <c r="A73" s="305" t="s">
        <v>199</v>
      </c>
      <c r="C73" s="40"/>
      <c r="I73" s="10"/>
      <c r="J73" s="40"/>
      <c r="U73" s="10"/>
      <c r="V73" s="40"/>
      <c r="AG73" s="10"/>
      <c r="AH73" s="40"/>
      <c r="AS73" s="10"/>
      <c r="AT73" s="328">
        <f>-80*'Annexe A  Plan RH'!BH97</f>
        <v>0</v>
      </c>
      <c r="AU73" s="328">
        <f>-80*'Annexe A  Plan RH'!BI97</f>
        <v>0</v>
      </c>
      <c r="AV73" s="328">
        <f>-80*'Annexe A  Plan RH'!BJ97</f>
        <v>0</v>
      </c>
      <c r="AW73" s="328">
        <f>-80*'Annexe A  Plan RH'!BK97</f>
        <v>0</v>
      </c>
      <c r="AX73" s="328">
        <f>-80*'Annexe A  Plan RH'!BL97</f>
        <v>0</v>
      </c>
      <c r="AY73" s="328">
        <f>-80*'Annexe A  Plan RH'!BM97</f>
        <v>0</v>
      </c>
      <c r="AZ73" s="328">
        <f>-80*'Annexe A  Plan RH'!BN97</f>
        <v>0</v>
      </c>
      <c r="BA73" s="328">
        <f>-80*'Annexe A  Plan RH'!BO97</f>
        <v>0</v>
      </c>
      <c r="BB73" s="328">
        <f>-80*'Annexe A  Plan RH'!BP97</f>
        <v>0</v>
      </c>
      <c r="BC73" s="328">
        <f>-80*'Annexe A  Plan RH'!BQ97</f>
        <v>0</v>
      </c>
      <c r="BD73" s="328">
        <f>-80*'Annexe A  Plan RH'!BR97</f>
        <v>0</v>
      </c>
      <c r="BE73" s="330">
        <f>-80*'Annexe A  Plan RH'!BS97</f>
        <v>0</v>
      </c>
      <c r="BF73" s="329">
        <f>-80*'Annexe A  Plan RH'!BT97</f>
        <v>0</v>
      </c>
      <c r="BG73" s="328">
        <f>-80*'Annexe A  Plan RH'!BU97</f>
        <v>0</v>
      </c>
      <c r="BH73" s="328">
        <f>-80*'Annexe A  Plan RH'!BV97</f>
        <v>0</v>
      </c>
      <c r="BI73" s="328">
        <f>-80*'Annexe A  Plan RH'!BW97</f>
        <v>0</v>
      </c>
      <c r="BJ73" s="328">
        <f>-80*'Annexe A  Plan RH'!BX97</f>
        <v>0</v>
      </c>
      <c r="BK73" s="328">
        <f>-80*'Annexe A  Plan RH'!BY97</f>
        <v>0</v>
      </c>
      <c r="BL73" s="328">
        <f>-80*'Annexe A  Plan RH'!BZ97</f>
        <v>0</v>
      </c>
      <c r="BM73" s="328">
        <f>-80*'Annexe A  Plan RH'!CA97</f>
        <v>0</v>
      </c>
      <c r="BN73" s="328">
        <f>-80*'Annexe A  Plan RH'!CB97</f>
        <v>0</v>
      </c>
      <c r="BO73" s="328">
        <f>-80*'Annexe A  Plan RH'!CC97</f>
        <v>0</v>
      </c>
      <c r="BP73" s="328">
        <f>-80*'Annexe A  Plan RH'!CD97</f>
        <v>0</v>
      </c>
      <c r="BQ73" s="330">
        <f>-80*'Annexe A  Plan RH'!CE97</f>
        <v>0</v>
      </c>
      <c r="BR73" s="329">
        <f>-80*'Annexe A  Plan RH'!CF97</f>
        <v>0</v>
      </c>
      <c r="BS73" s="328">
        <f>-80*'Annexe A  Plan RH'!CG97</f>
        <v>0</v>
      </c>
      <c r="BT73" s="328">
        <f>-80*'Annexe A  Plan RH'!CH97</f>
        <v>0</v>
      </c>
      <c r="BU73" s="328">
        <f>-80*'Annexe A  Plan RH'!CI97</f>
        <v>0</v>
      </c>
      <c r="BV73" s="328">
        <f>-80*'Annexe A  Plan RH'!CJ97</f>
        <v>0</v>
      </c>
      <c r="BW73" s="328">
        <f>-80*'Annexe A  Plan RH'!CK97</f>
        <v>0</v>
      </c>
      <c r="BX73" s="328">
        <f>-80*'Annexe A  Plan RH'!CL97</f>
        <v>0</v>
      </c>
      <c r="BY73" s="328">
        <f>-80*'Annexe A  Plan RH'!CM97</f>
        <v>0</v>
      </c>
      <c r="BZ73" s="328">
        <f>-80*'Annexe A  Plan RH'!CN97</f>
        <v>0</v>
      </c>
      <c r="CA73" s="328">
        <f>-80*'Annexe A  Plan RH'!CO97</f>
        <v>0</v>
      </c>
      <c r="CB73" s="328">
        <f>-80*'Annexe A  Plan RH'!CP97</f>
        <v>0</v>
      </c>
      <c r="CC73" s="330">
        <f>-80*'Annexe A  Plan RH'!CQ97</f>
        <v>0</v>
      </c>
    </row>
    <row r="74" spans="1:81" ht="14">
      <c r="A74" s="305" t="s">
        <v>200</v>
      </c>
      <c r="C74" s="40"/>
      <c r="I74" s="10"/>
      <c r="J74" s="40"/>
      <c r="U74" s="10"/>
      <c r="V74" s="40"/>
      <c r="AG74" s="10"/>
      <c r="AH74" s="40"/>
      <c r="AS74" s="10"/>
      <c r="AT74" s="40"/>
      <c r="BE74" s="10"/>
      <c r="BF74" s="40"/>
      <c r="BQ74" s="10"/>
      <c r="BR74" s="40"/>
      <c r="CC74" s="10"/>
    </row>
    <row r="75" spans="1:81" ht="14">
      <c r="A75" s="305" t="s">
        <v>195</v>
      </c>
      <c r="C75" s="40"/>
      <c r="I75" s="10"/>
      <c r="J75" s="40"/>
      <c r="U75" s="10"/>
      <c r="V75" s="40"/>
      <c r="AG75" s="10"/>
      <c r="AH75" s="40"/>
      <c r="AS75" s="10"/>
      <c r="AT75" s="40"/>
      <c r="BE75" s="10"/>
      <c r="BF75" s="40"/>
      <c r="BQ75" s="10"/>
      <c r="BR75" s="40"/>
      <c r="CC75" s="10"/>
    </row>
    <row r="76" spans="1:81" ht="14">
      <c r="A76" s="305" t="s">
        <v>197</v>
      </c>
      <c r="C76" s="40"/>
      <c r="I76" s="10"/>
      <c r="J76" s="40"/>
      <c r="U76" s="10"/>
      <c r="V76" s="40"/>
      <c r="AG76" s="10"/>
      <c r="AH76" s="40"/>
      <c r="AS76" s="10"/>
      <c r="AT76" s="129">
        <f ca="1">-(Ventes!AT471-Ventes!AS47)*Hypothèses!$B$44*$B$84</f>
        <v>0</v>
      </c>
      <c r="AU76" s="130">
        <f ca="1">-(Ventes!AU471-Ventes!AT47)*Hypothèses!$B$44*$B$84</f>
        <v>0</v>
      </c>
      <c r="AV76" s="130">
        <f ca="1">-(Ventes!AV471-Ventes!AU47)*Hypothèses!$B$44*$B$84</f>
        <v>0</v>
      </c>
      <c r="AW76" s="130">
        <f ca="1">-(Ventes!AW471-Ventes!AV47)*Hypothèses!$B$44*$B$84</f>
        <v>0</v>
      </c>
      <c r="AX76" s="130">
        <f ca="1">-(Ventes!AX471-Ventes!AW47)*Hypothèses!$B$44*$B$84</f>
        <v>0</v>
      </c>
      <c r="AY76" s="130">
        <f ca="1">-(Ventes!AY471-Ventes!AX47)*Hypothèses!$B$44*$B$84</f>
        <v>0</v>
      </c>
      <c r="AZ76" s="130">
        <f ca="1">-(Ventes!AZ471-Ventes!AY47)*Hypothèses!$B$44*$B$84</f>
        <v>0</v>
      </c>
      <c r="BA76" s="130">
        <f ca="1">-(Ventes!BA471-Ventes!AZ47)*Hypothèses!$B$44*$B$84</f>
        <v>0</v>
      </c>
      <c r="BB76" s="130">
        <f ca="1">-(Ventes!BB471-Ventes!BA47)*Hypothèses!$B$44*$B$84</f>
        <v>0</v>
      </c>
      <c r="BC76" s="130">
        <f ca="1">-(Ventes!BC471-Ventes!BB47)*Hypothèses!$B$44*$B$84</f>
        <v>0</v>
      </c>
      <c r="BD76" s="130">
        <f ca="1">-(Ventes!BD471-Ventes!BC47)*Hypothèses!$B$44*$B$84</f>
        <v>0</v>
      </c>
      <c r="BE76" s="131">
        <f ca="1">-(Ventes!BE471-Ventes!BD47)*Hypothèses!$B$44*$B$84</f>
        <v>0</v>
      </c>
      <c r="BF76" s="129">
        <f ca="1">-(Ventes!BF471-Ventes!BE47)*Hypothèses!$B$44*$B$84</f>
        <v>0</v>
      </c>
      <c r="BG76" s="130">
        <f ca="1">-(Ventes!BG471-Ventes!BF47)*Hypothèses!$B$44*$B$84</f>
        <v>0</v>
      </c>
      <c r="BH76" s="130">
        <f ca="1">-(Ventes!BH471-Ventes!BG47)*Hypothèses!$B$44*$B$84</f>
        <v>0</v>
      </c>
      <c r="BI76" s="130">
        <f ca="1">-(Ventes!BI471-Ventes!BH47)*Hypothèses!$B$44*$B$84</f>
        <v>0</v>
      </c>
      <c r="BJ76" s="130">
        <f ca="1">-(Ventes!BJ471-Ventes!BI47)*Hypothèses!$B$44*$B$84</f>
        <v>0</v>
      </c>
      <c r="BK76" s="130">
        <f ca="1">-(Ventes!BK471-Ventes!BJ47)*Hypothèses!$B$44*$B$84</f>
        <v>0</v>
      </c>
      <c r="BL76" s="130">
        <f ca="1">-(Ventes!BL471-Ventes!BK47)*Hypothèses!$B$44*$B$84</f>
        <v>0</v>
      </c>
      <c r="BM76" s="130">
        <f ca="1">-(Ventes!BM471-Ventes!BL47)*Hypothèses!$B$44*$B$84</f>
        <v>0</v>
      </c>
      <c r="BN76" s="192">
        <f ca="1">-(Ventes!BN471-Ventes!BM47)*Hypothèses!$B$44*$B$84</f>
        <v>0</v>
      </c>
      <c r="BO76" s="192">
        <f ca="1">-(Ventes!BO471-Ventes!BN47)*Hypothèses!$B$44*$B$84</f>
        <v>0</v>
      </c>
      <c r="BP76" s="192">
        <f ca="1">-(Ventes!BP471-Ventes!BO47)*Hypothèses!$B$44*$B$84</f>
        <v>0</v>
      </c>
      <c r="BQ76" s="131">
        <f ca="1">-(Ventes!BQ471-Ventes!BP47)*Hypothèses!$B$44*$B$84</f>
        <v>0</v>
      </c>
      <c r="BR76" s="129">
        <f ca="1">-(Ventes!BR471-Ventes!BQ47)*Hypothèses!$B$44*$B$84</f>
        <v>0</v>
      </c>
      <c r="BS76" s="130">
        <f ca="1">-(Ventes!BS471-Ventes!BR47)*Hypothèses!$B$44*$B$84</f>
        <v>0</v>
      </c>
      <c r="BT76" s="130">
        <f ca="1">-(Ventes!BT471-Ventes!BS47)*Hypothèses!$B$44*$B$84</f>
        <v>0</v>
      </c>
      <c r="BU76" s="130">
        <f ca="1">-(Ventes!BU471-Ventes!BT47)*Hypothèses!$B$44*$B$84</f>
        <v>0</v>
      </c>
      <c r="BV76" s="130">
        <f ca="1">-(Ventes!BV471-Ventes!BU47)*Hypothèses!$B$44*$B$84</f>
        <v>0</v>
      </c>
      <c r="BW76" s="130">
        <f ca="1">-(Ventes!BW471-Ventes!BV47)*Hypothèses!$B$44*$B$84</f>
        <v>0</v>
      </c>
      <c r="BX76" s="130">
        <f ca="1">-(Ventes!BX471-Ventes!BW47)*Hypothèses!$B$44*$B$84</f>
        <v>0</v>
      </c>
      <c r="BY76" s="130">
        <f ca="1">-(Ventes!BY471-Ventes!BX47)*Hypothèses!$B$44*$B$84</f>
        <v>0</v>
      </c>
      <c r="BZ76" s="130">
        <f ca="1">-(Ventes!BZ471-Ventes!BY47)*Hypothèses!$B$44*$B$84</f>
        <v>0</v>
      </c>
      <c r="CA76" s="130">
        <f ca="1">-(Ventes!CA471-Ventes!BZ47)*Hypothèses!$B$44*$B$84</f>
        <v>0</v>
      </c>
      <c r="CB76" s="130">
        <f ca="1">-(Ventes!CB471-Ventes!CA47)*Hypothèses!$B$44*$B$84</f>
        <v>0</v>
      </c>
      <c r="CC76" s="131">
        <f ca="1">-(Ventes!CC471-Ventes!CB47)*Hypothèses!$B$44*$B$84</f>
        <v>0</v>
      </c>
    </row>
    <row r="77" spans="1:81" ht="13">
      <c r="A77" s="43"/>
      <c r="B77" s="120"/>
      <c r="C77" s="43"/>
      <c r="D77" s="120"/>
      <c r="E77" s="120"/>
      <c r="F77" s="120"/>
      <c r="G77" s="120"/>
      <c r="H77" s="120"/>
      <c r="I77" s="121"/>
      <c r="J77" s="43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43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1"/>
      <c r="AH77" s="43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1"/>
      <c r="AT77" s="43"/>
      <c r="AU77" s="120"/>
      <c r="AV77" s="120"/>
      <c r="AW77" s="120"/>
      <c r="AX77" s="120"/>
      <c r="AY77" s="120"/>
      <c r="AZ77" s="120"/>
      <c r="BA77" s="120"/>
      <c r="BB77" s="120"/>
      <c r="BC77" s="120"/>
      <c r="BD77" s="120"/>
      <c r="BE77" s="121"/>
      <c r="BF77" s="43"/>
      <c r="BG77" s="120"/>
      <c r="BH77" s="120"/>
      <c r="BI77" s="120"/>
      <c r="BJ77" s="120"/>
      <c r="BK77" s="120"/>
      <c r="BL77" s="120"/>
      <c r="BM77" s="120"/>
      <c r="BN77" s="120"/>
      <c r="BO77" s="120"/>
      <c r="BP77" s="120"/>
      <c r="BQ77" s="121"/>
      <c r="BR77" s="43"/>
      <c r="BS77" s="120"/>
      <c r="BT77" s="120"/>
      <c r="BU77" s="120"/>
      <c r="BV77" s="120"/>
      <c r="BW77" s="120"/>
      <c r="BX77" s="120"/>
      <c r="BY77" s="120"/>
      <c r="BZ77" s="120"/>
      <c r="CA77" s="120"/>
      <c r="CB77" s="120"/>
      <c r="CC77" s="121"/>
    </row>
    <row r="81" spans="1:4" ht="13" hidden="1">
      <c r="B81" s="261" t="s">
        <v>201</v>
      </c>
      <c r="C81" s="289">
        <f>Hypothèses!B68</f>
        <v>6</v>
      </c>
      <c r="D81" s="11" t="s">
        <v>202</v>
      </c>
    </row>
    <row r="83" spans="1:4" ht="13">
      <c r="A83" s="19" t="s">
        <v>203</v>
      </c>
      <c r="B83" s="314">
        <f>Hypothèses!B67</f>
        <v>311.61695447409733</v>
      </c>
    </row>
    <row r="84" spans="1:4" ht="13">
      <c r="A84" s="19" t="s">
        <v>182</v>
      </c>
      <c r="B84" s="312">
        <f>4%</f>
        <v>0.04</v>
      </c>
      <c r="D84" s="11" t="s">
        <v>204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C81"/>
  <sheetViews>
    <sheetView workbookViewId="0">
      <selection activeCell="F30" sqref="F30"/>
    </sheetView>
  </sheetViews>
  <sheetFormatPr baseColWidth="10" defaultColWidth="12.6640625" defaultRowHeight="15.75" customHeight="1"/>
  <cols>
    <col min="1" max="1" width="30.6640625" customWidth="1"/>
  </cols>
  <sheetData>
    <row r="1" spans="1:81" ht="15">
      <c r="A1" s="61"/>
      <c r="B1" s="62"/>
      <c r="C1" s="707">
        <v>2025</v>
      </c>
      <c r="D1" s="700"/>
      <c r="E1" s="700"/>
      <c r="F1" s="700"/>
      <c r="G1" s="700"/>
      <c r="H1" s="700"/>
      <c r="I1" s="700"/>
      <c r="J1" s="708">
        <v>2026</v>
      </c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4"/>
      <c r="V1" s="710">
        <v>2027</v>
      </c>
      <c r="W1" s="709"/>
      <c r="X1" s="709"/>
      <c r="Y1" s="709"/>
      <c r="Z1" s="709"/>
      <c r="AA1" s="709"/>
      <c r="AB1" s="709"/>
      <c r="AC1" s="709"/>
      <c r="AD1" s="709"/>
      <c r="AE1" s="709"/>
      <c r="AF1" s="709"/>
      <c r="AG1" s="704"/>
      <c r="AH1" s="710">
        <v>2028</v>
      </c>
      <c r="AI1" s="709"/>
      <c r="AJ1" s="709"/>
      <c r="AK1" s="709"/>
      <c r="AL1" s="709"/>
      <c r="AM1" s="709"/>
      <c r="AN1" s="709"/>
      <c r="AO1" s="709"/>
      <c r="AP1" s="709"/>
      <c r="AQ1" s="709"/>
      <c r="AR1" s="709"/>
      <c r="AS1" s="704"/>
      <c r="AT1" s="710">
        <v>2029</v>
      </c>
      <c r="AU1" s="709"/>
      <c r="AV1" s="709"/>
      <c r="AW1" s="709"/>
      <c r="AX1" s="709"/>
      <c r="AY1" s="709"/>
      <c r="AZ1" s="709"/>
      <c r="BA1" s="709"/>
      <c r="BB1" s="709"/>
      <c r="BC1" s="709"/>
      <c r="BD1" s="709"/>
      <c r="BE1" s="704"/>
      <c r="BF1" s="705">
        <v>2030</v>
      </c>
      <c r="BG1" s="706"/>
      <c r="BH1" s="706"/>
      <c r="BI1" s="706"/>
      <c r="BJ1" s="706"/>
      <c r="BK1" s="706"/>
      <c r="BL1" s="706"/>
      <c r="BM1" s="706"/>
      <c r="BN1" s="706"/>
      <c r="BO1" s="706"/>
      <c r="BP1" s="706"/>
      <c r="BQ1" s="706"/>
      <c r="BR1" s="166"/>
      <c r="BS1" s="166"/>
      <c r="BT1" s="166"/>
      <c r="BU1" s="166"/>
      <c r="BV1" s="166"/>
      <c r="BW1" s="166"/>
      <c r="BX1" s="166"/>
      <c r="BY1" s="166"/>
      <c r="BZ1" s="166"/>
      <c r="CA1" s="166"/>
      <c r="CB1" s="166"/>
      <c r="CC1" s="166"/>
    </row>
    <row r="2" spans="1:81" ht="15.75" customHeight="1">
      <c r="A2" s="61"/>
      <c r="B2" s="62"/>
      <c r="C2" s="168">
        <v>45809</v>
      </c>
      <c r="D2" s="169">
        <v>45839</v>
      </c>
      <c r="E2" s="169">
        <v>45870</v>
      </c>
      <c r="F2" s="169">
        <v>45901</v>
      </c>
      <c r="G2" s="169">
        <v>45931</v>
      </c>
      <c r="H2" s="169">
        <v>45962</v>
      </c>
      <c r="I2" s="170">
        <v>45992</v>
      </c>
      <c r="J2" s="168">
        <v>46023</v>
      </c>
      <c r="K2" s="169">
        <v>46054</v>
      </c>
      <c r="L2" s="169">
        <v>46082</v>
      </c>
      <c r="M2" s="169">
        <v>46113</v>
      </c>
      <c r="N2" s="169">
        <v>46143</v>
      </c>
      <c r="O2" s="169">
        <v>46174</v>
      </c>
      <c r="P2" s="169">
        <v>46204</v>
      </c>
      <c r="Q2" s="169">
        <v>46235</v>
      </c>
      <c r="R2" s="169">
        <v>46266</v>
      </c>
      <c r="S2" s="169">
        <v>46296</v>
      </c>
      <c r="T2" s="169">
        <v>46327</v>
      </c>
      <c r="U2" s="170">
        <v>46357</v>
      </c>
      <c r="V2" s="168">
        <v>46388</v>
      </c>
      <c r="W2" s="169">
        <v>46419</v>
      </c>
      <c r="X2" s="169">
        <v>46447</v>
      </c>
      <c r="Y2" s="169">
        <v>46478</v>
      </c>
      <c r="Z2" s="169">
        <v>46508</v>
      </c>
      <c r="AA2" s="169">
        <v>46539</v>
      </c>
      <c r="AB2" s="169">
        <v>46569</v>
      </c>
      <c r="AC2" s="169">
        <v>46600</v>
      </c>
      <c r="AD2" s="169">
        <v>46631</v>
      </c>
      <c r="AE2" s="169">
        <v>46661</v>
      </c>
      <c r="AF2" s="169">
        <v>46692</v>
      </c>
      <c r="AG2" s="170">
        <v>46722</v>
      </c>
      <c r="AH2" s="168">
        <v>46753</v>
      </c>
      <c r="AI2" s="169">
        <v>46784</v>
      </c>
      <c r="AJ2" s="169">
        <v>46813</v>
      </c>
      <c r="AK2" s="169">
        <v>46844</v>
      </c>
      <c r="AL2" s="169">
        <v>46874</v>
      </c>
      <c r="AM2" s="169">
        <v>46905</v>
      </c>
      <c r="AN2" s="169">
        <v>46935</v>
      </c>
      <c r="AO2" s="169">
        <v>46966</v>
      </c>
      <c r="AP2" s="169">
        <v>46997</v>
      </c>
      <c r="AQ2" s="169">
        <v>47027</v>
      </c>
      <c r="AR2" s="169">
        <v>47058</v>
      </c>
      <c r="AS2" s="170">
        <v>47088</v>
      </c>
      <c r="AT2" s="168">
        <v>47119</v>
      </c>
      <c r="AU2" s="169">
        <v>47150</v>
      </c>
      <c r="AV2" s="169">
        <v>47178</v>
      </c>
      <c r="AW2" s="169">
        <v>47209</v>
      </c>
      <c r="AX2" s="169">
        <v>47239</v>
      </c>
      <c r="AY2" s="169">
        <v>47270</v>
      </c>
      <c r="AZ2" s="169">
        <v>47300</v>
      </c>
      <c r="BA2" s="169">
        <v>47331</v>
      </c>
      <c r="BB2" s="169">
        <v>47362</v>
      </c>
      <c r="BC2" s="169">
        <v>47392</v>
      </c>
      <c r="BD2" s="169">
        <v>47423</v>
      </c>
      <c r="BE2" s="170">
        <v>47453</v>
      </c>
      <c r="BF2" s="168">
        <v>47484</v>
      </c>
      <c r="BG2" s="169">
        <v>47515</v>
      </c>
      <c r="BH2" s="169">
        <v>47543</v>
      </c>
      <c r="BI2" s="169">
        <v>47574</v>
      </c>
      <c r="BJ2" s="169">
        <v>47604</v>
      </c>
      <c r="BK2" s="169">
        <v>47635</v>
      </c>
      <c r="BL2" s="169">
        <v>47665</v>
      </c>
      <c r="BM2" s="169">
        <v>47696</v>
      </c>
      <c r="BN2" s="169">
        <v>47727</v>
      </c>
      <c r="BO2" s="169">
        <v>47757</v>
      </c>
      <c r="BP2" s="169">
        <v>47788</v>
      </c>
      <c r="BQ2" s="170">
        <v>47818</v>
      </c>
      <c r="BR2" s="168">
        <v>47849</v>
      </c>
      <c r="BS2" s="169">
        <v>47880</v>
      </c>
      <c r="BT2" s="169">
        <v>47908</v>
      </c>
      <c r="BU2" s="169">
        <v>47939</v>
      </c>
      <c r="BV2" s="169">
        <v>47969</v>
      </c>
      <c r="BW2" s="169">
        <v>48000</v>
      </c>
      <c r="BX2" s="169">
        <v>48030</v>
      </c>
      <c r="BY2" s="169">
        <v>48061</v>
      </c>
      <c r="BZ2" s="169">
        <v>48092</v>
      </c>
      <c r="CA2" s="169">
        <v>48122</v>
      </c>
      <c r="CB2" s="169">
        <v>48153</v>
      </c>
      <c r="CC2" s="170">
        <v>48183</v>
      </c>
    </row>
    <row r="3" spans="1:81" ht="15">
      <c r="A3" s="195" t="s">
        <v>205</v>
      </c>
      <c r="B3" s="354"/>
      <c r="C3" s="321">
        <f t="shared" ref="C3:CC3" si="0">SUM(C5:C10)</f>
        <v>-1680.8333333333335</v>
      </c>
      <c r="D3" s="321">
        <f t="shared" si="0"/>
        <v>319.16666666666663</v>
      </c>
      <c r="E3" s="321">
        <f t="shared" si="0"/>
        <v>-680.83333333333337</v>
      </c>
      <c r="F3" s="321">
        <f t="shared" si="0"/>
        <v>-1680.8333333333335</v>
      </c>
      <c r="G3" s="321">
        <f t="shared" si="0"/>
        <v>-680.83333333333337</v>
      </c>
      <c r="H3" s="321">
        <f t="shared" si="0"/>
        <v>1319.1666666666665</v>
      </c>
      <c r="I3" s="322">
        <f t="shared" si="0"/>
        <v>-1680.8333333333335</v>
      </c>
      <c r="J3" s="320">
        <f t="shared" si="0"/>
        <v>-29680.833333333332</v>
      </c>
      <c r="K3" s="321">
        <f t="shared" si="0"/>
        <v>-1680.8333333333335</v>
      </c>
      <c r="L3" s="321">
        <f t="shared" si="0"/>
        <v>-680.83333333333337</v>
      </c>
      <c r="M3" s="321">
        <f t="shared" si="0"/>
        <v>-680.83333333333337</v>
      </c>
      <c r="N3" s="321">
        <f t="shared" si="0"/>
        <v>-680.83333333333337</v>
      </c>
      <c r="O3" s="321">
        <f t="shared" si="0"/>
        <v>-3680.8333333333335</v>
      </c>
      <c r="P3" s="321">
        <f t="shared" si="0"/>
        <v>-680.83333333333337</v>
      </c>
      <c r="Q3" s="321">
        <f t="shared" si="0"/>
        <v>-680.83333333333337</v>
      </c>
      <c r="R3" s="321">
        <f t="shared" si="0"/>
        <v>-680.83333333333337</v>
      </c>
      <c r="S3" s="321">
        <f t="shared" si="0"/>
        <v>-680.83333333333337</v>
      </c>
      <c r="T3" s="321">
        <f t="shared" si="0"/>
        <v>-680.83333333333337</v>
      </c>
      <c r="U3" s="322">
        <f t="shared" si="0"/>
        <v>-680.83333333333337</v>
      </c>
      <c r="V3" s="320">
        <f t="shared" si="0"/>
        <v>-680.83333333333337</v>
      </c>
      <c r="W3" s="321">
        <f t="shared" si="0"/>
        <v>-680.83333333333337</v>
      </c>
      <c r="X3" s="321">
        <f t="shared" si="0"/>
        <v>-680.83333333333337</v>
      </c>
      <c r="Y3" s="321">
        <f t="shared" si="0"/>
        <v>-680.83333333333337</v>
      </c>
      <c r="Z3" s="321">
        <f t="shared" si="0"/>
        <v>-680.83333333333337</v>
      </c>
      <c r="AA3" s="321">
        <f t="shared" si="0"/>
        <v>-680.83333333333337</v>
      </c>
      <c r="AB3" s="321">
        <f t="shared" si="0"/>
        <v>-680.83333333333337</v>
      </c>
      <c r="AC3" s="321">
        <f t="shared" si="0"/>
        <v>-680.83333333333337</v>
      </c>
      <c r="AD3" s="321">
        <f t="shared" si="0"/>
        <v>-680.83333333333337</v>
      </c>
      <c r="AE3" s="321">
        <f t="shared" si="0"/>
        <v>-680.83333333333337</v>
      </c>
      <c r="AF3" s="321">
        <f t="shared" si="0"/>
        <v>-680.83333333333337</v>
      </c>
      <c r="AG3" s="322">
        <f t="shared" si="0"/>
        <v>-680.83333333333337</v>
      </c>
      <c r="AH3" s="320">
        <f t="shared" si="0"/>
        <v>-680.83333333333337</v>
      </c>
      <c r="AI3" s="321">
        <f t="shared" si="0"/>
        <v>-680.83333333333337</v>
      </c>
      <c r="AJ3" s="321">
        <f t="shared" si="0"/>
        <v>-680.83333333333337</v>
      </c>
      <c r="AK3" s="321">
        <f t="shared" si="0"/>
        <v>-680.83333333333337</v>
      </c>
      <c r="AL3" s="321">
        <f t="shared" si="0"/>
        <v>-680.83333333333337</v>
      </c>
      <c r="AM3" s="321">
        <f t="shared" si="0"/>
        <v>-680.83333333333337</v>
      </c>
      <c r="AN3" s="321">
        <f t="shared" si="0"/>
        <v>-680.83333333333337</v>
      </c>
      <c r="AO3" s="321">
        <f t="shared" si="0"/>
        <v>-680.83333333333337</v>
      </c>
      <c r="AP3" s="321">
        <f t="shared" si="0"/>
        <v>-680.83333333333337</v>
      </c>
      <c r="AQ3" s="321">
        <f t="shared" si="0"/>
        <v>-680.83333333333337</v>
      </c>
      <c r="AR3" s="321">
        <f t="shared" si="0"/>
        <v>-680.83333333333337</v>
      </c>
      <c r="AS3" s="322">
        <f t="shared" si="0"/>
        <v>-680.83333333333337</v>
      </c>
      <c r="AT3" s="320">
        <f t="shared" si="0"/>
        <v>-25680.833333333332</v>
      </c>
      <c r="AU3" s="321">
        <f t="shared" si="0"/>
        <v>-680.83333333333337</v>
      </c>
      <c r="AV3" s="321">
        <f t="shared" si="0"/>
        <v>-680.83333333333337</v>
      </c>
      <c r="AW3" s="321">
        <f t="shared" si="0"/>
        <v>-680.83333333333337</v>
      </c>
      <c r="AX3" s="321">
        <f t="shared" si="0"/>
        <v>-680.83333333333337</v>
      </c>
      <c r="AY3" s="321">
        <f t="shared" si="0"/>
        <v>-680.83333333333337</v>
      </c>
      <c r="AZ3" s="321">
        <f t="shared" si="0"/>
        <v>-680.83333333333337</v>
      </c>
      <c r="BA3" s="321">
        <f t="shared" si="0"/>
        <v>-1680.8333333333335</v>
      </c>
      <c r="BB3" s="321">
        <f t="shared" si="0"/>
        <v>-1680.8333333333335</v>
      </c>
      <c r="BC3" s="321">
        <f t="shared" si="0"/>
        <v>-1680.8333333333335</v>
      </c>
      <c r="BD3" s="321">
        <f t="shared" si="0"/>
        <v>-680.83333333333337</v>
      </c>
      <c r="BE3" s="322">
        <f t="shared" si="0"/>
        <v>-680.83333333333337</v>
      </c>
      <c r="BF3" s="320">
        <f t="shared" si="0"/>
        <v>-49680.833333333328</v>
      </c>
      <c r="BG3" s="321">
        <f t="shared" si="0"/>
        <v>-680.83333333333337</v>
      </c>
      <c r="BH3" s="321">
        <f t="shared" si="0"/>
        <v>-5680.833333333333</v>
      </c>
      <c r="BI3" s="321">
        <f t="shared" si="0"/>
        <v>-2680.8333333333335</v>
      </c>
      <c r="BJ3" s="321">
        <f t="shared" si="0"/>
        <v>-2680.8333333333335</v>
      </c>
      <c r="BK3" s="321">
        <f t="shared" si="0"/>
        <v>-4680.833333333333</v>
      </c>
      <c r="BL3" s="321">
        <f t="shared" si="0"/>
        <v>-2680.8333333333335</v>
      </c>
      <c r="BM3" s="321">
        <f t="shared" si="0"/>
        <v>-2680.8333333333335</v>
      </c>
      <c r="BN3" s="321">
        <f t="shared" si="0"/>
        <v>-680.83333333333337</v>
      </c>
      <c r="BO3" s="321">
        <f t="shared" si="0"/>
        <v>-1680.8333333333335</v>
      </c>
      <c r="BP3" s="321">
        <f t="shared" si="0"/>
        <v>-2680.8333333333335</v>
      </c>
      <c r="BQ3" s="322">
        <f t="shared" si="0"/>
        <v>-1680.8333333333335</v>
      </c>
      <c r="BR3" s="320">
        <f t="shared" si="0"/>
        <v>-47680.833333333328</v>
      </c>
      <c r="BS3" s="321">
        <f t="shared" si="0"/>
        <v>-1680.8333333333335</v>
      </c>
      <c r="BT3" s="321">
        <f t="shared" si="0"/>
        <v>-680.83333333333337</v>
      </c>
      <c r="BU3" s="321">
        <f t="shared" si="0"/>
        <v>-680.83333333333337</v>
      </c>
      <c r="BV3" s="321">
        <f t="shared" si="0"/>
        <v>-3680.8333333333335</v>
      </c>
      <c r="BW3" s="321">
        <f t="shared" si="0"/>
        <v>-1680.8333333333335</v>
      </c>
      <c r="BX3" s="321">
        <f t="shared" si="0"/>
        <v>-3680.8333333333335</v>
      </c>
      <c r="BY3" s="321">
        <f t="shared" si="0"/>
        <v>-680.83333333333337</v>
      </c>
      <c r="BZ3" s="321">
        <f t="shared" si="0"/>
        <v>-2680.8333333333335</v>
      </c>
      <c r="CA3" s="321">
        <f t="shared" si="0"/>
        <v>-680.83333333333337</v>
      </c>
      <c r="CB3" s="321">
        <f t="shared" si="0"/>
        <v>-680.83333333333337</v>
      </c>
      <c r="CC3" s="322">
        <f t="shared" si="0"/>
        <v>-680.83333333333337</v>
      </c>
    </row>
    <row r="4" spans="1:81" ht="15.75" customHeight="1">
      <c r="A4" s="181" t="s">
        <v>83</v>
      </c>
      <c r="B4" s="62"/>
      <c r="I4" s="10"/>
      <c r="J4" s="40"/>
      <c r="U4" s="10"/>
      <c r="V4" s="40"/>
      <c r="AG4" s="10"/>
      <c r="AH4" s="40"/>
      <c r="AS4" s="10"/>
      <c r="AT4" s="40"/>
      <c r="BE4" s="10"/>
      <c r="BF4" s="40"/>
      <c r="BQ4" s="10"/>
      <c r="BR4" s="40"/>
      <c r="CC4" s="10"/>
    </row>
    <row r="5" spans="1:81" ht="15.75" customHeight="1">
      <c r="A5" s="305" t="s">
        <v>206</v>
      </c>
      <c r="B5" s="62"/>
      <c r="C5" s="130">
        <f>('Annexe A  Plan RH'!R92-'Annexe A  Plan RH'!Q92)*-Hypothèses!$B$94</f>
        <v>-1000</v>
      </c>
      <c r="D5" s="130">
        <f>('Annexe A  Plan RH'!S92-'Annexe A  Plan RH'!R92)*-Hypothèses!$B$94</f>
        <v>1000</v>
      </c>
      <c r="E5" s="130">
        <f>('Annexe A  Plan RH'!T92-'Annexe A  Plan RH'!S92)*-Hypothèses!$B$94</f>
        <v>0</v>
      </c>
      <c r="F5" s="130">
        <f>('Annexe A  Plan RH'!U92-'Annexe A  Plan RH'!T92)*-Hypothèses!$B$94</f>
        <v>-1000</v>
      </c>
      <c r="G5" s="130">
        <f>('Annexe A  Plan RH'!V92-'Annexe A  Plan RH'!U92)*-Hypothèses!$B$94</f>
        <v>0</v>
      </c>
      <c r="H5" s="130">
        <f>('Annexe A  Plan RH'!W92-'Annexe A  Plan RH'!V92)*-Hypothèses!$B$94</f>
        <v>2000</v>
      </c>
      <c r="I5" s="131">
        <f>('Annexe A  Plan RH'!X92-'Annexe A  Plan RH'!W92)*-Hypothèses!$B$94</f>
        <v>-1000</v>
      </c>
      <c r="J5" s="129">
        <f>('Annexe A  Plan RH'!Y92-'Annexe A  Plan RH'!X92)*-Hypothèses!$B$94</f>
        <v>1000</v>
      </c>
      <c r="K5" s="130">
        <f>('Annexe A  Plan RH'!Z92-'Annexe A  Plan RH'!Y92)*-Hypothèses!$B$94</f>
        <v>-1000</v>
      </c>
      <c r="L5" s="130">
        <f>('Annexe A  Plan RH'!AA92-'Annexe A  Plan RH'!Z92)*-Hypothèses!$B$94</f>
        <v>0</v>
      </c>
      <c r="M5" s="130">
        <f>('Annexe A  Plan RH'!AB92-'Annexe A  Plan RH'!AA92)*-Hypothèses!$B$94</f>
        <v>0</v>
      </c>
      <c r="N5" s="130">
        <f>('Annexe A  Plan RH'!AC92-'Annexe A  Plan RH'!AB92)*-Hypothèses!$B$94</f>
        <v>0</v>
      </c>
      <c r="O5" s="130">
        <f>('Annexe A  Plan RH'!AD92-'Annexe A  Plan RH'!AC92)*-Hypothèses!$B$94</f>
        <v>-3000</v>
      </c>
      <c r="P5" s="130">
        <f>('Annexe A  Plan RH'!AE92-'Annexe A  Plan RH'!AD92)*-Hypothèses!$B$94</f>
        <v>0</v>
      </c>
      <c r="Q5" s="130">
        <f>('Annexe A  Plan RH'!AF92-'Annexe A  Plan RH'!AE92)*-Hypothèses!$B$94</f>
        <v>0</v>
      </c>
      <c r="R5" s="130">
        <f>('Annexe A  Plan RH'!AG92-'Annexe A  Plan RH'!AF92)*-Hypothèses!$B$94</f>
        <v>0</v>
      </c>
      <c r="S5" s="130">
        <f>('Annexe A  Plan RH'!AH92-'Annexe A  Plan RH'!AG92)*-Hypothèses!$B$94</f>
        <v>0</v>
      </c>
      <c r="T5" s="130">
        <f>('Annexe A  Plan RH'!AI92-'Annexe A  Plan RH'!AH92)*-Hypothèses!$B$94</f>
        <v>0</v>
      </c>
      <c r="U5" s="131">
        <f>('Annexe A  Plan RH'!AJ92-'Annexe A  Plan RH'!AI92)*-Hypothèses!$B$94</f>
        <v>0</v>
      </c>
      <c r="V5" s="129">
        <f>('Annexe A  Plan RH'!AK92-'Annexe A  Plan RH'!AJ92)*-Hypothèses!$B$94</f>
        <v>0</v>
      </c>
      <c r="W5" s="130">
        <f>('Annexe A  Plan RH'!AL92-'Annexe A  Plan RH'!AK92)*-Hypothèses!$B$94</f>
        <v>0</v>
      </c>
      <c r="X5" s="130">
        <f>('Annexe A  Plan RH'!AM92-'Annexe A  Plan RH'!AL92)*-Hypothèses!$B$94</f>
        <v>0</v>
      </c>
      <c r="Y5" s="130">
        <f>('Annexe A  Plan RH'!AN92-'Annexe A  Plan RH'!AM92)*-Hypothèses!$B$94</f>
        <v>0</v>
      </c>
      <c r="Z5" s="130">
        <f>('Annexe A  Plan RH'!AO92-'Annexe A  Plan RH'!AN92)*-Hypothèses!$B$94</f>
        <v>0</v>
      </c>
      <c r="AA5" s="130">
        <f>('Annexe A  Plan RH'!AP92-'Annexe A  Plan RH'!AO92)*-Hypothèses!$B$94</f>
        <v>0</v>
      </c>
      <c r="AB5" s="130">
        <f>('Annexe A  Plan RH'!AQ92-'Annexe A  Plan RH'!AP92)*-Hypothèses!$B$94</f>
        <v>0</v>
      </c>
      <c r="AC5" s="130">
        <f>('Annexe A  Plan RH'!AR92-'Annexe A  Plan RH'!AQ92)*-Hypothèses!$B$94</f>
        <v>0</v>
      </c>
      <c r="AD5" s="130">
        <f>('Annexe A  Plan RH'!AS92-'Annexe A  Plan RH'!AR92)*-Hypothèses!$B$94</f>
        <v>0</v>
      </c>
      <c r="AE5" s="130">
        <f>('Annexe A  Plan RH'!AT92-'Annexe A  Plan RH'!AS92)*-Hypothèses!$B$94</f>
        <v>0</v>
      </c>
      <c r="AF5" s="130">
        <f>('Annexe A  Plan RH'!AU92-'Annexe A  Plan RH'!AT92)*-Hypothèses!$B$94</f>
        <v>0</v>
      </c>
      <c r="AG5" s="131">
        <f>('Annexe A  Plan RH'!AV92-'Annexe A  Plan RH'!AU92)*-Hypothèses!$B$94</f>
        <v>0</v>
      </c>
      <c r="AH5" s="129">
        <f>('Annexe A  Plan RH'!AW92-'Annexe A  Plan RH'!AV92)*-Hypothèses!$B$94</f>
        <v>0</v>
      </c>
      <c r="AI5" s="130">
        <f>('Annexe A  Plan RH'!AX92-'Annexe A  Plan RH'!AW92)*-Hypothèses!$B$94</f>
        <v>0</v>
      </c>
      <c r="AJ5" s="130">
        <f>('Annexe A  Plan RH'!AY92-'Annexe A  Plan RH'!AX92)*-Hypothèses!$B$94</f>
        <v>0</v>
      </c>
      <c r="AK5" s="130">
        <f>('Annexe A  Plan RH'!AZ92-'Annexe A  Plan RH'!AY92)*-Hypothèses!$B$94</f>
        <v>0</v>
      </c>
      <c r="AL5" s="130">
        <f>('Annexe A  Plan RH'!BA92-'Annexe A  Plan RH'!AZ92)*-Hypothèses!$B$94</f>
        <v>0</v>
      </c>
      <c r="AM5" s="130">
        <f>('Annexe A  Plan RH'!BB92-'Annexe A  Plan RH'!BA92)*-Hypothèses!$B$94</f>
        <v>0</v>
      </c>
      <c r="AN5" s="130">
        <f>('Annexe A  Plan RH'!BC92-'Annexe A  Plan RH'!BB92)*-Hypothèses!$B$94</f>
        <v>0</v>
      </c>
      <c r="AO5" s="130">
        <f>('Annexe A  Plan RH'!BD92-'Annexe A  Plan RH'!BC92)*-Hypothèses!$B$94</f>
        <v>0</v>
      </c>
      <c r="AP5" s="130">
        <f>('Annexe A  Plan RH'!BE92-'Annexe A  Plan RH'!BD92)*-Hypothèses!$B$94</f>
        <v>0</v>
      </c>
      <c r="AQ5" s="130">
        <f>('Annexe A  Plan RH'!BF92-'Annexe A  Plan RH'!BE92)*-Hypothèses!$B$94</f>
        <v>0</v>
      </c>
      <c r="AR5" s="130">
        <f>('Annexe A  Plan RH'!BG92-'Annexe A  Plan RH'!BF92)*-Hypothèses!$B$94</f>
        <v>0</v>
      </c>
      <c r="AS5" s="131">
        <f>('Annexe A  Plan RH'!BH92-'Annexe A  Plan RH'!BG92)*-Hypothèses!$B$94</f>
        <v>0</v>
      </c>
      <c r="AT5" s="129">
        <f>('Annexe A  Plan RH'!BI92-'Annexe A  Plan RH'!BH92)*-Hypothèses!$B$94</f>
        <v>0</v>
      </c>
      <c r="AU5" s="130">
        <f>('Annexe A  Plan RH'!BJ92-'Annexe A  Plan RH'!BI92)*-Hypothèses!$B$94</f>
        <v>0</v>
      </c>
      <c r="AV5" s="130">
        <f>('Annexe A  Plan RH'!BK92-'Annexe A  Plan RH'!BJ92)*-Hypothèses!$B$94</f>
        <v>0</v>
      </c>
      <c r="AW5" s="130">
        <f>('Annexe A  Plan RH'!BL92-'Annexe A  Plan RH'!BK92)*-Hypothèses!$B$94</f>
        <v>0</v>
      </c>
      <c r="AX5" s="130">
        <f>('Annexe A  Plan RH'!BM92-'Annexe A  Plan RH'!BL92)*-Hypothèses!$B$94</f>
        <v>0</v>
      </c>
      <c r="AY5" s="130">
        <f>('Annexe A  Plan RH'!BN92-'Annexe A  Plan RH'!BM92)*-Hypothèses!$B$94</f>
        <v>0</v>
      </c>
      <c r="AZ5" s="130">
        <f>('Annexe A  Plan RH'!BO92-'Annexe A  Plan RH'!BN92)*-Hypothèses!$B$94</f>
        <v>0</v>
      </c>
      <c r="BA5" s="130">
        <f>('Annexe A  Plan RH'!BP92-'Annexe A  Plan RH'!BO92)*-Hypothèses!$B$94</f>
        <v>-1000</v>
      </c>
      <c r="BB5" s="130">
        <f>('Annexe A  Plan RH'!BQ92-'Annexe A  Plan RH'!BP92)*-Hypothèses!$B$94</f>
        <v>-1000</v>
      </c>
      <c r="BC5" s="130">
        <f>('Annexe A  Plan RH'!BR92-'Annexe A  Plan RH'!BQ92)*-Hypothèses!$B$94</f>
        <v>-1000</v>
      </c>
      <c r="BD5" s="130">
        <f>('Annexe A  Plan RH'!BS92-'Annexe A  Plan RH'!BR92)*-Hypothèses!$B$94</f>
        <v>0</v>
      </c>
      <c r="BE5" s="131">
        <f>('Annexe A  Plan RH'!BT92-'Annexe A  Plan RH'!BS92)*-Hypothèses!$B$94</f>
        <v>0</v>
      </c>
      <c r="BF5" s="129">
        <f>('Annexe A  Plan RH'!BU92-'Annexe A  Plan RH'!BT92)*-Hypothèses!$B$94</f>
        <v>-4000</v>
      </c>
      <c r="BG5" s="130">
        <f>('Annexe A  Plan RH'!BV92-'Annexe A  Plan RH'!BU92)*-Hypothèses!$B$94</f>
        <v>0</v>
      </c>
      <c r="BH5" s="130">
        <f>('Annexe A  Plan RH'!BW92-'Annexe A  Plan RH'!BV92)*-Hypothèses!$B$94</f>
        <v>-5000</v>
      </c>
      <c r="BI5" s="130">
        <f>('Annexe A  Plan RH'!BX92-'Annexe A  Plan RH'!BW92)*-Hypothèses!$B$94</f>
        <v>-2000</v>
      </c>
      <c r="BJ5" s="130">
        <f>('Annexe A  Plan RH'!BY92-'Annexe A  Plan RH'!BX92)*-Hypothèses!$B$94</f>
        <v>-2000</v>
      </c>
      <c r="BK5" s="130">
        <f>('Annexe A  Plan RH'!BZ92-'Annexe A  Plan RH'!BY92)*-Hypothèses!$B$94</f>
        <v>-4000</v>
      </c>
      <c r="BL5" s="130">
        <f>('Annexe A  Plan RH'!CA92-'Annexe A  Plan RH'!BZ92)*-Hypothèses!$B$94</f>
        <v>-2000</v>
      </c>
      <c r="BM5" s="130">
        <f>('Annexe A  Plan RH'!CB92-'Annexe A  Plan RH'!CA92)*-Hypothèses!$B$94</f>
        <v>-2000</v>
      </c>
      <c r="BN5" s="130">
        <f>('Annexe A  Plan RH'!CC92-'Annexe A  Plan RH'!CB92)*-Hypothèses!$B$94</f>
        <v>0</v>
      </c>
      <c r="BO5" s="130">
        <f>('Annexe A  Plan RH'!CD92-'Annexe A  Plan RH'!CC92)*-Hypothèses!$B$94</f>
        <v>-1000</v>
      </c>
      <c r="BP5" s="130">
        <f>('Annexe A  Plan RH'!CE92-'Annexe A  Plan RH'!CD92)*-Hypothèses!$B$94</f>
        <v>-2000</v>
      </c>
      <c r="BQ5" s="131">
        <f>('Annexe A  Plan RH'!CF92-'Annexe A  Plan RH'!CE92)*-Hypothèses!$B$94</f>
        <v>-1000</v>
      </c>
      <c r="BR5" s="129">
        <f>('Annexe A  Plan RH'!CG92-'Annexe A  Plan RH'!CF92)*-Hypothèses!$B$94</f>
        <v>-2000</v>
      </c>
      <c r="BS5" s="130">
        <f>('Annexe A  Plan RH'!CH92-'Annexe A  Plan RH'!CG92)*-Hypothèses!$B$94</f>
        <v>-1000</v>
      </c>
      <c r="BT5" s="130">
        <f>('Annexe A  Plan RH'!CI92-'Annexe A  Plan RH'!CH92)*-Hypothèses!$B$94</f>
        <v>0</v>
      </c>
      <c r="BU5" s="130">
        <f>('Annexe A  Plan RH'!CJ92-'Annexe A  Plan RH'!CI92)*-Hypothèses!$B$94</f>
        <v>0</v>
      </c>
      <c r="BV5" s="130">
        <f>('Annexe A  Plan RH'!CK92-'Annexe A  Plan RH'!CJ92)*-Hypothèses!$B$94</f>
        <v>-3000</v>
      </c>
      <c r="BW5" s="130">
        <f>('Annexe A  Plan RH'!CL92-'Annexe A  Plan RH'!CK92)*-Hypothèses!$B$94</f>
        <v>-1000</v>
      </c>
      <c r="BX5" s="130">
        <f>('Annexe A  Plan RH'!CM92-'Annexe A  Plan RH'!CL92)*-Hypothèses!$B$94</f>
        <v>-3000</v>
      </c>
      <c r="BY5" s="130">
        <f>('Annexe A  Plan RH'!CN92-'Annexe A  Plan RH'!CM92)*-Hypothèses!$B$94</f>
        <v>0</v>
      </c>
      <c r="BZ5" s="130">
        <f>('Annexe A  Plan RH'!CO92-'Annexe A  Plan RH'!CN92)*-Hypothèses!$B$94</f>
        <v>-2000</v>
      </c>
      <c r="CA5" s="130">
        <f>('Annexe A  Plan RH'!CP92-'Annexe A  Plan RH'!CO92)*-Hypothèses!$B$94</f>
        <v>0</v>
      </c>
      <c r="CB5" s="130">
        <f>('Annexe A  Plan RH'!CQ92-'Annexe A  Plan RH'!CP92)*-Hypothèses!$B$94</f>
        <v>0</v>
      </c>
      <c r="CC5" s="355">
        <v>0</v>
      </c>
    </row>
    <row r="6" spans="1:81" ht="15.75" customHeight="1">
      <c r="A6" s="305" t="s">
        <v>207</v>
      </c>
      <c r="B6" s="189"/>
      <c r="I6" s="10"/>
      <c r="J6" s="40"/>
      <c r="U6" s="10"/>
      <c r="V6" s="40"/>
      <c r="AG6" s="10"/>
      <c r="AH6" s="40"/>
      <c r="AS6" s="10"/>
      <c r="AT6" s="40"/>
      <c r="BE6" s="10"/>
      <c r="BF6" s="40"/>
      <c r="BQ6" s="10"/>
      <c r="BR6" s="40"/>
      <c r="CC6" s="10"/>
    </row>
    <row r="7" spans="1:81" ht="15.75" customHeight="1">
      <c r="A7" s="194" t="s">
        <v>208</v>
      </c>
      <c r="B7" s="62"/>
      <c r="C7" s="308">
        <f t="shared" ref="C7:CC7" si="1">-8170/12</f>
        <v>-680.83333333333337</v>
      </c>
      <c r="D7" s="308">
        <f t="shared" si="1"/>
        <v>-680.83333333333337</v>
      </c>
      <c r="E7" s="308">
        <f t="shared" si="1"/>
        <v>-680.83333333333337</v>
      </c>
      <c r="F7" s="308">
        <f t="shared" si="1"/>
        <v>-680.83333333333337</v>
      </c>
      <c r="G7" s="308">
        <f t="shared" si="1"/>
        <v>-680.83333333333337</v>
      </c>
      <c r="H7" s="308">
        <f t="shared" si="1"/>
        <v>-680.83333333333337</v>
      </c>
      <c r="I7" s="327">
        <f t="shared" si="1"/>
        <v>-680.83333333333337</v>
      </c>
      <c r="J7" s="307">
        <f t="shared" si="1"/>
        <v>-680.83333333333337</v>
      </c>
      <c r="K7" s="308">
        <f t="shared" si="1"/>
        <v>-680.83333333333337</v>
      </c>
      <c r="L7" s="308">
        <f t="shared" si="1"/>
        <v>-680.83333333333337</v>
      </c>
      <c r="M7" s="308">
        <f t="shared" si="1"/>
        <v>-680.83333333333337</v>
      </c>
      <c r="N7" s="308">
        <f t="shared" si="1"/>
        <v>-680.83333333333337</v>
      </c>
      <c r="O7" s="308">
        <f t="shared" si="1"/>
        <v>-680.83333333333337</v>
      </c>
      <c r="P7" s="308">
        <f t="shared" si="1"/>
        <v>-680.83333333333337</v>
      </c>
      <c r="Q7" s="308">
        <f t="shared" si="1"/>
        <v>-680.83333333333337</v>
      </c>
      <c r="R7" s="308">
        <f t="shared" si="1"/>
        <v>-680.83333333333337</v>
      </c>
      <c r="S7" s="308">
        <f t="shared" si="1"/>
        <v>-680.83333333333337</v>
      </c>
      <c r="T7" s="308">
        <f t="shared" si="1"/>
        <v>-680.83333333333337</v>
      </c>
      <c r="U7" s="327">
        <f t="shared" si="1"/>
        <v>-680.83333333333337</v>
      </c>
      <c r="V7" s="307">
        <f t="shared" si="1"/>
        <v>-680.83333333333337</v>
      </c>
      <c r="W7" s="308">
        <f t="shared" si="1"/>
        <v>-680.83333333333337</v>
      </c>
      <c r="X7" s="308">
        <f t="shared" si="1"/>
        <v>-680.83333333333337</v>
      </c>
      <c r="Y7" s="308">
        <f t="shared" si="1"/>
        <v>-680.83333333333337</v>
      </c>
      <c r="Z7" s="308">
        <f t="shared" si="1"/>
        <v>-680.83333333333337</v>
      </c>
      <c r="AA7" s="308">
        <f t="shared" si="1"/>
        <v>-680.83333333333337</v>
      </c>
      <c r="AB7" s="308">
        <f t="shared" si="1"/>
        <v>-680.83333333333337</v>
      </c>
      <c r="AC7" s="308">
        <f t="shared" si="1"/>
        <v>-680.83333333333337</v>
      </c>
      <c r="AD7" s="308">
        <f t="shared" si="1"/>
        <v>-680.83333333333337</v>
      </c>
      <c r="AE7" s="308">
        <f t="shared" si="1"/>
        <v>-680.83333333333337</v>
      </c>
      <c r="AF7" s="308">
        <f t="shared" si="1"/>
        <v>-680.83333333333337</v>
      </c>
      <c r="AG7" s="327">
        <f t="shared" si="1"/>
        <v>-680.83333333333337</v>
      </c>
      <c r="AH7" s="307">
        <f t="shared" si="1"/>
        <v>-680.83333333333337</v>
      </c>
      <c r="AI7" s="308">
        <f t="shared" si="1"/>
        <v>-680.83333333333337</v>
      </c>
      <c r="AJ7" s="308">
        <f t="shared" si="1"/>
        <v>-680.83333333333337</v>
      </c>
      <c r="AK7" s="308">
        <f t="shared" si="1"/>
        <v>-680.83333333333337</v>
      </c>
      <c r="AL7" s="308">
        <f t="shared" si="1"/>
        <v>-680.83333333333337</v>
      </c>
      <c r="AM7" s="308">
        <f t="shared" si="1"/>
        <v>-680.83333333333337</v>
      </c>
      <c r="AN7" s="308">
        <f t="shared" si="1"/>
        <v>-680.83333333333337</v>
      </c>
      <c r="AO7" s="308">
        <f t="shared" si="1"/>
        <v>-680.83333333333337</v>
      </c>
      <c r="AP7" s="308">
        <f t="shared" si="1"/>
        <v>-680.83333333333337</v>
      </c>
      <c r="AQ7" s="308">
        <f t="shared" si="1"/>
        <v>-680.83333333333337</v>
      </c>
      <c r="AR7" s="308">
        <f t="shared" si="1"/>
        <v>-680.83333333333337</v>
      </c>
      <c r="AS7" s="327">
        <f t="shared" si="1"/>
        <v>-680.83333333333337</v>
      </c>
      <c r="AT7" s="307">
        <f t="shared" si="1"/>
        <v>-680.83333333333337</v>
      </c>
      <c r="AU7" s="308">
        <f t="shared" si="1"/>
        <v>-680.83333333333337</v>
      </c>
      <c r="AV7" s="308">
        <f t="shared" si="1"/>
        <v>-680.83333333333337</v>
      </c>
      <c r="AW7" s="308">
        <f t="shared" si="1"/>
        <v>-680.83333333333337</v>
      </c>
      <c r="AX7" s="308">
        <f t="shared" si="1"/>
        <v>-680.83333333333337</v>
      </c>
      <c r="AY7" s="308">
        <f t="shared" si="1"/>
        <v>-680.83333333333337</v>
      </c>
      <c r="AZ7" s="308">
        <f t="shared" si="1"/>
        <v>-680.83333333333337</v>
      </c>
      <c r="BA7" s="308">
        <f t="shared" si="1"/>
        <v>-680.83333333333337</v>
      </c>
      <c r="BB7" s="308">
        <f t="shared" si="1"/>
        <v>-680.83333333333337</v>
      </c>
      <c r="BC7" s="308">
        <f t="shared" si="1"/>
        <v>-680.83333333333337</v>
      </c>
      <c r="BD7" s="308">
        <f t="shared" si="1"/>
        <v>-680.83333333333337</v>
      </c>
      <c r="BE7" s="327">
        <f t="shared" si="1"/>
        <v>-680.83333333333337</v>
      </c>
      <c r="BF7" s="307">
        <f t="shared" si="1"/>
        <v>-680.83333333333337</v>
      </c>
      <c r="BG7" s="308">
        <f t="shared" si="1"/>
        <v>-680.83333333333337</v>
      </c>
      <c r="BH7" s="308">
        <f t="shared" si="1"/>
        <v>-680.83333333333337</v>
      </c>
      <c r="BI7" s="308">
        <f t="shared" si="1"/>
        <v>-680.83333333333337</v>
      </c>
      <c r="BJ7" s="308">
        <f t="shared" si="1"/>
        <v>-680.83333333333337</v>
      </c>
      <c r="BK7" s="308">
        <f t="shared" si="1"/>
        <v>-680.83333333333337</v>
      </c>
      <c r="BL7" s="308">
        <f t="shared" si="1"/>
        <v>-680.83333333333337</v>
      </c>
      <c r="BM7" s="308">
        <f t="shared" si="1"/>
        <v>-680.83333333333337</v>
      </c>
      <c r="BN7" s="308">
        <f t="shared" si="1"/>
        <v>-680.83333333333337</v>
      </c>
      <c r="BO7" s="308">
        <f t="shared" si="1"/>
        <v>-680.83333333333337</v>
      </c>
      <c r="BP7" s="308">
        <f t="shared" si="1"/>
        <v>-680.83333333333337</v>
      </c>
      <c r="BQ7" s="327">
        <f t="shared" si="1"/>
        <v>-680.83333333333337</v>
      </c>
      <c r="BR7" s="307">
        <f t="shared" si="1"/>
        <v>-680.83333333333337</v>
      </c>
      <c r="BS7" s="308">
        <f t="shared" si="1"/>
        <v>-680.83333333333337</v>
      </c>
      <c r="BT7" s="308">
        <f t="shared" si="1"/>
        <v>-680.83333333333337</v>
      </c>
      <c r="BU7" s="308">
        <f t="shared" si="1"/>
        <v>-680.83333333333337</v>
      </c>
      <c r="BV7" s="308">
        <f t="shared" si="1"/>
        <v>-680.83333333333337</v>
      </c>
      <c r="BW7" s="308">
        <f t="shared" si="1"/>
        <v>-680.83333333333337</v>
      </c>
      <c r="BX7" s="308">
        <f t="shared" si="1"/>
        <v>-680.83333333333337</v>
      </c>
      <c r="BY7" s="308">
        <f t="shared" si="1"/>
        <v>-680.83333333333337</v>
      </c>
      <c r="BZ7" s="308">
        <f t="shared" si="1"/>
        <v>-680.83333333333337</v>
      </c>
      <c r="CA7" s="308">
        <f t="shared" si="1"/>
        <v>-680.83333333333337</v>
      </c>
      <c r="CB7" s="308">
        <f t="shared" si="1"/>
        <v>-680.83333333333337</v>
      </c>
      <c r="CC7" s="327">
        <f t="shared" si="1"/>
        <v>-680.83333333333337</v>
      </c>
    </row>
    <row r="8" spans="1:81" ht="15.75" customHeight="1">
      <c r="A8" s="194" t="str">
        <f>'Annexe C  Plan produit'!A4</f>
        <v>Axe 1 : Optiwize</v>
      </c>
      <c r="B8" s="62"/>
      <c r="C8" s="356"/>
      <c r="D8" s="356"/>
      <c r="E8" s="356"/>
      <c r="F8" s="356"/>
      <c r="G8" s="356"/>
      <c r="H8" s="356"/>
      <c r="I8" s="357"/>
      <c r="J8" s="358">
        <f>-SUMIFS('Annexe C  Plan produit'!$G$17:$G$21,'Annexe C  Plan produit'!$H$17:$H$21,"&gt;01/01/2026",'Annexe C  Plan produit'!$H$17:$H$21,"&lt;01/12/2026")</f>
        <v>0</v>
      </c>
      <c r="K8" s="356"/>
      <c r="L8" s="356"/>
      <c r="M8" s="356"/>
      <c r="N8" s="356"/>
      <c r="O8" s="356"/>
      <c r="P8" s="356"/>
      <c r="Q8" s="356"/>
      <c r="R8" s="356"/>
      <c r="S8" s="356"/>
      <c r="T8" s="356"/>
      <c r="U8" s="357"/>
      <c r="V8" s="358">
        <f>-SUMIFS('Annexe C  Plan produit'!$G$17:$G$21,'Annexe C  Plan produit'!$H$17:$H$21,"&gt;01/01/2027",'Annexe C  Plan produit'!$H$17:$H$21,"&lt;01/12/2027")</f>
        <v>0</v>
      </c>
      <c r="W8" s="356"/>
      <c r="AG8" s="10"/>
      <c r="AH8" s="358">
        <f>-SUMIFS('Annexe C  Plan produit'!$G$17:$G$21,'Annexe C  Plan produit'!$H$17:$H$21,"&gt;01/01/2028",'Annexe C  Plan produit'!$H$17:$H$21,"&lt;01/12/2028")</f>
        <v>0</v>
      </c>
      <c r="AS8" s="10"/>
      <c r="AT8" s="358">
        <f>-SUMIFS('Annexe C  Plan produit'!$G$17:$G$21,'Annexe C  Plan produit'!$H$17:$H$21,"&gt;01/01/2029",'Annexe C  Plan produit'!$H$17:$H$21,"&lt;01/12/2029")</f>
        <v>-25000</v>
      </c>
      <c r="BE8" s="10"/>
      <c r="BF8" s="358">
        <f>-SUMIFS('Annexe C  Plan produit'!$G$17:$G$21,'Annexe C  Plan produit'!$H$17:$H$21,"&gt;01/01/2030",'Annexe C  Plan produit'!$H$17:$H$21,"&lt;01/12/2030")</f>
        <v>-25000</v>
      </c>
      <c r="BQ8" s="10"/>
      <c r="BR8" s="358">
        <f>-SUMIFS('Annexe C  Plan produit'!$G$17:$G$21,'Annexe C  Plan produit'!$H$17:$H$21,"&gt;01/01/2031",'Annexe C  Plan produit'!$H$17:$H$21,"&lt;01/12/2031")</f>
        <v>-25000</v>
      </c>
      <c r="CC8" s="10"/>
    </row>
    <row r="9" spans="1:81" ht="15.75" customHeight="1">
      <c r="A9" s="305" t="str">
        <f>'Annexe C  Plan produit'!A25</f>
        <v xml:space="preserve">Axe 2 : Leads </v>
      </c>
      <c r="B9" s="62"/>
      <c r="I9" s="10"/>
      <c r="J9" s="358">
        <f>-SUMIFS('Annexe C  Plan produit'!$G$38:$G$40,'Annexe C  Plan produit'!$H$38:$H$40,"&gt;01/01/2026",'Annexe C  Plan produit'!$H$38:$H$40,"&lt;01/12/2026")</f>
        <v>0</v>
      </c>
      <c r="U9" s="10"/>
      <c r="V9" s="358">
        <f>-SUMIFS('Annexe C  Plan produit'!$G$38:$G$40,'Annexe C  Plan produit'!$H$38:$H$40,"&gt;01/01/2027",'Annexe C  Plan produit'!$H$38:$H$40,"&lt;01/12/2027")</f>
        <v>0</v>
      </c>
      <c r="AG9" s="10"/>
      <c r="AH9" s="358">
        <f>-SUMIFS('Annexe C  Plan produit'!$G$38:$G$40,'Annexe C  Plan produit'!$H$38:$H$40,"&gt;01/01/2028",'Annexe C  Plan produit'!$H$38:$H$40,"&lt;01/12/2028")</f>
        <v>0</v>
      </c>
      <c r="AS9" s="10"/>
      <c r="AT9" s="358">
        <f>-SUMIFS('Annexe C  Plan produit'!$G$38:$G$40,'Annexe C  Plan produit'!$H$38:$H$40,"&gt;01/01/2029",'Annexe C  Plan produit'!$H$38:$H$40,"&lt;01/12/2029")</f>
        <v>0</v>
      </c>
      <c r="BE9" s="10"/>
      <c r="BF9" s="358">
        <f>-SUMIFS('Annexe C  Plan produit'!$G$38:$G$40,'Annexe C  Plan produit'!$H$38:$H$40,"&gt;01/01/2030",'Annexe C  Plan produit'!$H$38:$H$40,"&lt;01/12/2030")</f>
        <v>-20000</v>
      </c>
      <c r="BQ9" s="10"/>
      <c r="BR9" s="358">
        <f>-SUMIFS('Annexe C  Plan produit'!$G$38:$G$40,'Annexe C  Plan produit'!$H$38:$H$40,"&gt;01/01/2031",'Annexe C  Plan produit'!$H$38:$H$40,"&lt;01/12/2031")</f>
        <v>-20000</v>
      </c>
      <c r="CC9" s="10"/>
    </row>
    <row r="10" spans="1:81" ht="15.75" customHeight="1">
      <c r="A10" s="305" t="str">
        <f>'Annexe C  Plan produit'!A42</f>
        <v>Axe 3 : R&amp;D</v>
      </c>
      <c r="B10" s="62"/>
      <c r="I10" s="10"/>
      <c r="J10" s="358">
        <f>-SUMIFS('Annexe C  Plan produit'!$G$52:$G$54,'Annexe C  Plan produit'!$H$52:$H$54,"&gt;01/01/2026",'Annexe C  Plan produit'!$H$52:$H$54,"&lt;01/12/2026")</f>
        <v>-30000</v>
      </c>
      <c r="U10" s="10"/>
      <c r="V10" s="358">
        <f>-SUMIFS('Annexe C  Plan produit'!$G$52:$G$54,'Annexe C  Plan produit'!$H$52:$H$54,"&gt;01/01/2027",'Annexe C  Plan produit'!$H$52:$H$54,"&lt;01/12/2027")</f>
        <v>0</v>
      </c>
      <c r="AG10" s="10"/>
      <c r="AH10" s="358">
        <f>-SUMIFS('Annexe C  Plan produit'!$G$52:$G$54,'Annexe C  Plan produit'!$H$52:$H$54,"&gt;01/01/2028",'Annexe C  Plan produit'!$H$52:$H$54,"&lt;01/12/2028")</f>
        <v>0</v>
      </c>
      <c r="AS10" s="10"/>
      <c r="AT10" s="358">
        <f>-SUMIFS('Annexe C  Plan produit'!$G$52:$G$54,'Annexe C  Plan produit'!$H$52:$H$54,"&gt;01/01/2029",'Annexe C  Plan produit'!$H$52:$H$54,"&lt;01/12/2029")</f>
        <v>0</v>
      </c>
      <c r="BE10" s="10"/>
      <c r="BF10" s="358">
        <f>-SUMIFS('Annexe C  Plan produit'!$G$52:$G$54,'Annexe C  Plan produit'!$H$52:$H$54,"&gt;01/01/2030",'Annexe C  Plan produit'!$H$52:$H$54,"&lt;01/12/2030")</f>
        <v>0</v>
      </c>
      <c r="BQ10" s="10"/>
      <c r="BR10" s="358">
        <f>-SUMIFS('Annexe C  Plan produit'!$G$52:$G$54,'Annexe C  Plan produit'!$H$52:$H$54,"&gt;01/01/2031",'Annexe C  Plan produit'!$H$52:$H$54,"&lt;01/12/2031")</f>
        <v>0</v>
      </c>
      <c r="CC10" s="10"/>
    </row>
    <row r="11" spans="1:81" ht="15.75" customHeight="1">
      <c r="A11" s="305" t="s">
        <v>209</v>
      </c>
      <c r="B11" s="62"/>
      <c r="I11" s="10"/>
      <c r="J11" s="40"/>
      <c r="U11" s="10"/>
      <c r="V11" s="40"/>
      <c r="AG11" s="10"/>
      <c r="AH11" s="40"/>
      <c r="AS11" s="10"/>
      <c r="AT11" s="40"/>
      <c r="BE11" s="10"/>
      <c r="BF11" s="40"/>
      <c r="BQ11" s="10"/>
      <c r="BR11" s="40"/>
      <c r="CC11" s="10"/>
    </row>
    <row r="12" spans="1:81" ht="15.75" customHeight="1">
      <c r="A12" s="359"/>
      <c r="B12" s="62"/>
      <c r="I12" s="10"/>
      <c r="J12" s="40"/>
      <c r="U12" s="10"/>
      <c r="V12" s="40"/>
      <c r="AG12" s="10"/>
      <c r="AH12" s="40"/>
      <c r="AS12" s="10"/>
      <c r="AT12" s="40"/>
      <c r="BE12" s="10"/>
      <c r="BF12" s="40"/>
      <c r="BQ12" s="10"/>
      <c r="BR12" s="40"/>
      <c r="CC12" s="10"/>
    </row>
    <row r="13" spans="1:81" ht="15.75" customHeight="1">
      <c r="A13" s="207"/>
      <c r="B13" s="67"/>
      <c r="C13" s="120"/>
      <c r="D13" s="120"/>
      <c r="E13" s="120"/>
      <c r="F13" s="120"/>
      <c r="G13" s="120"/>
      <c r="H13" s="120"/>
      <c r="I13" s="121"/>
      <c r="J13" s="43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1"/>
      <c r="V13" s="43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1"/>
      <c r="AH13" s="43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1"/>
      <c r="AT13" s="43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1"/>
      <c r="BF13" s="43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1"/>
      <c r="BR13" s="43"/>
      <c r="BS13" s="120"/>
      <c r="BT13" s="120"/>
      <c r="BU13" s="120"/>
      <c r="BV13" s="120"/>
      <c r="BW13" s="120"/>
      <c r="BX13" s="120"/>
      <c r="BY13" s="120"/>
      <c r="BZ13" s="120"/>
      <c r="CA13" s="120"/>
      <c r="CB13" s="120"/>
      <c r="CC13" s="121"/>
    </row>
    <row r="14" spans="1:81" ht="15.75" customHeight="1">
      <c r="A14" s="194"/>
      <c r="B14" s="62"/>
    </row>
    <row r="15" spans="1:81" ht="15.75" customHeight="1">
      <c r="A15" s="194"/>
      <c r="B15" s="62"/>
    </row>
    <row r="16" spans="1:81" ht="15.75" customHeight="1">
      <c r="A16" s="181"/>
      <c r="B16" s="62"/>
    </row>
    <row r="18" spans="1:4" ht="15.75" customHeight="1">
      <c r="D18" s="11" t="s">
        <v>28</v>
      </c>
    </row>
    <row r="20" spans="1:4" ht="15.75" customHeight="1">
      <c r="A20" s="692"/>
      <c r="B20" s="692"/>
    </row>
    <row r="21" spans="1:4" ht="15.75" customHeight="1">
      <c r="A21" s="692"/>
      <c r="B21" s="692"/>
    </row>
    <row r="22" spans="1:4" ht="15">
      <c r="A22" s="693"/>
      <c r="B22" s="694"/>
    </row>
    <row r="23" spans="1:4" ht="15">
      <c r="A23" s="695"/>
      <c r="B23" s="696"/>
    </row>
    <row r="24" spans="1:4" ht="15.75" customHeight="1">
      <c r="A24" s="697"/>
      <c r="B24" s="698"/>
    </row>
    <row r="25" spans="1:4" ht="15.75" customHeight="1">
      <c r="A25" s="697"/>
      <c r="B25" s="698"/>
    </row>
    <row r="26" spans="1:4" ht="15">
      <c r="A26" s="695"/>
      <c r="B26" s="696"/>
    </row>
    <row r="27" spans="1:4" ht="15.75" customHeight="1">
      <c r="A27" s="697"/>
      <c r="B27" s="698"/>
    </row>
    <row r="28" spans="1:4" ht="15.75" customHeight="1">
      <c r="A28" s="697"/>
      <c r="B28" s="698"/>
    </row>
    <row r="29" spans="1:4" ht="15.75" customHeight="1">
      <c r="A29" s="697"/>
      <c r="B29" s="698"/>
    </row>
    <row r="30" spans="1:4" ht="15.75" customHeight="1">
      <c r="A30" s="697"/>
      <c r="B30" s="698"/>
    </row>
    <row r="31" spans="1:4" ht="15.75" customHeight="1">
      <c r="A31" s="697"/>
      <c r="B31" s="698"/>
    </row>
    <row r="32" spans="1:4" ht="15.75" customHeight="1">
      <c r="A32" s="697"/>
      <c r="B32" s="698"/>
    </row>
    <row r="33" spans="1:2" ht="15.75" customHeight="1">
      <c r="A33" s="697"/>
      <c r="B33" s="698"/>
    </row>
    <row r="34" spans="1:2" ht="15.75" customHeight="1">
      <c r="A34" s="697"/>
      <c r="B34" s="698"/>
    </row>
    <row r="35" spans="1:2" ht="15">
      <c r="A35" s="695"/>
      <c r="B35" s="696"/>
    </row>
    <row r="36" spans="1:2" ht="15.75" customHeight="1">
      <c r="A36" s="697"/>
      <c r="B36" s="698"/>
    </row>
    <row r="37" spans="1:2" ht="15.75" customHeight="1">
      <c r="A37" s="697"/>
      <c r="B37" s="698"/>
    </row>
    <row r="38" spans="1:2" ht="15.75" customHeight="1">
      <c r="A38" s="697"/>
      <c r="B38" s="698"/>
    </row>
    <row r="39" spans="1:2" ht="15.75" customHeight="1">
      <c r="A39" s="697"/>
      <c r="B39" s="698"/>
    </row>
    <row r="40" spans="1:2" ht="15.75" customHeight="1">
      <c r="A40" s="697"/>
      <c r="B40" s="698"/>
    </row>
    <row r="41" spans="1:2" ht="15.75" customHeight="1">
      <c r="A41" s="697"/>
      <c r="B41" s="698"/>
    </row>
    <row r="42" spans="1:2" ht="15.75" customHeight="1">
      <c r="A42" s="697"/>
      <c r="B42" s="698"/>
    </row>
    <row r="43" spans="1:2" ht="15.75" customHeight="1">
      <c r="A43" s="697"/>
      <c r="B43" s="698"/>
    </row>
    <row r="44" spans="1:2" ht="15.75" customHeight="1">
      <c r="A44" s="697"/>
      <c r="B44" s="698"/>
    </row>
    <row r="45" spans="1:2" ht="15.75" customHeight="1">
      <c r="A45" s="697"/>
      <c r="B45" s="698"/>
    </row>
    <row r="46" spans="1:2" ht="15.75" customHeight="1">
      <c r="A46" s="697"/>
      <c r="B46" s="698"/>
    </row>
    <row r="47" spans="1:2" ht="15.75" customHeight="1">
      <c r="A47" s="697"/>
      <c r="B47" s="698"/>
    </row>
    <row r="48" spans="1:2" ht="15">
      <c r="A48" s="695"/>
      <c r="B48" s="696"/>
    </row>
    <row r="49" spans="1:2" ht="15.75" customHeight="1">
      <c r="A49" s="697"/>
      <c r="B49" s="698"/>
    </row>
    <row r="50" spans="1:2" ht="15.75" customHeight="1">
      <c r="A50" s="697"/>
      <c r="B50" s="698"/>
    </row>
    <row r="51" spans="1:2" ht="15.75" customHeight="1">
      <c r="A51" s="697"/>
      <c r="B51" s="698"/>
    </row>
    <row r="52" spans="1:2" ht="13">
      <c r="A52" s="697"/>
      <c r="B52" s="698"/>
    </row>
    <row r="53" spans="1:2" ht="13">
      <c r="A53" s="697"/>
      <c r="B53" s="698"/>
    </row>
    <row r="54" spans="1:2" ht="13">
      <c r="A54" s="697"/>
      <c r="B54" s="698"/>
    </row>
    <row r="55" spans="1:2" ht="13">
      <c r="A55" s="697"/>
      <c r="B55" s="698"/>
    </row>
    <row r="56" spans="1:2" ht="13">
      <c r="A56" s="697"/>
      <c r="B56" s="698"/>
    </row>
    <row r="57" spans="1:2" ht="15">
      <c r="A57" s="695"/>
      <c r="B57" s="696"/>
    </row>
    <row r="58" spans="1:2" ht="13">
      <c r="A58" s="697"/>
      <c r="B58" s="698"/>
    </row>
    <row r="59" spans="1:2" ht="13">
      <c r="A59" s="697"/>
      <c r="B59" s="698"/>
    </row>
    <row r="60" spans="1:2" ht="13">
      <c r="A60" s="697"/>
      <c r="B60" s="698"/>
    </row>
    <row r="61" spans="1:2" ht="15">
      <c r="A61" s="695"/>
      <c r="B61" s="696"/>
    </row>
    <row r="62" spans="1:2" ht="13">
      <c r="A62" s="697"/>
      <c r="B62" s="698"/>
    </row>
    <row r="63" spans="1:2" ht="13">
      <c r="A63" s="697"/>
      <c r="B63" s="698"/>
    </row>
    <row r="64" spans="1:2" ht="13">
      <c r="A64" s="697"/>
      <c r="B64" s="698"/>
    </row>
    <row r="65" spans="1:2" ht="13">
      <c r="A65" s="697"/>
      <c r="B65" s="698"/>
    </row>
    <row r="66" spans="1:2" ht="13">
      <c r="A66" s="697"/>
      <c r="B66" s="698"/>
    </row>
    <row r="67" spans="1:2" ht="15">
      <c r="A67" s="695"/>
      <c r="B67" s="696"/>
    </row>
    <row r="68" spans="1:2" ht="13">
      <c r="A68" s="697"/>
      <c r="B68" s="698"/>
    </row>
    <row r="69" spans="1:2" ht="13">
      <c r="A69" s="697"/>
      <c r="B69" s="698"/>
    </row>
    <row r="70" spans="1:2" ht="15">
      <c r="A70" s="695"/>
      <c r="B70" s="696"/>
    </row>
    <row r="71" spans="1:2" ht="13">
      <c r="A71" s="697"/>
      <c r="B71" s="698"/>
    </row>
    <row r="72" spans="1:2" ht="13">
      <c r="A72" s="697"/>
      <c r="B72" s="698"/>
    </row>
    <row r="73" spans="1:2" ht="13">
      <c r="A73" s="697"/>
      <c r="B73" s="698"/>
    </row>
    <row r="74" spans="1:2" ht="13">
      <c r="A74" s="697"/>
      <c r="B74" s="698"/>
    </row>
    <row r="75" spans="1:2" ht="15">
      <c r="A75" s="695"/>
      <c r="B75" s="696"/>
    </row>
    <row r="76" spans="1:2" ht="13">
      <c r="A76" s="697"/>
      <c r="B76" s="698"/>
    </row>
    <row r="77" spans="1:2" ht="13">
      <c r="A77" s="697"/>
      <c r="B77" s="698"/>
    </row>
    <row r="78" spans="1:2" ht="13">
      <c r="A78" s="697"/>
      <c r="B78" s="698"/>
    </row>
    <row r="79" spans="1:2" ht="13">
      <c r="A79" s="697"/>
      <c r="B79" s="698"/>
    </row>
    <row r="80" spans="1:2" ht="13">
      <c r="A80" s="697"/>
      <c r="B80" s="698"/>
    </row>
    <row r="81" spans="1:2" ht="15">
      <c r="A81" s="695"/>
      <c r="B81" s="696"/>
    </row>
  </sheetData>
  <mergeCells count="6">
    <mergeCell ref="BF1:BQ1"/>
    <mergeCell ref="C1:I1"/>
    <mergeCell ref="J1:U1"/>
    <mergeCell ref="V1:AG1"/>
    <mergeCell ref="AH1:AS1"/>
    <mergeCell ref="AT1:B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H12"/>
  <sheetViews>
    <sheetView workbookViewId="0"/>
  </sheetViews>
  <sheetFormatPr baseColWidth="10" defaultColWidth="12.6640625" defaultRowHeight="15.75" customHeight="1" outlineLevelRow="1"/>
  <cols>
    <col min="1" max="1" width="34.33203125" customWidth="1"/>
    <col min="2" max="2" width="12.6640625" hidden="1"/>
  </cols>
  <sheetData>
    <row r="1" spans="1:112" ht="15.75" customHeight="1">
      <c r="A1" s="24" t="s">
        <v>210</v>
      </c>
    </row>
    <row r="3" spans="1:112" ht="15.75" customHeight="1">
      <c r="B3" s="360"/>
      <c r="C3" s="361">
        <v>45809</v>
      </c>
      <c r="D3" s="362">
        <v>45839</v>
      </c>
      <c r="E3" s="362">
        <v>45870</v>
      </c>
      <c r="F3" s="362">
        <v>45901</v>
      </c>
      <c r="G3" s="362">
        <v>45931</v>
      </c>
      <c r="H3" s="362">
        <v>45962</v>
      </c>
      <c r="I3" s="363">
        <v>45992</v>
      </c>
      <c r="J3" s="364">
        <v>46023</v>
      </c>
      <c r="K3" s="362">
        <v>46054</v>
      </c>
      <c r="L3" s="362">
        <v>46082</v>
      </c>
      <c r="M3" s="362">
        <v>46113</v>
      </c>
      <c r="N3" s="362">
        <v>46143</v>
      </c>
      <c r="O3" s="362">
        <v>46174</v>
      </c>
      <c r="P3" s="362">
        <v>46204</v>
      </c>
      <c r="Q3" s="362">
        <v>46235</v>
      </c>
      <c r="R3" s="362">
        <v>46266</v>
      </c>
      <c r="S3" s="362">
        <v>46296</v>
      </c>
      <c r="T3" s="362">
        <v>46327</v>
      </c>
      <c r="U3" s="363">
        <v>46357</v>
      </c>
      <c r="V3" s="364">
        <v>46388</v>
      </c>
      <c r="W3" s="362">
        <v>46419</v>
      </c>
      <c r="X3" s="362">
        <v>46447</v>
      </c>
      <c r="Y3" s="362">
        <v>46478</v>
      </c>
      <c r="Z3" s="362">
        <v>46508</v>
      </c>
      <c r="AA3" s="362">
        <v>46539</v>
      </c>
      <c r="AB3" s="362">
        <v>46569</v>
      </c>
      <c r="AC3" s="362">
        <v>46600</v>
      </c>
      <c r="AD3" s="362">
        <v>46631</v>
      </c>
      <c r="AE3" s="362">
        <v>46661</v>
      </c>
      <c r="AF3" s="362">
        <v>46692</v>
      </c>
      <c r="AG3" s="363">
        <v>46722</v>
      </c>
      <c r="AH3" s="364">
        <v>46753</v>
      </c>
      <c r="AI3" s="362">
        <v>46784</v>
      </c>
      <c r="AJ3" s="362">
        <v>46813</v>
      </c>
      <c r="AK3" s="362">
        <v>46844</v>
      </c>
      <c r="AL3" s="362">
        <v>46874</v>
      </c>
      <c r="AM3" s="362">
        <v>46905</v>
      </c>
      <c r="AN3" s="362">
        <v>46935</v>
      </c>
      <c r="AO3" s="362">
        <v>46966</v>
      </c>
      <c r="AP3" s="362">
        <v>46997</v>
      </c>
      <c r="AQ3" s="362">
        <v>47027</v>
      </c>
      <c r="AR3" s="362">
        <v>47058</v>
      </c>
      <c r="AS3" s="363">
        <v>47088</v>
      </c>
      <c r="AT3" s="364">
        <v>47119</v>
      </c>
      <c r="AU3" s="362">
        <v>47150</v>
      </c>
      <c r="AV3" s="362">
        <v>47178</v>
      </c>
      <c r="AW3" s="362">
        <v>47209</v>
      </c>
      <c r="AX3" s="362">
        <v>47239</v>
      </c>
      <c r="AY3" s="362">
        <v>47270</v>
      </c>
      <c r="AZ3" s="362">
        <v>47300</v>
      </c>
      <c r="BA3" s="362">
        <v>47331</v>
      </c>
      <c r="BB3" s="362">
        <v>47362</v>
      </c>
      <c r="BC3" s="362">
        <v>47392</v>
      </c>
      <c r="BD3" s="362">
        <v>47423</v>
      </c>
      <c r="BE3" s="363">
        <v>47453</v>
      </c>
      <c r="BF3" s="364">
        <v>47484</v>
      </c>
      <c r="BG3" s="362">
        <v>47515</v>
      </c>
      <c r="BH3" s="362">
        <v>47543</v>
      </c>
      <c r="BI3" s="362">
        <v>47574</v>
      </c>
      <c r="BJ3" s="362">
        <v>47604</v>
      </c>
      <c r="BK3" s="362">
        <v>47635</v>
      </c>
      <c r="BL3" s="362">
        <v>47665</v>
      </c>
      <c r="BM3" s="362">
        <v>47696</v>
      </c>
      <c r="BN3" s="362">
        <v>47727</v>
      </c>
      <c r="BO3" s="362">
        <v>47757</v>
      </c>
      <c r="BP3" s="362">
        <v>47788</v>
      </c>
      <c r="BQ3" s="363">
        <v>47818</v>
      </c>
      <c r="BR3" s="364">
        <v>47849</v>
      </c>
      <c r="BS3" s="362">
        <v>47880</v>
      </c>
      <c r="BT3" s="362">
        <v>47908</v>
      </c>
      <c r="BU3" s="362">
        <v>47939</v>
      </c>
      <c r="BV3" s="362">
        <v>47969</v>
      </c>
      <c r="BW3" s="362">
        <v>48000</v>
      </c>
      <c r="BX3" s="362">
        <v>48030</v>
      </c>
      <c r="BY3" s="362">
        <v>48061</v>
      </c>
      <c r="BZ3" s="362">
        <v>48092</v>
      </c>
      <c r="CA3" s="362">
        <v>48122</v>
      </c>
      <c r="CB3" s="362">
        <v>48153</v>
      </c>
      <c r="CC3" s="363">
        <v>48183</v>
      </c>
      <c r="CD3" s="365"/>
      <c r="CE3" s="365"/>
      <c r="CF3" s="365"/>
      <c r="CG3" s="365"/>
      <c r="CH3" s="365"/>
      <c r="CI3" s="365"/>
      <c r="CJ3" s="365"/>
      <c r="CK3" s="365"/>
      <c r="CL3" s="365"/>
      <c r="CM3" s="365"/>
      <c r="CN3" s="365"/>
      <c r="CO3" s="365"/>
      <c r="CP3" s="365"/>
      <c r="CQ3" s="365"/>
      <c r="CR3" s="365"/>
      <c r="CS3" s="365"/>
      <c r="CT3" s="365"/>
      <c r="CU3" s="365"/>
      <c r="CV3" s="365"/>
      <c r="CW3" s="365"/>
      <c r="CX3" s="365"/>
      <c r="CY3" s="365"/>
      <c r="CZ3" s="365"/>
      <c r="DA3" s="365"/>
      <c r="DB3" s="365"/>
      <c r="DC3" s="365"/>
      <c r="DD3" s="365"/>
      <c r="DE3" s="365"/>
      <c r="DF3" s="365"/>
      <c r="DG3" s="365"/>
      <c r="DH3" s="365"/>
    </row>
    <row r="4" spans="1:112" ht="15">
      <c r="A4" s="11" t="s">
        <v>211</v>
      </c>
      <c r="B4" s="366"/>
      <c r="C4" s="367">
        <f t="shared" ref="C4:CC4" si="0">C5+C6</f>
        <v>-49291.666666666657</v>
      </c>
      <c r="D4" s="368">
        <f t="shared" si="0"/>
        <v>-53041.666666666657</v>
      </c>
      <c r="E4" s="368">
        <f t="shared" si="0"/>
        <v>-51479.166666666657</v>
      </c>
      <c r="F4" s="368">
        <f t="shared" si="0"/>
        <v>-51479.166666666657</v>
      </c>
      <c r="G4" s="368">
        <f t="shared" si="0"/>
        <v>-55333.333333333328</v>
      </c>
      <c r="H4" s="368">
        <f t="shared" si="0"/>
        <v>-55333.333333333328</v>
      </c>
      <c r="I4" s="369">
        <f t="shared" si="0"/>
        <v>-47625</v>
      </c>
      <c r="J4" s="367">
        <f t="shared" si="0"/>
        <v>-53834.375</v>
      </c>
      <c r="K4" s="368">
        <f t="shared" si="0"/>
        <v>-52193.75</v>
      </c>
      <c r="L4" s="368">
        <f t="shared" si="0"/>
        <v>-57662.5</v>
      </c>
      <c r="M4" s="368">
        <f t="shared" si="0"/>
        <v>-57662.5</v>
      </c>
      <c r="N4" s="368">
        <f t="shared" si="0"/>
        <v>-57662.5</v>
      </c>
      <c r="O4" s="368">
        <f t="shared" si="0"/>
        <v>-57662.5</v>
      </c>
      <c r="P4" s="368">
        <f t="shared" si="0"/>
        <v>-71881.25</v>
      </c>
      <c r="Q4" s="368">
        <f t="shared" si="0"/>
        <v>-71881.25</v>
      </c>
      <c r="R4" s="368">
        <f t="shared" si="0"/>
        <v>-71881.25</v>
      </c>
      <c r="S4" s="368">
        <f t="shared" si="0"/>
        <v>-71881.25</v>
      </c>
      <c r="T4" s="368">
        <f t="shared" si="0"/>
        <v>-71881.25</v>
      </c>
      <c r="U4" s="369">
        <f t="shared" si="0"/>
        <v>-71881.25</v>
      </c>
      <c r="V4" s="367">
        <f t="shared" si="0"/>
        <v>-164037.125</v>
      </c>
      <c r="W4" s="368">
        <f t="shared" si="0"/>
        <v>-71881.25</v>
      </c>
      <c r="X4" s="368">
        <f t="shared" si="0"/>
        <v>-71881.25</v>
      </c>
      <c r="Y4" s="368">
        <f t="shared" si="0"/>
        <v>-71881.25</v>
      </c>
      <c r="Z4" s="368">
        <f t="shared" si="0"/>
        <v>-71881.25</v>
      </c>
      <c r="AA4" s="368">
        <f t="shared" si="0"/>
        <v>-71881.25</v>
      </c>
      <c r="AB4" s="368">
        <f t="shared" si="0"/>
        <v>-71881.25</v>
      </c>
      <c r="AC4" s="368">
        <f t="shared" si="0"/>
        <v>-71881.25</v>
      </c>
      <c r="AD4" s="368">
        <f t="shared" si="0"/>
        <v>-71881.25</v>
      </c>
      <c r="AE4" s="368">
        <f t="shared" si="0"/>
        <v>-71881.25</v>
      </c>
      <c r="AF4" s="368">
        <f t="shared" si="0"/>
        <v>-71881.25</v>
      </c>
      <c r="AG4" s="369">
        <f t="shared" si="0"/>
        <v>-71881.25</v>
      </c>
      <c r="AH4" s="367">
        <f t="shared" si="0"/>
        <v>-144337.54999999999</v>
      </c>
      <c r="AI4" s="368">
        <f t="shared" si="0"/>
        <v>-71881.25</v>
      </c>
      <c r="AJ4" s="368">
        <f t="shared" si="0"/>
        <v>-71881.25</v>
      </c>
      <c r="AK4" s="368">
        <f t="shared" si="0"/>
        <v>-71881.25</v>
      </c>
      <c r="AL4" s="368">
        <f t="shared" si="0"/>
        <v>-71881.25</v>
      </c>
      <c r="AM4" s="368">
        <f t="shared" si="0"/>
        <v>-71881.25</v>
      </c>
      <c r="AN4" s="368">
        <f t="shared" si="0"/>
        <v>-71881.25</v>
      </c>
      <c r="AO4" s="368">
        <f t="shared" si="0"/>
        <v>-71881.25</v>
      </c>
      <c r="AP4" s="368">
        <f t="shared" si="0"/>
        <v>-71881.25</v>
      </c>
      <c r="AQ4" s="368">
        <f t="shared" si="0"/>
        <v>-71881.25</v>
      </c>
      <c r="AR4" s="368">
        <f t="shared" si="0"/>
        <v>-71881.25</v>
      </c>
      <c r="AS4" s="369">
        <f t="shared" si="0"/>
        <v>-71881.25</v>
      </c>
      <c r="AT4" s="367">
        <f t="shared" si="0"/>
        <v>-147931.61249999999</v>
      </c>
      <c r="AU4" s="368">
        <f t="shared" si="0"/>
        <v>-75475.3125</v>
      </c>
      <c r="AV4" s="368">
        <f t="shared" si="0"/>
        <v>-75475.3125</v>
      </c>
      <c r="AW4" s="368">
        <f t="shared" si="0"/>
        <v>-75475.3125</v>
      </c>
      <c r="AX4" s="368">
        <f t="shared" si="0"/>
        <v>-75475.3125</v>
      </c>
      <c r="AY4" s="368">
        <f t="shared" si="0"/>
        <v>-75475.3125</v>
      </c>
      <c r="AZ4" s="368">
        <f t="shared" si="0"/>
        <v>-75475.3125</v>
      </c>
      <c r="BA4" s="368">
        <f t="shared" si="0"/>
        <v>-75475.3125</v>
      </c>
      <c r="BB4" s="368">
        <f t="shared" si="0"/>
        <v>-81217.5</v>
      </c>
      <c r="BC4" s="368">
        <f t="shared" si="0"/>
        <v>-86959.6875</v>
      </c>
      <c r="BD4" s="368">
        <f t="shared" si="0"/>
        <v>-92701.875</v>
      </c>
      <c r="BE4" s="369">
        <f t="shared" si="0"/>
        <v>-92701.875</v>
      </c>
      <c r="BF4" s="367">
        <f t="shared" si="0"/>
        <v>-177757.17750000002</v>
      </c>
      <c r="BG4" s="368">
        <f t="shared" si="0"/>
        <v>-135707.4140625</v>
      </c>
      <c r="BH4" s="368">
        <f t="shared" si="0"/>
        <v>-135707.4140625</v>
      </c>
      <c r="BI4" s="368">
        <f t="shared" si="0"/>
        <v>-160427.53125</v>
      </c>
      <c r="BJ4" s="368">
        <f t="shared" si="0"/>
        <v>-172486.125</v>
      </c>
      <c r="BK4" s="368">
        <f t="shared" si="0"/>
        <v>-180468.9140625</v>
      </c>
      <c r="BL4" s="368">
        <f t="shared" si="0"/>
        <v>-200968.5234375</v>
      </c>
      <c r="BM4" s="368">
        <f t="shared" si="0"/>
        <v>-217247.625</v>
      </c>
      <c r="BN4" s="368">
        <f t="shared" si="0"/>
        <v>-226894.5</v>
      </c>
      <c r="BO4" s="368">
        <f t="shared" si="0"/>
        <v>-226894.5</v>
      </c>
      <c r="BP4" s="368">
        <f t="shared" si="0"/>
        <v>-232923.796875</v>
      </c>
      <c r="BQ4" s="369">
        <f t="shared" si="0"/>
        <v>-244982.390625</v>
      </c>
      <c r="BR4" s="367">
        <f t="shared" si="0"/>
        <v>-449548.90903124999</v>
      </c>
      <c r="BS4" s="368">
        <f t="shared" si="0"/>
        <v>-279591.76054687501</v>
      </c>
      <c r="BT4" s="368">
        <f t="shared" si="0"/>
        <v>-297824.35429687501</v>
      </c>
      <c r="BU4" s="368">
        <f t="shared" si="0"/>
        <v>-297824.35429687501</v>
      </c>
      <c r="BV4" s="368">
        <f t="shared" si="0"/>
        <v>-297824.35429687501</v>
      </c>
      <c r="BW4" s="368">
        <f t="shared" si="0"/>
        <v>-320513.80429687502</v>
      </c>
      <c r="BX4" s="368">
        <f t="shared" si="0"/>
        <v>-330643.02304687502</v>
      </c>
      <c r="BY4" s="368">
        <f t="shared" si="0"/>
        <v>-354522.65625</v>
      </c>
      <c r="BZ4" s="368">
        <f t="shared" si="0"/>
        <v>-354522.65625</v>
      </c>
      <c r="CA4" s="368">
        <f t="shared" si="0"/>
        <v>-365057.04375000001</v>
      </c>
      <c r="CB4" s="368">
        <f t="shared" si="0"/>
        <v>-365057.04375000001</v>
      </c>
      <c r="CC4" s="369">
        <f t="shared" si="0"/>
        <v>-365057.04375000001</v>
      </c>
      <c r="CD4" s="366"/>
      <c r="CE4" s="366"/>
      <c r="CF4" s="366"/>
      <c r="CG4" s="366"/>
      <c r="CH4" s="366"/>
      <c r="CI4" s="366"/>
      <c r="CJ4" s="366"/>
      <c r="CK4" s="366"/>
      <c r="CL4" s="366"/>
      <c r="CM4" s="366"/>
      <c r="CN4" s="366"/>
      <c r="CO4" s="366"/>
      <c r="CP4" s="366"/>
      <c r="CQ4" s="366"/>
      <c r="CR4" s="366"/>
      <c r="CS4" s="366"/>
      <c r="CT4" s="366"/>
      <c r="CU4" s="366"/>
      <c r="CV4" s="366"/>
      <c r="CW4" s="366"/>
      <c r="CX4" s="366"/>
      <c r="CY4" s="366"/>
      <c r="CZ4" s="366"/>
      <c r="DA4" s="366"/>
      <c r="DB4" s="366"/>
      <c r="DC4" s="366"/>
      <c r="DD4" s="366"/>
      <c r="DE4" s="366"/>
      <c r="DF4" s="366"/>
      <c r="DG4" s="366"/>
      <c r="DH4" s="366"/>
    </row>
    <row r="5" spans="1:112" ht="15.75" customHeight="1">
      <c r="A5" s="11" t="s">
        <v>212</v>
      </c>
      <c r="B5" s="370"/>
      <c r="C5" s="371">
        <f>-'Annexe A  Plan RH'!Q91</f>
        <v>-49291.666666666657</v>
      </c>
      <c r="D5" s="372">
        <f>-'Annexe A  Plan RH'!R91</f>
        <v>-53041.666666666657</v>
      </c>
      <c r="E5" s="372">
        <f>-'Annexe A  Plan RH'!S91</f>
        <v>-51479.166666666657</v>
      </c>
      <c r="F5" s="372">
        <f>-'Annexe A  Plan RH'!T91</f>
        <v>-51479.166666666657</v>
      </c>
      <c r="G5" s="372">
        <f>-'Annexe A  Plan RH'!U91</f>
        <v>-55333.333333333328</v>
      </c>
      <c r="H5" s="372">
        <f>-'Annexe A  Plan RH'!V91</f>
        <v>-55333.333333333328</v>
      </c>
      <c r="I5" s="373">
        <f>-'Annexe A  Plan RH'!W91</f>
        <v>-47625</v>
      </c>
      <c r="J5" s="371">
        <f>-'Annexe A  Plan RH'!X91</f>
        <v>-53834.375</v>
      </c>
      <c r="K5" s="372">
        <f>-'Annexe A  Plan RH'!Y91</f>
        <v>-52193.75</v>
      </c>
      <c r="L5" s="372">
        <f>-'Annexe A  Plan RH'!Z91</f>
        <v>-57662.5</v>
      </c>
      <c r="M5" s="372">
        <f>-'Annexe A  Plan RH'!AA91</f>
        <v>-57662.5</v>
      </c>
      <c r="N5" s="372">
        <f>-'Annexe A  Plan RH'!AB91</f>
        <v>-57662.5</v>
      </c>
      <c r="O5" s="372">
        <f>-'Annexe A  Plan RH'!AC91</f>
        <v>-57662.5</v>
      </c>
      <c r="P5" s="372">
        <f>-'Annexe A  Plan RH'!AD91</f>
        <v>-71881.25</v>
      </c>
      <c r="Q5" s="372">
        <f>-'Annexe A  Plan RH'!AE91</f>
        <v>-71881.25</v>
      </c>
      <c r="R5" s="372">
        <f>-'Annexe A  Plan RH'!AF91</f>
        <v>-71881.25</v>
      </c>
      <c r="S5" s="372">
        <f>-'Annexe A  Plan RH'!AG91</f>
        <v>-71881.25</v>
      </c>
      <c r="T5" s="372">
        <f>-'Annexe A  Plan RH'!AH91</f>
        <v>-71881.25</v>
      </c>
      <c r="U5" s="373">
        <f>-'Annexe A  Plan RH'!AI91</f>
        <v>-71881.25</v>
      </c>
      <c r="V5" s="371">
        <f>-'Annexe A  Plan RH'!AJ91</f>
        <v>-71881.25</v>
      </c>
      <c r="W5" s="372">
        <f>-'Annexe A  Plan RH'!AK91</f>
        <v>-71881.25</v>
      </c>
      <c r="X5" s="372">
        <f>-'Annexe A  Plan RH'!AL91</f>
        <v>-71881.25</v>
      </c>
      <c r="Y5" s="372">
        <f>-'Annexe A  Plan RH'!AM91</f>
        <v>-71881.25</v>
      </c>
      <c r="Z5" s="372">
        <f>-'Annexe A  Plan RH'!AN91</f>
        <v>-71881.25</v>
      </c>
      <c r="AA5" s="372">
        <f>-'Annexe A  Plan RH'!AO91</f>
        <v>-71881.25</v>
      </c>
      <c r="AB5" s="372">
        <f>-'Annexe A  Plan RH'!AP91</f>
        <v>-71881.25</v>
      </c>
      <c r="AC5" s="372">
        <f>-'Annexe A  Plan RH'!AQ91</f>
        <v>-71881.25</v>
      </c>
      <c r="AD5" s="372">
        <f>-'Annexe A  Plan RH'!AR91</f>
        <v>-71881.25</v>
      </c>
      <c r="AE5" s="372">
        <f>-'Annexe A  Plan RH'!AS91</f>
        <v>-71881.25</v>
      </c>
      <c r="AF5" s="372">
        <f>-'Annexe A  Plan RH'!AT91</f>
        <v>-71881.25</v>
      </c>
      <c r="AG5" s="373">
        <f>-'Annexe A  Plan RH'!AU91</f>
        <v>-71881.25</v>
      </c>
      <c r="AH5" s="371">
        <f>-'Annexe A  Plan RH'!AV91</f>
        <v>-71881.25</v>
      </c>
      <c r="AI5" s="372">
        <f>-'Annexe A  Plan RH'!AW91</f>
        <v>-71881.25</v>
      </c>
      <c r="AJ5" s="372">
        <f>-'Annexe A  Plan RH'!AX91</f>
        <v>-71881.25</v>
      </c>
      <c r="AK5" s="372">
        <f>-'Annexe A  Plan RH'!AY91</f>
        <v>-71881.25</v>
      </c>
      <c r="AL5" s="372">
        <f>-'Annexe A  Plan RH'!AZ91</f>
        <v>-71881.25</v>
      </c>
      <c r="AM5" s="372">
        <f>-'Annexe A  Plan RH'!BA91</f>
        <v>-71881.25</v>
      </c>
      <c r="AN5" s="372">
        <f>-'Annexe A  Plan RH'!BB91</f>
        <v>-71881.25</v>
      </c>
      <c r="AO5" s="372">
        <f>-'Annexe A  Plan RH'!BC91</f>
        <v>-71881.25</v>
      </c>
      <c r="AP5" s="372">
        <f>-'Annexe A  Plan RH'!BD91</f>
        <v>-71881.25</v>
      </c>
      <c r="AQ5" s="372">
        <f>-'Annexe A  Plan RH'!BE91</f>
        <v>-71881.25</v>
      </c>
      <c r="AR5" s="372">
        <f>-'Annexe A  Plan RH'!BF91</f>
        <v>-71881.25</v>
      </c>
      <c r="AS5" s="373">
        <f>-'Annexe A  Plan RH'!BG91</f>
        <v>-71881.25</v>
      </c>
      <c r="AT5" s="371">
        <f>-'Annexe A  Plan RH'!BH91</f>
        <v>-75475.3125</v>
      </c>
      <c r="AU5" s="372">
        <f>-'Annexe A  Plan RH'!BI91</f>
        <v>-75475.3125</v>
      </c>
      <c r="AV5" s="372">
        <f>-'Annexe A  Plan RH'!BJ91</f>
        <v>-75475.3125</v>
      </c>
      <c r="AW5" s="372">
        <f>-'Annexe A  Plan RH'!BK91</f>
        <v>-75475.3125</v>
      </c>
      <c r="AX5" s="372">
        <f>-'Annexe A  Plan RH'!BL91</f>
        <v>-75475.3125</v>
      </c>
      <c r="AY5" s="372">
        <f>-'Annexe A  Plan RH'!BM91</f>
        <v>-75475.3125</v>
      </c>
      <c r="AZ5" s="372">
        <f>-'Annexe A  Plan RH'!BN91</f>
        <v>-75475.3125</v>
      </c>
      <c r="BA5" s="372">
        <f>-'Annexe A  Plan RH'!BO91</f>
        <v>-75475.3125</v>
      </c>
      <c r="BB5" s="372">
        <f>-'Annexe A  Plan RH'!BP91</f>
        <v>-81217.5</v>
      </c>
      <c r="BC5" s="372">
        <f>-'Annexe A  Plan RH'!BQ91</f>
        <v>-86959.6875</v>
      </c>
      <c r="BD5" s="372">
        <f>-'Annexe A  Plan RH'!BR91</f>
        <v>-92701.875</v>
      </c>
      <c r="BE5" s="373">
        <f>-'Annexe A  Plan RH'!BS91</f>
        <v>-92701.875</v>
      </c>
      <c r="BF5" s="371">
        <f>-'Annexe A  Plan RH'!BT91</f>
        <v>-97336.96875</v>
      </c>
      <c r="BG5" s="372">
        <f>-'Annexe A  Plan RH'!BU91</f>
        <v>-135707.4140625</v>
      </c>
      <c r="BH5" s="372">
        <f>-'Annexe A  Plan RH'!BV91</f>
        <v>-135707.4140625</v>
      </c>
      <c r="BI5" s="372">
        <f>-'Annexe A  Plan RH'!BW91</f>
        <v>-160427.53125</v>
      </c>
      <c r="BJ5" s="372">
        <f>-'Annexe A  Plan RH'!BX91</f>
        <v>-172486.125</v>
      </c>
      <c r="BK5" s="372">
        <f>-'Annexe A  Plan RH'!BY91</f>
        <v>-180468.9140625</v>
      </c>
      <c r="BL5" s="372">
        <f>-'Annexe A  Plan RH'!BZ91</f>
        <v>-200968.5234375</v>
      </c>
      <c r="BM5" s="372">
        <f>-'Annexe A  Plan RH'!CA91</f>
        <v>-217247.625</v>
      </c>
      <c r="BN5" s="372">
        <f>-'Annexe A  Plan RH'!CB91</f>
        <v>-226894.5</v>
      </c>
      <c r="BO5" s="372">
        <f>-'Annexe A  Plan RH'!CC91</f>
        <v>-226894.5</v>
      </c>
      <c r="BP5" s="372">
        <f>-'Annexe A  Plan RH'!CD91</f>
        <v>-232923.796875</v>
      </c>
      <c r="BQ5" s="373">
        <f>-'Annexe A  Plan RH'!CE91</f>
        <v>-244982.390625</v>
      </c>
      <c r="BR5" s="371">
        <f>-'Annexe A  Plan RH'!CF91</f>
        <v>-262498.70390625001</v>
      </c>
      <c r="BS5" s="372">
        <f>-'Annexe A  Plan RH'!CG91</f>
        <v>-279591.76054687501</v>
      </c>
      <c r="BT5" s="372">
        <f>-'Annexe A  Plan RH'!CH91</f>
        <v>-297824.35429687501</v>
      </c>
      <c r="BU5" s="372">
        <f>-'Annexe A  Plan RH'!CI91</f>
        <v>-297824.35429687501</v>
      </c>
      <c r="BV5" s="372">
        <f>-'Annexe A  Plan RH'!CJ91</f>
        <v>-297824.35429687501</v>
      </c>
      <c r="BW5" s="372">
        <f>-'Annexe A  Plan RH'!CK91</f>
        <v>-320513.80429687502</v>
      </c>
      <c r="BX5" s="372">
        <f>-'Annexe A  Plan RH'!CL91</f>
        <v>-330643.02304687502</v>
      </c>
      <c r="BY5" s="372">
        <f>-'Annexe A  Plan RH'!CM91</f>
        <v>-354522.65625</v>
      </c>
      <c r="BZ5" s="372">
        <f>-'Annexe A  Plan RH'!CN91</f>
        <v>-354522.65625</v>
      </c>
      <c r="CA5" s="372">
        <f>-'Annexe A  Plan RH'!CO91</f>
        <v>-365057.04375000001</v>
      </c>
      <c r="CB5" s="372">
        <f>-'Annexe A  Plan RH'!CP91</f>
        <v>-365057.04375000001</v>
      </c>
      <c r="CC5" s="373">
        <f>-'Annexe A  Plan RH'!CQ91</f>
        <v>-365057.04375000001</v>
      </c>
      <c r="CD5" s="374"/>
      <c r="CE5" s="374"/>
      <c r="CF5" s="374"/>
      <c r="CG5" s="374"/>
      <c r="CH5" s="374"/>
      <c r="CI5" s="374"/>
      <c r="CJ5" s="374"/>
      <c r="CK5" s="374"/>
      <c r="CL5" s="374"/>
      <c r="CM5" s="374"/>
      <c r="CN5" s="374"/>
      <c r="CO5" s="374"/>
      <c r="CP5" s="374"/>
      <c r="CQ5" s="374"/>
      <c r="CR5" s="374"/>
      <c r="CS5" s="374"/>
      <c r="CT5" s="374"/>
      <c r="CU5" s="374"/>
      <c r="CV5" s="374"/>
      <c r="CW5" s="374"/>
      <c r="CX5" s="374"/>
      <c r="CY5" s="374"/>
      <c r="CZ5" s="374"/>
      <c r="DA5" s="374"/>
      <c r="DB5" s="374"/>
      <c r="DC5" s="374"/>
      <c r="DD5" s="374"/>
      <c r="DE5" s="374"/>
      <c r="DF5" s="374"/>
      <c r="DG5" s="374"/>
      <c r="DH5" s="374"/>
    </row>
    <row r="6" spans="1:112" ht="15.75" customHeight="1">
      <c r="A6" s="11" t="s">
        <v>213</v>
      </c>
      <c r="C6" s="43"/>
      <c r="D6" s="120"/>
      <c r="E6" s="120"/>
      <c r="F6" s="120"/>
      <c r="G6" s="120"/>
      <c r="H6" s="120"/>
      <c r="I6" s="121"/>
      <c r="J6" s="375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1"/>
      <c r="V6" s="375">
        <f t="array" ref="V6">-SUM(MMULT(TRANSPOSE('Annexe A  Plan RH'!X4:AI85),'Annexe A  Plan RH'!$P4:$P85))</f>
        <v>-92155.875</v>
      </c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1"/>
      <c r="AH6" s="375">
        <f t="array" ref="AH6">-SUM(MMULT(TRANSPOSE('Annexe A  Plan RH'!AJ4:AU85),'Annexe A  Plan RH'!$P4:$P85))*70%</f>
        <v>-72456.299999999988</v>
      </c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1"/>
      <c r="AT6" s="375">
        <f t="array" ref="AT6">-SUM(MMULT(TRANSPOSE('Annexe A  Plan RH'!AV4:BG85),'Annexe A  Plan RH'!$P4:$P85))*70%</f>
        <v>-72456.299999999988</v>
      </c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1"/>
      <c r="BF6" s="375">
        <f t="array" ref="BF6">-SUM(MMULT(TRANSPOSE('Annexe A  Plan RH'!BH4:BS85),'Annexe A  Plan RH'!$P4:$P85))*70%</f>
        <v>-80420.20875000002</v>
      </c>
      <c r="BG6" s="120"/>
      <c r="BH6" s="120"/>
      <c r="BI6" s="120"/>
      <c r="BJ6" s="120"/>
      <c r="BK6" s="120"/>
      <c r="BL6" s="120"/>
      <c r="BM6" s="120"/>
      <c r="BN6" s="120"/>
      <c r="BO6" s="120"/>
      <c r="BP6" s="120"/>
      <c r="BQ6" s="121"/>
      <c r="BR6" s="375">
        <f t="array" ref="BR6">-SUM(MMULT(TRANSPOSE('Annexe A  Plan RH'!BT4:CE85),'Annexe A  Plan RH'!$P4:$P85))*70%</f>
        <v>-187050.20512499998</v>
      </c>
      <c r="BS6" s="120"/>
      <c r="BT6" s="120"/>
      <c r="BU6" s="120"/>
      <c r="BV6" s="120"/>
      <c r="BW6" s="120"/>
      <c r="BX6" s="120"/>
      <c r="BY6" s="120"/>
      <c r="BZ6" s="120"/>
      <c r="CA6" s="120"/>
      <c r="CB6" s="120"/>
      <c r="CC6" s="121"/>
    </row>
    <row r="7" spans="1:112" ht="15.75" customHeight="1">
      <c r="A7" s="11" t="s">
        <v>214</v>
      </c>
      <c r="C7" s="130">
        <f>Hypothèses!$B$93*(C9*(1+20%)*Hypothèses!$B$91/12)</f>
        <v>-625</v>
      </c>
      <c r="D7" s="130">
        <f>Hypothèses!$B$93*(D9*(1+20%)*Hypothèses!$B$91/12)</f>
        <v>-625</v>
      </c>
      <c r="E7" s="130">
        <f>Hypothèses!$B$93*(E9*(1+20%)*Hypothèses!$B$91/12)</f>
        <v>-625</v>
      </c>
      <c r="F7" s="130">
        <f>Hypothèses!$B$93*(F9*(1+20%)*Hypothèses!$B$91/12)</f>
        <v>-625</v>
      </c>
      <c r="G7" s="130">
        <f>Hypothèses!$B$93*(G9*(1+20%)*Hypothèses!$B$91/12)</f>
        <v>-625</v>
      </c>
      <c r="H7" s="130">
        <f>Hypothèses!$B$93*(H9*(1+20%)*Hypothèses!$B$91/12)</f>
        <v>-625</v>
      </c>
      <c r="I7" s="130">
        <f>Hypothèses!$B$93*(I9*(1+20%)*Hypothèses!$B$91/12)</f>
        <v>-625</v>
      </c>
      <c r="J7" s="130">
        <f>Hypothèses!$B$93*(J9*(1+20%)*Hypothèses!$B$91/12)</f>
        <v>-656.25</v>
      </c>
      <c r="K7" s="130">
        <f>Hypothèses!$B$93*(K9*(1+20%)*Hypothèses!$B$91/12)</f>
        <v>-577.5</v>
      </c>
      <c r="L7" s="130">
        <f>Hypothèses!$B$93*(L9*(1+20%)*Hypothèses!$B$91/12)</f>
        <v>-840</v>
      </c>
      <c r="M7" s="130">
        <f>Hypothèses!$B$93*(M9*(1+20%)*Hypothèses!$B$91/12)</f>
        <v>-840</v>
      </c>
      <c r="N7" s="130">
        <f>Hypothèses!$B$93*(N9*(1+20%)*Hypothèses!$B$91/12)</f>
        <v>-840</v>
      </c>
      <c r="O7" s="130">
        <f>Hypothèses!$B$93*(O9*(1+20%)*Hypothèses!$B$91/12)</f>
        <v>-840</v>
      </c>
      <c r="P7" s="130">
        <f>Hypothèses!$B$93*(P9*(1+20%)*Hypothèses!$B$91/12)</f>
        <v>-840</v>
      </c>
      <c r="Q7" s="130">
        <f>Hypothèses!$B$93*(Q9*(1+20%)*Hypothèses!$B$91/12)</f>
        <v>-840</v>
      </c>
      <c r="R7" s="130">
        <f>Hypothèses!$B$93*(R9*(1+20%)*Hypothèses!$B$91/12)</f>
        <v>-840</v>
      </c>
      <c r="S7" s="130">
        <f>Hypothèses!$B$93*(S9*(1+20%)*Hypothèses!$B$91/12)</f>
        <v>-840</v>
      </c>
      <c r="T7" s="130">
        <f>Hypothèses!$B$93*(T9*(1+20%)*Hypothèses!$B$91/12)</f>
        <v>-840</v>
      </c>
      <c r="U7" s="130">
        <f>Hypothèses!$B$93*(U9*(1+20%)*Hypothèses!$B$91/12)</f>
        <v>-840</v>
      </c>
      <c r="V7" s="130">
        <f>Hypothèses!$B$93*(V9*(1+20%)*Hypothèses!$B$91/12)</f>
        <v>-840</v>
      </c>
      <c r="W7" s="130">
        <f>Hypothèses!$B$93*(W9*(1+20%)*Hypothèses!$B$91/12)</f>
        <v>-840</v>
      </c>
      <c r="X7" s="130">
        <f>Hypothèses!$B$93*(X9*(1+20%)*Hypothèses!$B$91/12)</f>
        <v>-840</v>
      </c>
      <c r="Y7" s="130">
        <f>Hypothèses!$B$93*(Y9*(1+20%)*Hypothèses!$B$91/12)</f>
        <v>-840</v>
      </c>
      <c r="Z7" s="130">
        <f>Hypothèses!$B$93*(Z9*(1+20%)*Hypothèses!$B$91/12)</f>
        <v>-840</v>
      </c>
      <c r="AA7" s="130">
        <f>Hypothèses!$B$93*(AA9*(1+20%)*Hypothèses!$B$91/12)</f>
        <v>-840</v>
      </c>
      <c r="AB7" s="130">
        <f>Hypothèses!$B$93*(AB9*(1+20%)*Hypothèses!$B$91/12)</f>
        <v>-840</v>
      </c>
      <c r="AC7" s="130">
        <f>Hypothèses!$B$93*(AC9*(1+20%)*Hypothèses!$B$91/12)</f>
        <v>-840</v>
      </c>
      <c r="AD7" s="130">
        <f>Hypothèses!$B$93*(AD9*(1+20%)*Hypothèses!$B$91/12)</f>
        <v>-840</v>
      </c>
      <c r="AE7" s="130">
        <f>Hypothèses!$B$93*(AE9*(1+20%)*Hypothèses!$B$91/12)</f>
        <v>-840</v>
      </c>
      <c r="AF7" s="130">
        <f>Hypothèses!$B$93*(AF9*(1+20%)*Hypothèses!$B$91/12)</f>
        <v>-840</v>
      </c>
      <c r="AG7" s="130">
        <f>Hypothèses!$B$93*(AG9*(1+20%)*Hypothèses!$B$91/12)</f>
        <v>-840</v>
      </c>
      <c r="AH7" s="130">
        <f>Hypothèses!$B$93*(AH9*(1+20%)*Hypothèses!$B$91/12)</f>
        <v>-840</v>
      </c>
      <c r="AI7" s="130">
        <f>Hypothèses!$B$93*(AI9*(1+20%)*Hypothèses!$B$91/12)</f>
        <v>-840</v>
      </c>
      <c r="AJ7" s="130">
        <f>Hypothèses!$B$93*(AJ9*(1+20%)*Hypothèses!$B$91/12)</f>
        <v>-840</v>
      </c>
      <c r="AK7" s="130">
        <f>Hypothèses!$B$93*(AK9*(1+20%)*Hypothèses!$B$91/12)</f>
        <v>-840</v>
      </c>
      <c r="AL7" s="130">
        <f>Hypothèses!$B$93*(AL9*(1+20%)*Hypothèses!$B$91/12)</f>
        <v>-840</v>
      </c>
      <c r="AM7" s="130">
        <f>Hypothèses!$B$93*(AM9*(1+20%)*Hypothèses!$B$91/12)</f>
        <v>-840</v>
      </c>
      <c r="AN7" s="130">
        <f>Hypothèses!$B$93*(AN9*(1+20%)*Hypothèses!$B$91/12)</f>
        <v>-840</v>
      </c>
      <c r="AO7" s="130">
        <f>Hypothèses!$B$93*(AO9*(1+20%)*Hypothèses!$B$91/12)</f>
        <v>-840</v>
      </c>
      <c r="AP7" s="130">
        <f>Hypothèses!$B$93*(AP9*(1+20%)*Hypothèses!$B$91/12)</f>
        <v>-840</v>
      </c>
      <c r="AQ7" s="130">
        <f>Hypothèses!$B$93*(AQ9*(1+20%)*Hypothèses!$B$91/12)</f>
        <v>-840</v>
      </c>
      <c r="AR7" s="130">
        <f>Hypothèses!$B$93*(AR9*(1+20%)*Hypothèses!$B$91/12)</f>
        <v>-840</v>
      </c>
      <c r="AS7" s="130">
        <f>Hypothèses!$B$93*(AS9*(1+20%)*Hypothèses!$B$91/12)</f>
        <v>-840</v>
      </c>
      <c r="AT7" s="130">
        <f>Hypothèses!$B$93*(AT9*(1+20%)*Hypothèses!$B$91/12)</f>
        <v>-882</v>
      </c>
      <c r="AU7" s="130">
        <f>Hypothèses!$B$93*(AU9*(1+20%)*Hypothèses!$B$91/12)</f>
        <v>-882</v>
      </c>
      <c r="AV7" s="130">
        <f>Hypothèses!$B$93*(AV9*(1+20%)*Hypothèses!$B$91/12)</f>
        <v>-882</v>
      </c>
      <c r="AW7" s="130">
        <f>Hypothèses!$B$93*(AW9*(1+20%)*Hypothèses!$B$91/12)</f>
        <v>-882</v>
      </c>
      <c r="AX7" s="130">
        <f>Hypothèses!$B$93*(AX9*(1+20%)*Hypothèses!$B$91/12)</f>
        <v>-882</v>
      </c>
      <c r="AY7" s="130">
        <f>Hypothèses!$B$93*(AY9*(1+20%)*Hypothèses!$B$91/12)</f>
        <v>-882</v>
      </c>
      <c r="AZ7" s="130">
        <f>Hypothèses!$B$93*(AZ9*(1+20%)*Hypothèses!$B$91/12)</f>
        <v>-882</v>
      </c>
      <c r="BA7" s="130">
        <f>Hypothèses!$B$93*(BA9*(1+20%)*Hypothèses!$B$91/12)</f>
        <v>-882</v>
      </c>
      <c r="BB7" s="130">
        <f>Hypothèses!$B$93*(BB9*(1+20%)*Hypothèses!$B$91/12)</f>
        <v>-882</v>
      </c>
      <c r="BC7" s="130">
        <f>Hypothèses!$B$93*(BC9*(1+20%)*Hypothèses!$B$91/12)</f>
        <v>-882</v>
      </c>
      <c r="BD7" s="130">
        <f>Hypothèses!$B$93*(BD9*(1+20%)*Hypothèses!$B$91/12)</f>
        <v>-882</v>
      </c>
      <c r="BE7" s="130">
        <f>Hypothèses!$B$93*(BE9*(1+20%)*Hypothèses!$B$91/12)</f>
        <v>-882</v>
      </c>
      <c r="BF7" s="130">
        <f>Hypothèses!$B$93*(BF9*(1+20%)*Hypothèses!$B$91/12)</f>
        <v>-926.1</v>
      </c>
      <c r="BG7" s="130">
        <f>Hypothèses!$B$93*(BG9*(1+20%)*Hypothèses!$B$91/12)</f>
        <v>-1967.9625000000001</v>
      </c>
      <c r="BH7" s="130">
        <f>Hypothèses!$B$93*(BH9*(1+20%)*Hypothèses!$B$91/12)</f>
        <v>-1967.9625000000001</v>
      </c>
      <c r="BI7" s="130">
        <f>Hypothèses!$B$93*(BI9*(1+20%)*Hypothèses!$B$91/12)</f>
        <v>-2546.7750000000001</v>
      </c>
      <c r="BJ7" s="130">
        <f>Hypothèses!$B$93*(BJ9*(1+20%)*Hypothèses!$B$91/12)</f>
        <v>-3125.5875000000001</v>
      </c>
      <c r="BK7" s="130">
        <f>Hypothèses!$B$93*(BK9*(1+20%)*Hypothèses!$B$91/12)</f>
        <v>-3125.5875000000001</v>
      </c>
      <c r="BL7" s="130">
        <f>Hypothèses!$B$93*(BL9*(1+20%)*Hypothèses!$B$91/12)</f>
        <v>-3704.4</v>
      </c>
      <c r="BM7" s="130">
        <f>Hypothèses!$B$93*(BM9*(1+20%)*Hypothèses!$B$91/12)</f>
        <v>-3704.4</v>
      </c>
      <c r="BN7" s="130">
        <f>Hypothèses!$B$93*(BN9*(1+20%)*Hypothèses!$B$91/12)</f>
        <v>-3704.4</v>
      </c>
      <c r="BO7" s="130">
        <f>Hypothèses!$B$93*(BO9*(1+20%)*Hypothèses!$B$91/12)</f>
        <v>-3704.4</v>
      </c>
      <c r="BP7" s="130">
        <f>Hypothèses!$B$93*(BP9*(1+20%)*Hypothèses!$B$91/12)</f>
        <v>-3704.4</v>
      </c>
      <c r="BQ7" s="130">
        <f>Hypothèses!$B$93*(BQ9*(1+20%)*Hypothèses!$B$91/12)</f>
        <v>-3704.4</v>
      </c>
      <c r="BR7" s="130">
        <f>Hypothèses!$B$93*(BR9*(1+20%)*Hypothèses!$B$91/12)</f>
        <v>-4132.7212500000005</v>
      </c>
      <c r="BS7" s="130">
        <f>Hypothèses!$B$93*(BS9*(1+20%)*Hypothèses!$B$91/12)</f>
        <v>-4132.7212500000005</v>
      </c>
      <c r="BT7" s="130">
        <f>Hypothèses!$B$93*(BT9*(1+20%)*Hypothèses!$B$91/12)</f>
        <v>-5044.3509375000003</v>
      </c>
      <c r="BU7" s="130">
        <f>Hypothèses!$B$93*(BU9*(1+20%)*Hypothèses!$B$91/12)</f>
        <v>-5044.3509375000003</v>
      </c>
      <c r="BV7" s="130">
        <f>Hypothèses!$B$93*(BV9*(1+20%)*Hypothèses!$B$91/12)</f>
        <v>-5044.3509375000003</v>
      </c>
      <c r="BW7" s="130">
        <f>Hypothèses!$B$93*(BW9*(1+20%)*Hypothèses!$B$91/12)</f>
        <v>-6138.3065624999999</v>
      </c>
      <c r="BX7" s="130">
        <f>Hypothèses!$B$93*(BX9*(1+20%)*Hypothèses!$B$91/12)</f>
        <v>-6138.3065624999999</v>
      </c>
      <c r="BY7" s="130">
        <f>Hypothèses!$B$93*(BY9*(1+20%)*Hypothèses!$B$91/12)</f>
        <v>-6351.0201562500006</v>
      </c>
      <c r="BZ7" s="130">
        <f>Hypothèses!$B$93*(BZ9*(1+20%)*Hypothèses!$B$91/12)</f>
        <v>-6351.0201562500006</v>
      </c>
      <c r="CA7" s="130">
        <f>Hypothèses!$B$93*(CA9*(1+20%)*Hypothèses!$B$91/12)</f>
        <v>-6837.22265625</v>
      </c>
      <c r="CB7" s="130">
        <f>Hypothèses!$B$93*(CB9*(1+20%)*Hypothèses!$B$91/12)</f>
        <v>-6837.22265625</v>
      </c>
      <c r="CC7" s="130">
        <f>Hypothèses!$B$93*(CC9*(1+20%)*Hypothèses!$B$91/12)</f>
        <v>-6837.22265625</v>
      </c>
    </row>
    <row r="8" spans="1:112" ht="15.75" customHeight="1">
      <c r="A8" s="11"/>
    </row>
    <row r="9" spans="1:112" ht="15.75" customHeight="1" outlineLevel="1">
      <c r="A9" s="11" t="s">
        <v>215</v>
      </c>
      <c r="C9" s="130">
        <f>-SUMIF('Annexe A  Plan RH'!$A$4:$A$85,"Sales",'Annexe A  Plan RH'!Q4:Q85)</f>
        <v>-10416.666666666666</v>
      </c>
      <c r="D9" s="130">
        <f>-SUMIF('Annexe A  Plan RH'!$A$4:$A$85,"Sales",'Annexe A  Plan RH'!R4:R85)</f>
        <v>-10416.666666666666</v>
      </c>
      <c r="E9" s="130">
        <f>-SUMIF('Annexe A  Plan RH'!$A$4:$A$85,"Sales",'Annexe A  Plan RH'!S4:S85)</f>
        <v>-10416.666666666666</v>
      </c>
      <c r="F9" s="130">
        <f>-SUMIF('Annexe A  Plan RH'!$A$4:$A$85,"Sales",'Annexe A  Plan RH'!T4:T85)</f>
        <v>-10416.666666666666</v>
      </c>
      <c r="G9" s="130">
        <f>-SUMIF('Annexe A  Plan RH'!$A$4:$A$85,"Sales",'Annexe A  Plan RH'!U4:U85)</f>
        <v>-10416.666666666666</v>
      </c>
      <c r="H9" s="130">
        <f>-SUMIF('Annexe A  Plan RH'!$A$4:$A$85,"Sales",'Annexe A  Plan RH'!V4:V85)</f>
        <v>-10416.666666666666</v>
      </c>
      <c r="I9" s="130">
        <f>-SUMIF('Annexe A  Plan RH'!$A$4:$A$85,"Sales",'Annexe A  Plan RH'!W4:W85)</f>
        <v>-10416.666666666666</v>
      </c>
      <c r="J9" s="130">
        <f>-SUMIF('Annexe A  Plan RH'!$A$4:$A$85,"Sales",'Annexe A  Plan RH'!X4:X85)</f>
        <v>-10937.5</v>
      </c>
      <c r="K9" s="130">
        <f>-SUMIF('Annexe A  Plan RH'!$A$4:$A$85,"Sales",'Annexe A  Plan RH'!Y4:Y85)</f>
        <v>-9625</v>
      </c>
      <c r="L9" s="130">
        <f>-SUMIF('Annexe A  Plan RH'!$A$4:$A$85,"Sales",'Annexe A  Plan RH'!Z4:Z85)</f>
        <v>-14000</v>
      </c>
      <c r="M9" s="130">
        <f>-SUMIF('Annexe A  Plan RH'!$A$4:$A$85,"Sales",'Annexe A  Plan RH'!AA4:AA85)</f>
        <v>-14000</v>
      </c>
      <c r="N9" s="130">
        <f>-SUMIF('Annexe A  Plan RH'!$A$4:$A$85,"Sales",'Annexe A  Plan RH'!AB4:AB85)</f>
        <v>-14000</v>
      </c>
      <c r="O9" s="130">
        <f>-SUMIF('Annexe A  Plan RH'!$A$4:$A$85,"Sales",'Annexe A  Plan RH'!AC4:AC85)</f>
        <v>-14000</v>
      </c>
      <c r="P9" s="130">
        <f>-SUMIF('Annexe A  Plan RH'!$A$4:$A$85,"Sales",'Annexe A  Plan RH'!AD4:AD85)</f>
        <v>-14000</v>
      </c>
      <c r="Q9" s="130">
        <f>-SUMIF('Annexe A  Plan RH'!$A$4:$A$85,"Sales",'Annexe A  Plan RH'!AE4:AE85)</f>
        <v>-14000</v>
      </c>
      <c r="R9" s="130">
        <f>-SUMIF('Annexe A  Plan RH'!$A$4:$A$85,"Sales",'Annexe A  Plan RH'!AF4:AF85)</f>
        <v>-14000</v>
      </c>
      <c r="S9" s="130">
        <f>-SUMIF('Annexe A  Plan RH'!$A$4:$A$85,"Sales",'Annexe A  Plan RH'!AG4:AG85)</f>
        <v>-14000</v>
      </c>
      <c r="T9" s="130">
        <f>-SUMIF('Annexe A  Plan RH'!$A$4:$A$85,"Sales",'Annexe A  Plan RH'!AH4:AH85)</f>
        <v>-14000</v>
      </c>
      <c r="U9" s="130">
        <f>-SUMIF('Annexe A  Plan RH'!$A$4:$A$85,"Sales",'Annexe A  Plan RH'!AI4:AI85)</f>
        <v>-14000</v>
      </c>
      <c r="V9" s="130">
        <f>-SUMIF('Annexe A  Plan RH'!$A$4:$A$85,"Sales",'Annexe A  Plan RH'!AJ4:AJ85)</f>
        <v>-14000</v>
      </c>
      <c r="W9" s="130">
        <f>-SUMIF('Annexe A  Plan RH'!$A$4:$A$85,"Sales",'Annexe A  Plan RH'!AK4:AK85)</f>
        <v>-14000</v>
      </c>
      <c r="X9" s="130">
        <f>-SUMIF('Annexe A  Plan RH'!$A$4:$A$85,"Sales",'Annexe A  Plan RH'!AL4:AL85)</f>
        <v>-14000</v>
      </c>
      <c r="Y9" s="130">
        <f>-SUMIF('Annexe A  Plan RH'!$A$4:$A$85,"Sales",'Annexe A  Plan RH'!AM4:AM85)</f>
        <v>-14000</v>
      </c>
      <c r="Z9" s="130">
        <f>-SUMIF('Annexe A  Plan RH'!$A$4:$A$85,"Sales",'Annexe A  Plan RH'!AN4:AN85)</f>
        <v>-14000</v>
      </c>
      <c r="AA9" s="130">
        <f>-SUMIF('Annexe A  Plan RH'!$A$4:$A$85,"Sales",'Annexe A  Plan RH'!AO4:AO85)</f>
        <v>-14000</v>
      </c>
      <c r="AB9" s="130">
        <f>-SUMIF('Annexe A  Plan RH'!$A$4:$A$85,"Sales",'Annexe A  Plan RH'!AP4:AP85)</f>
        <v>-14000</v>
      </c>
      <c r="AC9" s="130">
        <f>-SUMIF('Annexe A  Plan RH'!$A$4:$A$85,"Sales",'Annexe A  Plan RH'!AQ4:AQ85)</f>
        <v>-14000</v>
      </c>
      <c r="AD9" s="130">
        <f>-SUMIF('Annexe A  Plan RH'!$A$4:$A$85,"Sales",'Annexe A  Plan RH'!AR4:AR85)</f>
        <v>-14000</v>
      </c>
      <c r="AE9" s="130">
        <f>-SUMIF('Annexe A  Plan RH'!$A$4:$A$85,"Sales",'Annexe A  Plan RH'!AS4:AS85)</f>
        <v>-14000</v>
      </c>
      <c r="AF9" s="130">
        <f>-SUMIF('Annexe A  Plan RH'!$A$4:$A$85,"Sales",'Annexe A  Plan RH'!AT4:AT85)</f>
        <v>-14000</v>
      </c>
      <c r="AG9" s="130">
        <f>-SUMIF('Annexe A  Plan RH'!$A$4:$A$85,"Sales",'Annexe A  Plan RH'!AU4:AU85)</f>
        <v>-14000</v>
      </c>
      <c r="AH9" s="130">
        <f>-SUMIF('Annexe A  Plan RH'!$A$4:$A$85,"Sales",'Annexe A  Plan RH'!AV4:AV85)</f>
        <v>-14000</v>
      </c>
      <c r="AI9" s="130">
        <f>-SUMIF('Annexe A  Plan RH'!$A$4:$A$85,"Sales",'Annexe A  Plan RH'!AW4:AW85)</f>
        <v>-14000</v>
      </c>
      <c r="AJ9" s="130">
        <f>-SUMIF('Annexe A  Plan RH'!$A$4:$A$85,"Sales",'Annexe A  Plan RH'!AX4:AX85)</f>
        <v>-14000</v>
      </c>
      <c r="AK9" s="130">
        <f>-SUMIF('Annexe A  Plan RH'!$A$4:$A$85,"Sales",'Annexe A  Plan RH'!AY4:AY85)</f>
        <v>-14000</v>
      </c>
      <c r="AL9" s="130">
        <f>-SUMIF('Annexe A  Plan RH'!$A$4:$A$85,"Sales",'Annexe A  Plan RH'!AZ4:AZ85)</f>
        <v>-14000</v>
      </c>
      <c r="AM9" s="130">
        <f>-SUMIF('Annexe A  Plan RH'!$A$4:$A$85,"Sales",'Annexe A  Plan RH'!BA4:BA85)</f>
        <v>-14000</v>
      </c>
      <c r="AN9" s="130">
        <f>-SUMIF('Annexe A  Plan RH'!$A$4:$A$85,"Sales",'Annexe A  Plan RH'!BB4:BB85)</f>
        <v>-14000</v>
      </c>
      <c r="AO9" s="130">
        <f>-SUMIF('Annexe A  Plan RH'!$A$4:$A$85,"Sales",'Annexe A  Plan RH'!BC4:BC85)</f>
        <v>-14000</v>
      </c>
      <c r="AP9" s="130">
        <f>-SUMIF('Annexe A  Plan RH'!$A$4:$A$85,"Sales",'Annexe A  Plan RH'!BD4:BD85)</f>
        <v>-14000</v>
      </c>
      <c r="AQ9" s="130">
        <f>-SUMIF('Annexe A  Plan RH'!$A$4:$A$85,"Sales",'Annexe A  Plan RH'!BE4:BE85)</f>
        <v>-14000</v>
      </c>
      <c r="AR9" s="130">
        <f>-SUMIF('Annexe A  Plan RH'!$A$4:$A$85,"Sales",'Annexe A  Plan RH'!BF4:BF85)</f>
        <v>-14000</v>
      </c>
      <c r="AS9" s="130">
        <f>-SUMIF('Annexe A  Plan RH'!$A$4:$A$85,"Sales",'Annexe A  Plan RH'!BG4:BG85)</f>
        <v>-14000</v>
      </c>
      <c r="AT9" s="130">
        <f>-SUMIF('Annexe A  Plan RH'!$A$4:$A$85,"Sales",'Annexe A  Plan RH'!BH4:BH85)</f>
        <v>-14700</v>
      </c>
      <c r="AU9" s="130">
        <f>-SUMIF('Annexe A  Plan RH'!$A$4:$A$85,"Sales",'Annexe A  Plan RH'!BI4:BI85)</f>
        <v>-14700</v>
      </c>
      <c r="AV9" s="130">
        <f>-SUMIF('Annexe A  Plan RH'!$A$4:$A$85,"Sales",'Annexe A  Plan RH'!BJ4:BJ85)</f>
        <v>-14700</v>
      </c>
      <c r="AW9" s="130">
        <f>-SUMIF('Annexe A  Plan RH'!$A$4:$A$85,"Sales",'Annexe A  Plan RH'!BK4:BK85)</f>
        <v>-14700</v>
      </c>
      <c r="AX9" s="130">
        <f>-SUMIF('Annexe A  Plan RH'!$A$4:$A$85,"Sales",'Annexe A  Plan RH'!BL4:BL85)</f>
        <v>-14700</v>
      </c>
      <c r="AY9" s="130">
        <f>-SUMIF('Annexe A  Plan RH'!$A$4:$A$85,"Sales",'Annexe A  Plan RH'!BM4:BM85)</f>
        <v>-14700</v>
      </c>
      <c r="AZ9" s="130">
        <f>-SUMIF('Annexe A  Plan RH'!$A$4:$A$85,"Sales",'Annexe A  Plan RH'!BN4:BN85)</f>
        <v>-14700</v>
      </c>
      <c r="BA9" s="130">
        <f>-SUMIF('Annexe A  Plan RH'!$A$4:$A$85,"Sales",'Annexe A  Plan RH'!BO4:BO85)</f>
        <v>-14700</v>
      </c>
      <c r="BB9" s="130">
        <f>-SUMIF('Annexe A  Plan RH'!$A$4:$A$85,"Sales",'Annexe A  Plan RH'!BP4:BP85)</f>
        <v>-14700</v>
      </c>
      <c r="BC9" s="130">
        <f>-SUMIF('Annexe A  Plan RH'!$A$4:$A$85,"Sales",'Annexe A  Plan RH'!BQ4:BQ85)</f>
        <v>-14700</v>
      </c>
      <c r="BD9" s="130">
        <f>-SUMIF('Annexe A  Plan RH'!$A$4:$A$85,"Sales",'Annexe A  Plan RH'!BR4:BR85)</f>
        <v>-14700</v>
      </c>
      <c r="BE9" s="130">
        <f>-SUMIF('Annexe A  Plan RH'!$A$4:$A$85,"Sales",'Annexe A  Plan RH'!BS4:BS85)</f>
        <v>-14700</v>
      </c>
      <c r="BF9" s="130">
        <f>-SUMIF('Annexe A  Plan RH'!$A$4:$A$85,"Sales",'Annexe A  Plan RH'!BT4:BT85)</f>
        <v>-15435</v>
      </c>
      <c r="BG9" s="130">
        <f>-SUMIF('Annexe A  Plan RH'!$A$4:$A$85,"Sales",'Annexe A  Plan RH'!BU4:BU85)</f>
        <v>-32799.375</v>
      </c>
      <c r="BH9" s="130">
        <f>-SUMIF('Annexe A  Plan RH'!$A$4:$A$85,"Sales",'Annexe A  Plan RH'!BV4:BV85)</f>
        <v>-32799.375</v>
      </c>
      <c r="BI9" s="130">
        <f>-SUMIF('Annexe A  Plan RH'!$A$4:$A$85,"Sales",'Annexe A  Plan RH'!BW4:BW85)</f>
        <v>-42446.25</v>
      </c>
      <c r="BJ9" s="130">
        <f>-SUMIF('Annexe A  Plan RH'!$A$4:$A$85,"Sales",'Annexe A  Plan RH'!BX4:BX85)</f>
        <v>-52093.125</v>
      </c>
      <c r="BK9" s="130">
        <f>-SUMIF('Annexe A  Plan RH'!$A$4:$A$85,"Sales",'Annexe A  Plan RH'!BY4:BY85)</f>
        <v>-52093.125</v>
      </c>
      <c r="BL9" s="130">
        <f>-SUMIF('Annexe A  Plan RH'!$A$4:$A$85,"Sales",'Annexe A  Plan RH'!BZ4:BZ85)</f>
        <v>-61740</v>
      </c>
      <c r="BM9" s="130">
        <f>-SUMIF('Annexe A  Plan RH'!$A$4:$A$85,"Sales",'Annexe A  Plan RH'!CA4:CA85)</f>
        <v>-61740</v>
      </c>
      <c r="BN9" s="130">
        <f>-SUMIF('Annexe A  Plan RH'!$A$4:$A$85,"Sales",'Annexe A  Plan RH'!CB4:CB85)</f>
        <v>-61740</v>
      </c>
      <c r="BO9" s="130">
        <f>-SUMIF('Annexe A  Plan RH'!$A$4:$A$85,"Sales",'Annexe A  Plan RH'!CC4:CC85)</f>
        <v>-61740</v>
      </c>
      <c r="BP9" s="130">
        <f>-SUMIF('Annexe A  Plan RH'!$A$4:$A$85,"Sales",'Annexe A  Plan RH'!CD4:CD85)</f>
        <v>-61740</v>
      </c>
      <c r="BQ9" s="130">
        <f>-SUMIF('Annexe A  Plan RH'!$A$4:$A$85,"Sales",'Annexe A  Plan RH'!CE4:CE85)</f>
        <v>-61740</v>
      </c>
      <c r="BR9" s="130">
        <f>-SUMIF('Annexe A  Plan RH'!$A$4:$A$85,"Sales",'Annexe A  Plan RH'!CF4:CF85)</f>
        <v>-68878.6875</v>
      </c>
      <c r="BS9" s="130">
        <f>-SUMIF('Annexe A  Plan RH'!$A$4:$A$85,"Sales",'Annexe A  Plan RH'!CG4:CG85)</f>
        <v>-68878.6875</v>
      </c>
      <c r="BT9" s="130">
        <f>-SUMIF('Annexe A  Plan RH'!$A$4:$A$85,"Sales",'Annexe A  Plan RH'!CH4:CH85)</f>
        <v>-84072.515625</v>
      </c>
      <c r="BU9" s="130">
        <f>-SUMIF('Annexe A  Plan RH'!$A$4:$A$85,"Sales",'Annexe A  Plan RH'!CI4:CI85)</f>
        <v>-84072.515625</v>
      </c>
      <c r="BV9" s="130">
        <f>-SUMIF('Annexe A  Plan RH'!$A$4:$A$85,"Sales",'Annexe A  Plan RH'!CJ4:CJ85)</f>
        <v>-84072.515625</v>
      </c>
      <c r="BW9" s="130">
        <f>-SUMIF('Annexe A  Plan RH'!$A$4:$A$85,"Sales",'Annexe A  Plan RH'!CK4:CK85)</f>
        <v>-102305.109375</v>
      </c>
      <c r="BX9" s="130">
        <f>-SUMIF('Annexe A  Plan RH'!$A$4:$A$85,"Sales",'Annexe A  Plan RH'!CL4:CL85)</f>
        <v>-102305.109375</v>
      </c>
      <c r="BY9" s="130">
        <f>-SUMIF('Annexe A  Plan RH'!$A$4:$A$85,"Sales",'Annexe A  Plan RH'!CM4:CM85)</f>
        <v>-105850.3359375</v>
      </c>
      <c r="BZ9" s="130">
        <f>-SUMIF('Annexe A  Plan RH'!$A$4:$A$85,"Sales",'Annexe A  Plan RH'!CN4:CN85)</f>
        <v>-105850.3359375</v>
      </c>
      <c r="CA9" s="130">
        <f>-SUMIF('Annexe A  Plan RH'!$A$4:$A$85,"Sales",'Annexe A  Plan RH'!CO4:CO85)</f>
        <v>-113953.7109375</v>
      </c>
      <c r="CB9" s="130">
        <f>-SUMIF('Annexe A  Plan RH'!$A$4:$A$85,"Sales",'Annexe A  Plan RH'!CP4:CP85)</f>
        <v>-113953.7109375</v>
      </c>
      <c r="CC9" s="130">
        <f>-SUMIF('Annexe A  Plan RH'!$A$4:$A$85,"Sales",'Annexe A  Plan RH'!CQ4:CQ85)</f>
        <v>-113953.7109375</v>
      </c>
    </row>
    <row r="10" spans="1:112" ht="15.75" customHeight="1" outlineLevel="1">
      <c r="A10" s="11" t="s">
        <v>216</v>
      </c>
      <c r="C10" s="130">
        <f>-SUMIF('Annexe A  Plan RH'!$A$4:$A$85,"Support",'Annexe A  Plan RH'!Q4:Q85)</f>
        <v>-2708.3333333333335</v>
      </c>
      <c r="D10" s="130">
        <f>-SUMIF('Annexe A  Plan RH'!$A$4:$A$85,"Support",'Annexe A  Plan RH'!R4:R85)</f>
        <v>-2708.3333333333335</v>
      </c>
      <c r="E10" s="130">
        <f>-SUMIF('Annexe A  Plan RH'!$A$4:$A$85,"Support",'Annexe A  Plan RH'!S4:S85)</f>
        <v>-2708.3333333333335</v>
      </c>
      <c r="F10" s="130">
        <f>-SUMIF('Annexe A  Plan RH'!$A$4:$A$85,"Support",'Annexe A  Plan RH'!T4:T85)</f>
        <v>-2708.3333333333335</v>
      </c>
      <c r="G10" s="130">
        <f>-SUMIF('Annexe A  Plan RH'!$A$4:$A$85,"Support",'Annexe A  Plan RH'!U4:U85)</f>
        <v>-2708.3333333333335</v>
      </c>
      <c r="H10" s="130">
        <f>-SUMIF('Annexe A  Plan RH'!$A$4:$A$85,"Support",'Annexe A  Plan RH'!V4:V85)</f>
        <v>-2708.3333333333335</v>
      </c>
      <c r="I10" s="130">
        <f>-SUMIF('Annexe A  Plan RH'!$A$4:$A$85,"Support",'Annexe A  Plan RH'!W4:W85)</f>
        <v>-2708.3333333333335</v>
      </c>
      <c r="J10" s="130">
        <f>-SUMIF('Annexe A  Plan RH'!$A$4:$A$85,"Support",'Annexe A  Plan RH'!X4:X85)</f>
        <v>-5906.25</v>
      </c>
      <c r="K10" s="130">
        <f>-SUMIF('Annexe A  Plan RH'!$A$4:$A$85,"Support",'Annexe A  Plan RH'!Y4:Y85)</f>
        <v>-5906.25</v>
      </c>
      <c r="L10" s="130">
        <f>-SUMIF('Annexe A  Plan RH'!$A$4:$A$85,"Support",'Annexe A  Plan RH'!Z4:Z85)</f>
        <v>-5906.25</v>
      </c>
      <c r="M10" s="130">
        <f>-SUMIF('Annexe A  Plan RH'!$A$4:$A$85,"Support",'Annexe A  Plan RH'!AA4:AA85)</f>
        <v>-5906.25</v>
      </c>
      <c r="N10" s="130">
        <f>-SUMIF('Annexe A  Plan RH'!$A$4:$A$85,"Support",'Annexe A  Plan RH'!AB4:AB85)</f>
        <v>-5906.25</v>
      </c>
      <c r="O10" s="130">
        <f>-SUMIF('Annexe A  Plan RH'!$A$4:$A$85,"Support",'Annexe A  Plan RH'!AC4:AC85)</f>
        <v>-5906.25</v>
      </c>
      <c r="P10" s="130">
        <f>-SUMIF('Annexe A  Plan RH'!$A$4:$A$85,"Support",'Annexe A  Plan RH'!AD4:AD85)</f>
        <v>-5906.25</v>
      </c>
      <c r="Q10" s="130">
        <f>-SUMIF('Annexe A  Plan RH'!$A$4:$A$85,"Support",'Annexe A  Plan RH'!AE4:AE85)</f>
        <v>-5906.25</v>
      </c>
      <c r="R10" s="130">
        <f>-SUMIF('Annexe A  Plan RH'!$A$4:$A$85,"Support",'Annexe A  Plan RH'!AF4:AF85)</f>
        <v>-5906.25</v>
      </c>
      <c r="S10" s="130">
        <f>-SUMIF('Annexe A  Plan RH'!$A$4:$A$85,"Support",'Annexe A  Plan RH'!AG4:AG85)</f>
        <v>-5906.25</v>
      </c>
      <c r="T10" s="130">
        <f>-SUMIF('Annexe A  Plan RH'!$A$4:$A$85,"Support",'Annexe A  Plan RH'!AH4:AH85)</f>
        <v>-5906.25</v>
      </c>
      <c r="U10" s="130">
        <f>-SUMIF('Annexe A  Plan RH'!$A$4:$A$85,"Support",'Annexe A  Plan RH'!AI4:AI85)</f>
        <v>-5906.25</v>
      </c>
      <c r="V10" s="130">
        <f>-SUMIF('Annexe A  Plan RH'!$A$4:$A$85,"Support",'Annexe A  Plan RH'!AJ4:AJ85)</f>
        <v>-5906.25</v>
      </c>
      <c r="W10" s="130">
        <f>-SUMIF('Annexe A  Plan RH'!$A$4:$A$85,"Support",'Annexe A  Plan RH'!AK4:AK85)</f>
        <v>-5906.25</v>
      </c>
      <c r="X10" s="130">
        <f>-SUMIF('Annexe A  Plan RH'!$A$4:$A$85,"Support",'Annexe A  Plan RH'!AL4:AL85)</f>
        <v>-5906.25</v>
      </c>
      <c r="Y10" s="130">
        <f>-SUMIF('Annexe A  Plan RH'!$A$4:$A$85,"Support",'Annexe A  Plan RH'!AM4:AM85)</f>
        <v>-5906.25</v>
      </c>
      <c r="Z10" s="130">
        <f>-SUMIF('Annexe A  Plan RH'!$A$4:$A$85,"Support",'Annexe A  Plan RH'!AN4:AN85)</f>
        <v>-5906.25</v>
      </c>
      <c r="AA10" s="130">
        <f>-SUMIF('Annexe A  Plan RH'!$A$4:$A$85,"Support",'Annexe A  Plan RH'!AO4:AO85)</f>
        <v>-5906.25</v>
      </c>
      <c r="AB10" s="130">
        <f>-SUMIF('Annexe A  Plan RH'!$A$4:$A$85,"Support",'Annexe A  Plan RH'!AP4:AP85)</f>
        <v>-5906.25</v>
      </c>
      <c r="AC10" s="130">
        <f>-SUMIF('Annexe A  Plan RH'!$A$4:$A$85,"Support",'Annexe A  Plan RH'!AQ4:AQ85)</f>
        <v>-5906.25</v>
      </c>
      <c r="AD10" s="130">
        <f>-SUMIF('Annexe A  Plan RH'!$A$4:$A$85,"Support",'Annexe A  Plan RH'!AR4:AR85)</f>
        <v>-5906.25</v>
      </c>
      <c r="AE10" s="130">
        <f>-SUMIF('Annexe A  Plan RH'!$A$4:$A$85,"Support",'Annexe A  Plan RH'!AS4:AS85)</f>
        <v>-5906.25</v>
      </c>
      <c r="AF10" s="130">
        <f>-SUMIF('Annexe A  Plan RH'!$A$4:$A$85,"Support",'Annexe A  Plan RH'!AT4:AT85)</f>
        <v>-5906.25</v>
      </c>
      <c r="AG10" s="130">
        <f>-SUMIF('Annexe A  Plan RH'!$A$4:$A$85,"Support",'Annexe A  Plan RH'!AU4:AU85)</f>
        <v>-5906.25</v>
      </c>
      <c r="AH10" s="130">
        <f>-SUMIF('Annexe A  Plan RH'!$A$4:$A$85,"Support",'Annexe A  Plan RH'!AV4:AV85)</f>
        <v>-5906.25</v>
      </c>
      <c r="AI10" s="130">
        <f>-SUMIF('Annexe A  Plan RH'!$A$4:$A$85,"Support",'Annexe A  Plan RH'!AW4:AW85)</f>
        <v>-5906.25</v>
      </c>
      <c r="AJ10" s="130">
        <f>-SUMIF('Annexe A  Plan RH'!$A$4:$A$85,"Support",'Annexe A  Plan RH'!AX4:AX85)</f>
        <v>-5906.25</v>
      </c>
      <c r="AK10" s="130">
        <f>-SUMIF('Annexe A  Plan RH'!$A$4:$A$85,"Support",'Annexe A  Plan RH'!AY4:AY85)</f>
        <v>-5906.25</v>
      </c>
      <c r="AL10" s="130">
        <f>-SUMIF('Annexe A  Plan RH'!$A$4:$A$85,"Support",'Annexe A  Plan RH'!AZ4:AZ85)</f>
        <v>-5906.25</v>
      </c>
      <c r="AM10" s="130">
        <f>-SUMIF('Annexe A  Plan RH'!$A$4:$A$85,"Support",'Annexe A  Plan RH'!BA4:BA85)</f>
        <v>-5906.25</v>
      </c>
      <c r="AN10" s="130">
        <f>-SUMIF('Annexe A  Plan RH'!$A$4:$A$85,"Support",'Annexe A  Plan RH'!BB4:BB85)</f>
        <v>-5906.25</v>
      </c>
      <c r="AO10" s="130">
        <f>-SUMIF('Annexe A  Plan RH'!$A$4:$A$85,"Support",'Annexe A  Plan RH'!BC4:BC85)</f>
        <v>-5906.25</v>
      </c>
      <c r="AP10" s="130">
        <f>-SUMIF('Annexe A  Plan RH'!$A$4:$A$85,"Support",'Annexe A  Plan RH'!BD4:BD85)</f>
        <v>-5906.25</v>
      </c>
      <c r="AQ10" s="130">
        <f>-SUMIF('Annexe A  Plan RH'!$A$4:$A$85,"Support",'Annexe A  Plan RH'!BE4:BE85)</f>
        <v>-5906.25</v>
      </c>
      <c r="AR10" s="130">
        <f>-SUMIF('Annexe A  Plan RH'!$A$4:$A$85,"Support",'Annexe A  Plan RH'!BF4:BF85)</f>
        <v>-5906.25</v>
      </c>
      <c r="AS10" s="130">
        <f>-SUMIF('Annexe A  Plan RH'!$A$4:$A$85,"Support",'Annexe A  Plan RH'!BG4:BG85)</f>
        <v>-5906.25</v>
      </c>
      <c r="AT10" s="130">
        <f>-SUMIF('Annexe A  Plan RH'!$A$4:$A$85,"Support",'Annexe A  Plan RH'!BH4:BH85)</f>
        <v>-6201.5625</v>
      </c>
      <c r="AU10" s="130">
        <f>-SUMIF('Annexe A  Plan RH'!$A$4:$A$85,"Support",'Annexe A  Plan RH'!BI4:BI85)</f>
        <v>-6201.5625</v>
      </c>
      <c r="AV10" s="130">
        <f>-SUMIF('Annexe A  Plan RH'!$A$4:$A$85,"Support",'Annexe A  Plan RH'!BJ4:BJ85)</f>
        <v>-6201.5625</v>
      </c>
      <c r="AW10" s="130">
        <f>-SUMIF('Annexe A  Plan RH'!$A$4:$A$85,"Support",'Annexe A  Plan RH'!BK4:BK85)</f>
        <v>-6201.5625</v>
      </c>
      <c r="AX10" s="130">
        <f>-SUMIF('Annexe A  Plan RH'!$A$4:$A$85,"Support",'Annexe A  Plan RH'!BL4:BL85)</f>
        <v>-6201.5625</v>
      </c>
      <c r="AY10" s="130">
        <f>-SUMIF('Annexe A  Plan RH'!$A$4:$A$85,"Support",'Annexe A  Plan RH'!BM4:BM85)</f>
        <v>-6201.5625</v>
      </c>
      <c r="AZ10" s="130">
        <f>-SUMIF('Annexe A  Plan RH'!$A$4:$A$85,"Support",'Annexe A  Plan RH'!BN4:BN85)</f>
        <v>-6201.5625</v>
      </c>
      <c r="BA10" s="130">
        <f>-SUMIF('Annexe A  Plan RH'!$A$4:$A$85,"Support",'Annexe A  Plan RH'!BO4:BO85)</f>
        <v>-6201.5625</v>
      </c>
      <c r="BB10" s="130">
        <f>-SUMIF('Annexe A  Plan RH'!$A$4:$A$85,"Support",'Annexe A  Plan RH'!BP4:BP85)</f>
        <v>-6201.5625</v>
      </c>
      <c r="BC10" s="130">
        <f>-SUMIF('Annexe A  Plan RH'!$A$4:$A$85,"Support",'Annexe A  Plan RH'!BQ4:BQ85)</f>
        <v>-6201.5625</v>
      </c>
      <c r="BD10" s="130">
        <f>-SUMIF('Annexe A  Plan RH'!$A$4:$A$85,"Support",'Annexe A  Plan RH'!BR4:BR85)</f>
        <v>-6201.5625</v>
      </c>
      <c r="BE10" s="130">
        <f>-SUMIF('Annexe A  Plan RH'!$A$4:$A$85,"Support",'Annexe A  Plan RH'!BS4:BS85)</f>
        <v>-6201.5625</v>
      </c>
      <c r="BF10" s="130">
        <f>-SUMIF('Annexe A  Plan RH'!$A$4:$A$85,"Support",'Annexe A  Plan RH'!BT4:BT85)</f>
        <v>-6511.640625</v>
      </c>
      <c r="BG10" s="130">
        <f>-SUMIF('Annexe A  Plan RH'!$A$4:$A$85,"Support",'Annexe A  Plan RH'!BU4:BU85)</f>
        <v>-9888.046875</v>
      </c>
      <c r="BH10" s="130">
        <f>-SUMIF('Annexe A  Plan RH'!$A$4:$A$85,"Support",'Annexe A  Plan RH'!BV4:BV85)</f>
        <v>-9888.046875</v>
      </c>
      <c r="BI10" s="130">
        <f>-SUMIF('Annexe A  Plan RH'!$A$4:$A$85,"Support",'Annexe A  Plan RH'!BW4:BW85)</f>
        <v>-9888.046875</v>
      </c>
      <c r="BJ10" s="130">
        <f>-SUMIF('Annexe A  Plan RH'!$A$4:$A$85,"Support",'Annexe A  Plan RH'!BX4:BX85)</f>
        <v>-9888.046875</v>
      </c>
      <c r="BK10" s="130">
        <f>-SUMIF('Annexe A  Plan RH'!$A$4:$A$85,"Support",'Annexe A  Plan RH'!BY4:BY85)</f>
        <v>-16158.515625</v>
      </c>
      <c r="BL10" s="130">
        <f>-SUMIF('Annexe A  Plan RH'!$A$4:$A$85,"Support",'Annexe A  Plan RH'!BZ4:BZ85)</f>
        <v>-22911.328125</v>
      </c>
      <c r="BM10" s="130">
        <f>-SUMIF('Annexe A  Plan RH'!$A$4:$A$85,"Support",'Annexe A  Plan RH'!CA4:CA85)</f>
        <v>-26287.734375</v>
      </c>
      <c r="BN10" s="130">
        <f>-SUMIF('Annexe A  Plan RH'!$A$4:$A$85,"Support",'Annexe A  Plan RH'!CB4:CB85)</f>
        <v>-26287.734375</v>
      </c>
      <c r="BO10" s="130">
        <f>-SUMIF('Annexe A  Plan RH'!$A$4:$A$85,"Support",'Annexe A  Plan RH'!CC4:CC85)</f>
        <v>-26287.734375</v>
      </c>
      <c r="BP10" s="130">
        <f>-SUMIF('Annexe A  Plan RH'!$A$4:$A$85,"Support",'Annexe A  Plan RH'!CD4:CD85)</f>
        <v>-26287.734375</v>
      </c>
      <c r="BQ10" s="130">
        <f>-SUMIF('Annexe A  Plan RH'!$A$4:$A$85,"Support",'Annexe A  Plan RH'!CE4:CE85)</f>
        <v>-26287.734375</v>
      </c>
      <c r="BR10" s="130">
        <f>-SUMIF('Annexe A  Plan RH'!$A$4:$A$85,"Support",'Annexe A  Plan RH'!CF4:CF85)</f>
        <v>-27602.12109375</v>
      </c>
      <c r="BS10" s="130">
        <f>-SUMIF('Annexe A  Plan RH'!$A$4:$A$85,"Support",'Annexe A  Plan RH'!CG4:CG85)</f>
        <v>-35705.49609375</v>
      </c>
      <c r="BT10" s="130">
        <f>-SUMIF('Annexe A  Plan RH'!$A$4:$A$85,"Support",'Annexe A  Plan RH'!CH4:CH85)</f>
        <v>-35705.49609375</v>
      </c>
      <c r="BU10" s="130">
        <f>-SUMIF('Annexe A  Plan RH'!$A$4:$A$85,"Support",'Annexe A  Plan RH'!CI4:CI85)</f>
        <v>-35705.49609375</v>
      </c>
      <c r="BV10" s="130">
        <f>-SUMIF('Annexe A  Plan RH'!$A$4:$A$85,"Support",'Annexe A  Plan RH'!CJ4:CJ85)</f>
        <v>-35705.49609375</v>
      </c>
      <c r="BW10" s="130">
        <f>-SUMIF('Annexe A  Plan RH'!$A$4:$A$85,"Support",'Annexe A  Plan RH'!CK4:CK85)</f>
        <v>-35705.49609375</v>
      </c>
      <c r="BX10" s="130">
        <f>-SUMIF('Annexe A  Plan RH'!$A$4:$A$85,"Support",'Annexe A  Plan RH'!CL4:CL85)</f>
        <v>-35705.49609375</v>
      </c>
      <c r="BY10" s="130">
        <f>-SUMIF('Annexe A  Plan RH'!$A$4:$A$85,"Support",'Annexe A  Plan RH'!CM4:CM85)</f>
        <v>-51912.24609375</v>
      </c>
      <c r="BZ10" s="130">
        <f>-SUMIF('Annexe A  Plan RH'!$A$4:$A$85,"Support",'Annexe A  Plan RH'!CN4:CN85)</f>
        <v>-51912.24609375</v>
      </c>
      <c r="CA10" s="130">
        <f>-SUMIF('Annexe A  Plan RH'!$A$4:$A$85,"Support",'Annexe A  Plan RH'!CO4:CO85)</f>
        <v>-51912.24609375</v>
      </c>
      <c r="CB10" s="130">
        <f>-SUMIF('Annexe A  Plan RH'!$A$4:$A$85,"Support",'Annexe A  Plan RH'!CP4:CP85)</f>
        <v>-51912.24609375</v>
      </c>
      <c r="CC10" s="130">
        <f>-SUMIF('Annexe A  Plan RH'!$A$4:$A$85,"Support",'Annexe A  Plan RH'!CQ4:CQ85)</f>
        <v>-51912.24609375</v>
      </c>
    </row>
    <row r="11" spans="1:112" ht="15.75" customHeight="1" outlineLevel="1">
      <c r="A11" s="11" t="s">
        <v>217</v>
      </c>
      <c r="C11" s="130">
        <f>-SUMIF('Annexe A  Plan RH'!$A$4:$A$85,"R&amp;D",'Annexe A  Plan RH'!Q4:Q85)</f>
        <v>-18225</v>
      </c>
      <c r="D11" s="130">
        <f>-SUMIF('Annexe A  Plan RH'!$A$4:$A$85,"R&amp;D",'Annexe A  Plan RH'!R4:R85)</f>
        <v>-18225</v>
      </c>
      <c r="E11" s="130">
        <f>-SUMIF('Annexe A  Plan RH'!$A$4:$A$85,"R&amp;D",'Annexe A  Plan RH'!S4:S85)</f>
        <v>-18225</v>
      </c>
      <c r="F11" s="130">
        <f>-SUMIF('Annexe A  Plan RH'!$A$4:$A$85,"R&amp;D",'Annexe A  Plan RH'!T4:T85)</f>
        <v>-18225</v>
      </c>
      <c r="G11" s="130">
        <f>-SUMIF('Annexe A  Plan RH'!$A$4:$A$85,"R&amp;D",'Annexe A  Plan RH'!U4:U85)</f>
        <v>-21308.333333333332</v>
      </c>
      <c r="H11" s="130">
        <f>-SUMIF('Annexe A  Plan RH'!$A$4:$A$85,"R&amp;D",'Annexe A  Plan RH'!V4:V85)</f>
        <v>-21308.333333333332</v>
      </c>
      <c r="I11" s="130">
        <f>-SUMIF('Annexe A  Plan RH'!$A$4:$A$85,"R&amp;D",'Annexe A  Plan RH'!W4:W85)</f>
        <v>-18141.666666666664</v>
      </c>
      <c r="J11" s="130">
        <f>-SUMIF('Annexe A  Plan RH'!$A$4:$A$85,"R&amp;D",'Annexe A  Plan RH'!X4:X85)</f>
        <v>-19048.75</v>
      </c>
      <c r="K11" s="130">
        <f>-SUMIF('Annexe A  Plan RH'!$A$4:$A$85,"R&amp;D",'Annexe A  Plan RH'!Y4:Y85)</f>
        <v>-19048.75</v>
      </c>
      <c r="L11" s="130">
        <f>-SUMIF('Annexe A  Plan RH'!$A$4:$A$85,"R&amp;D",'Annexe A  Plan RH'!Z4:Z85)</f>
        <v>-19048.75</v>
      </c>
      <c r="M11" s="130">
        <f>-SUMIF('Annexe A  Plan RH'!$A$4:$A$85,"R&amp;D",'Annexe A  Plan RH'!AA4:AA85)</f>
        <v>-19048.75</v>
      </c>
      <c r="N11" s="130">
        <f>-SUMIF('Annexe A  Plan RH'!$A$4:$A$85,"R&amp;D",'Annexe A  Plan RH'!AB4:AB85)</f>
        <v>-19048.75</v>
      </c>
      <c r="O11" s="130">
        <f>-SUMIF('Annexe A  Plan RH'!$A$4:$A$85,"R&amp;D",'Annexe A  Plan RH'!AC4:AC85)</f>
        <v>-19048.75</v>
      </c>
      <c r="P11" s="130">
        <f>-SUMIF('Annexe A  Plan RH'!$A$4:$A$85,"R&amp;D",'Annexe A  Plan RH'!AD4:AD85)</f>
        <v>-30423.75</v>
      </c>
      <c r="Q11" s="130">
        <f>-SUMIF('Annexe A  Plan RH'!$A$4:$A$85,"R&amp;D",'Annexe A  Plan RH'!AE4:AE85)</f>
        <v>-30423.75</v>
      </c>
      <c r="R11" s="130">
        <f>-SUMIF('Annexe A  Plan RH'!$A$4:$A$85,"R&amp;D",'Annexe A  Plan RH'!AF4:AF85)</f>
        <v>-30423.75</v>
      </c>
      <c r="S11" s="130">
        <f>-SUMIF('Annexe A  Plan RH'!$A$4:$A$85,"R&amp;D",'Annexe A  Plan RH'!AG4:AG85)</f>
        <v>-30423.75</v>
      </c>
      <c r="T11" s="130">
        <f>-SUMIF('Annexe A  Plan RH'!$A$4:$A$85,"R&amp;D",'Annexe A  Plan RH'!AH4:AH85)</f>
        <v>-30423.75</v>
      </c>
      <c r="U11" s="130">
        <f>-SUMIF('Annexe A  Plan RH'!$A$4:$A$85,"R&amp;D",'Annexe A  Plan RH'!AI4:AI85)</f>
        <v>-30423.75</v>
      </c>
      <c r="V11" s="130">
        <f>-SUMIF('Annexe A  Plan RH'!$A$4:$A$85,"R&amp;D",'Annexe A  Plan RH'!AJ4:AJ85)</f>
        <v>-30423.75</v>
      </c>
      <c r="W11" s="130">
        <f>-SUMIF('Annexe A  Plan RH'!$A$4:$A$85,"R&amp;D",'Annexe A  Plan RH'!AK4:AK85)</f>
        <v>-30423.75</v>
      </c>
      <c r="X11" s="130">
        <f>-SUMIF('Annexe A  Plan RH'!$A$4:$A$85,"R&amp;D",'Annexe A  Plan RH'!AL4:AL85)</f>
        <v>-30423.75</v>
      </c>
      <c r="Y11" s="130">
        <f>-SUMIF('Annexe A  Plan RH'!$A$4:$A$85,"R&amp;D",'Annexe A  Plan RH'!AM4:AM85)</f>
        <v>-30423.75</v>
      </c>
      <c r="Z11" s="130">
        <f>-SUMIF('Annexe A  Plan RH'!$A$4:$A$85,"R&amp;D",'Annexe A  Plan RH'!AN4:AN85)</f>
        <v>-30423.75</v>
      </c>
      <c r="AA11" s="130">
        <f>-SUMIF('Annexe A  Plan RH'!$A$4:$A$85,"R&amp;D",'Annexe A  Plan RH'!AO4:AO85)</f>
        <v>-30423.75</v>
      </c>
      <c r="AB11" s="130">
        <f>-SUMIF('Annexe A  Plan RH'!$A$4:$A$85,"R&amp;D",'Annexe A  Plan RH'!AP4:AP85)</f>
        <v>-30423.75</v>
      </c>
      <c r="AC11" s="130">
        <f>-SUMIF('Annexe A  Plan RH'!$A$4:$A$85,"R&amp;D",'Annexe A  Plan RH'!AQ4:AQ85)</f>
        <v>-30423.75</v>
      </c>
      <c r="AD11" s="130">
        <f>-SUMIF('Annexe A  Plan RH'!$A$4:$A$85,"R&amp;D",'Annexe A  Plan RH'!AR4:AR85)</f>
        <v>-30423.75</v>
      </c>
      <c r="AE11" s="130">
        <f>-SUMIF('Annexe A  Plan RH'!$A$4:$A$85,"R&amp;D",'Annexe A  Plan RH'!AS4:AS85)</f>
        <v>-30423.75</v>
      </c>
      <c r="AF11" s="130">
        <f>-SUMIF('Annexe A  Plan RH'!$A$4:$A$85,"R&amp;D",'Annexe A  Plan RH'!AT4:AT85)</f>
        <v>-30423.75</v>
      </c>
      <c r="AG11" s="130">
        <f>-SUMIF('Annexe A  Plan RH'!$A$4:$A$85,"R&amp;D",'Annexe A  Plan RH'!AU4:AU85)</f>
        <v>-30423.75</v>
      </c>
      <c r="AH11" s="130">
        <f>-SUMIF('Annexe A  Plan RH'!$A$4:$A$85,"R&amp;D",'Annexe A  Plan RH'!AV4:AV85)</f>
        <v>-30423.75</v>
      </c>
      <c r="AI11" s="130">
        <f>-SUMIF('Annexe A  Plan RH'!$A$4:$A$85,"R&amp;D",'Annexe A  Plan RH'!AW4:AW85)</f>
        <v>-30423.75</v>
      </c>
      <c r="AJ11" s="130">
        <f>-SUMIF('Annexe A  Plan RH'!$A$4:$A$85,"R&amp;D",'Annexe A  Plan RH'!AX4:AX85)</f>
        <v>-30423.75</v>
      </c>
      <c r="AK11" s="130">
        <f>-SUMIF('Annexe A  Plan RH'!$A$4:$A$85,"R&amp;D",'Annexe A  Plan RH'!AY4:AY85)</f>
        <v>-30423.75</v>
      </c>
      <c r="AL11" s="130">
        <f>-SUMIF('Annexe A  Plan RH'!$A$4:$A$85,"R&amp;D",'Annexe A  Plan RH'!AZ4:AZ85)</f>
        <v>-30423.75</v>
      </c>
      <c r="AM11" s="130">
        <f>-SUMIF('Annexe A  Plan RH'!$A$4:$A$85,"R&amp;D",'Annexe A  Plan RH'!BA4:BA85)</f>
        <v>-30423.75</v>
      </c>
      <c r="AN11" s="130">
        <f>-SUMIF('Annexe A  Plan RH'!$A$4:$A$85,"R&amp;D",'Annexe A  Plan RH'!BB4:BB85)</f>
        <v>-30423.75</v>
      </c>
      <c r="AO11" s="130">
        <f>-SUMIF('Annexe A  Plan RH'!$A$4:$A$85,"R&amp;D",'Annexe A  Plan RH'!BC4:BC85)</f>
        <v>-30423.75</v>
      </c>
      <c r="AP11" s="130">
        <f>-SUMIF('Annexe A  Plan RH'!$A$4:$A$85,"R&amp;D",'Annexe A  Plan RH'!BD4:BD85)</f>
        <v>-30423.75</v>
      </c>
      <c r="AQ11" s="130">
        <f>-SUMIF('Annexe A  Plan RH'!$A$4:$A$85,"R&amp;D",'Annexe A  Plan RH'!BE4:BE85)</f>
        <v>-30423.75</v>
      </c>
      <c r="AR11" s="130">
        <f>-SUMIF('Annexe A  Plan RH'!$A$4:$A$85,"R&amp;D",'Annexe A  Plan RH'!BF4:BF85)</f>
        <v>-30423.75</v>
      </c>
      <c r="AS11" s="130">
        <f>-SUMIF('Annexe A  Plan RH'!$A$4:$A$85,"R&amp;D",'Annexe A  Plan RH'!BG4:BG85)</f>
        <v>-30423.75</v>
      </c>
      <c r="AT11" s="130">
        <f>-SUMIF('Annexe A  Plan RH'!$A$4:$A$85,"R&amp;D",'Annexe A  Plan RH'!BH4:BH85)</f>
        <v>-31944.9375</v>
      </c>
      <c r="AU11" s="130">
        <f>-SUMIF('Annexe A  Plan RH'!$A$4:$A$85,"R&amp;D",'Annexe A  Plan RH'!BI4:BI85)</f>
        <v>-31944.9375</v>
      </c>
      <c r="AV11" s="130">
        <f>-SUMIF('Annexe A  Plan RH'!$A$4:$A$85,"R&amp;D",'Annexe A  Plan RH'!BJ4:BJ85)</f>
        <v>-31944.9375</v>
      </c>
      <c r="AW11" s="130">
        <f>-SUMIF('Annexe A  Plan RH'!$A$4:$A$85,"R&amp;D",'Annexe A  Plan RH'!BK4:BK85)</f>
        <v>-31944.9375</v>
      </c>
      <c r="AX11" s="130">
        <f>-SUMIF('Annexe A  Plan RH'!$A$4:$A$85,"R&amp;D",'Annexe A  Plan RH'!BL4:BL85)</f>
        <v>-31944.9375</v>
      </c>
      <c r="AY11" s="130">
        <f>-SUMIF('Annexe A  Plan RH'!$A$4:$A$85,"R&amp;D",'Annexe A  Plan RH'!BM4:BM85)</f>
        <v>-31944.9375</v>
      </c>
      <c r="AZ11" s="130">
        <f>-SUMIF('Annexe A  Plan RH'!$A$4:$A$85,"R&amp;D",'Annexe A  Plan RH'!BN4:BN85)</f>
        <v>-31944.9375</v>
      </c>
      <c r="BA11" s="130">
        <f>-SUMIF('Annexe A  Plan RH'!$A$4:$A$85,"R&amp;D",'Annexe A  Plan RH'!BO4:BO85)</f>
        <v>-31944.9375</v>
      </c>
      <c r="BB11" s="130">
        <f>-SUMIF('Annexe A  Plan RH'!$A$4:$A$85,"R&amp;D",'Annexe A  Plan RH'!BP4:BP85)</f>
        <v>-36538.6875</v>
      </c>
      <c r="BC11" s="130">
        <f>-SUMIF('Annexe A  Plan RH'!$A$4:$A$85,"R&amp;D",'Annexe A  Plan RH'!BQ4:BQ85)</f>
        <v>-41132.4375</v>
      </c>
      <c r="BD11" s="130">
        <f>-SUMIF('Annexe A  Plan RH'!$A$4:$A$85,"R&amp;D",'Annexe A  Plan RH'!BR4:BR85)</f>
        <v>-45726.1875</v>
      </c>
      <c r="BE11" s="130">
        <f>-SUMIF('Annexe A  Plan RH'!$A$4:$A$85,"R&amp;D",'Annexe A  Plan RH'!BS4:BS85)</f>
        <v>-45726.1875</v>
      </c>
      <c r="BF11" s="130">
        <f>-SUMIF('Annexe A  Plan RH'!$A$4:$A$85,"R&amp;D",'Annexe A  Plan RH'!BT4:BT85)</f>
        <v>-48012.496874999997</v>
      </c>
      <c r="BG11" s="130">
        <f>-SUMIF('Annexe A  Plan RH'!$A$4:$A$85,"R&amp;D",'Annexe A  Plan RH'!BU4:BU85)</f>
        <v>-48012.496874999997</v>
      </c>
      <c r="BH11" s="130">
        <f>-SUMIF('Annexe A  Plan RH'!$A$4:$A$85,"R&amp;D",'Annexe A  Plan RH'!BV4:BV85)</f>
        <v>-48012.496874999997</v>
      </c>
      <c r="BI11" s="130">
        <f>-SUMIF('Annexe A  Plan RH'!$A$4:$A$85,"R&amp;D",'Annexe A  Plan RH'!BW4:BW85)</f>
        <v>-55729.996874999997</v>
      </c>
      <c r="BJ11" s="130">
        <f>-SUMIF('Annexe A  Plan RH'!$A$4:$A$85,"R&amp;D",'Annexe A  Plan RH'!BX4:BX85)</f>
        <v>-55729.996874999997</v>
      </c>
      <c r="BK11" s="130">
        <f>-SUMIF('Annexe A  Plan RH'!$A$4:$A$85,"R&amp;D",'Annexe A  Plan RH'!BY4:BY85)</f>
        <v>-55729.996874999997</v>
      </c>
      <c r="BL11" s="130">
        <f>-SUMIF('Annexe A  Plan RH'!$A$4:$A$85,"R&amp;D",'Annexe A  Plan RH'!BZ4:BZ85)</f>
        <v>-55729.996874999997</v>
      </c>
      <c r="BM11" s="130">
        <f>-SUMIF('Annexe A  Plan RH'!$A$4:$A$85,"R&amp;D",'Annexe A  Plan RH'!CA4:CA85)</f>
        <v>-65376.871874999997</v>
      </c>
      <c r="BN11" s="130">
        <f>-SUMIF('Annexe A  Plan RH'!$A$4:$A$85,"R&amp;D",'Annexe A  Plan RH'!CB4:CB85)</f>
        <v>-73094.371874999997</v>
      </c>
      <c r="BO11" s="130">
        <f>-SUMIF('Annexe A  Plan RH'!$A$4:$A$85,"R&amp;D",'Annexe A  Plan RH'!CC4:CC85)</f>
        <v>-73094.371874999997</v>
      </c>
      <c r="BP11" s="130">
        <f>-SUMIF('Annexe A  Plan RH'!$A$4:$A$85,"R&amp;D",'Annexe A  Plan RH'!CD4:CD85)</f>
        <v>-77917.809374999997</v>
      </c>
      <c r="BQ11" s="130">
        <f>-SUMIF('Annexe A  Plan RH'!$A$4:$A$85,"R&amp;D",'Annexe A  Plan RH'!CE4:CE85)</f>
        <v>-77917.809374999997</v>
      </c>
      <c r="BR11" s="130">
        <f>-SUMIF('Annexe A  Plan RH'!$A$4:$A$85,"R&amp;D",'Annexe A  Plan RH'!CF4:CF85)</f>
        <v>-81813.699843750001</v>
      </c>
      <c r="BS11" s="130">
        <f>-SUMIF('Annexe A  Plan RH'!$A$4:$A$85,"R&amp;D",'Annexe A  Plan RH'!CG4:CG85)</f>
        <v>-81813.699843750001</v>
      </c>
      <c r="BT11" s="130">
        <f>-SUMIF('Annexe A  Plan RH'!$A$4:$A$85,"R&amp;D",'Annexe A  Plan RH'!CH4:CH85)</f>
        <v>-81813.699843750001</v>
      </c>
      <c r="BU11" s="130">
        <f>-SUMIF('Annexe A  Plan RH'!$A$4:$A$85,"R&amp;D",'Annexe A  Plan RH'!CI4:CI85)</f>
        <v>-81813.699843750001</v>
      </c>
      <c r="BV11" s="130">
        <f>-SUMIF('Annexe A  Plan RH'!$A$4:$A$85,"R&amp;D",'Annexe A  Plan RH'!CJ4:CJ85)</f>
        <v>-81813.699843750001</v>
      </c>
      <c r="BW11" s="130">
        <f>-SUMIF('Annexe A  Plan RH'!$A$4:$A$85,"R&amp;D",'Annexe A  Plan RH'!CK4:CK85)</f>
        <v>-81813.699843750001</v>
      </c>
      <c r="BX11" s="130">
        <f>-SUMIF('Annexe A  Plan RH'!$A$4:$A$85,"R&amp;D",'Annexe A  Plan RH'!CL4:CL85)</f>
        <v>-81813.699843750001</v>
      </c>
      <c r="BY11" s="130">
        <f>-SUMIF('Annexe A  Plan RH'!$A$4:$A$85,"R&amp;D",'Annexe A  Plan RH'!CM4:CM85)</f>
        <v>-81813.699843750001</v>
      </c>
      <c r="BZ11" s="130">
        <f>-SUMIF('Annexe A  Plan RH'!$A$4:$A$85,"R&amp;D",'Annexe A  Plan RH'!CN4:CN85)</f>
        <v>-81813.699843750001</v>
      </c>
      <c r="CA11" s="130">
        <f>-SUMIF('Annexe A  Plan RH'!$A$4:$A$85,"R&amp;D",'Annexe A  Plan RH'!CO4:CO85)</f>
        <v>-81813.699843750001</v>
      </c>
      <c r="CB11" s="130">
        <f>-SUMIF('Annexe A  Plan RH'!$A$4:$A$85,"R&amp;D",'Annexe A  Plan RH'!CP4:CP85)</f>
        <v>-81813.699843750001</v>
      </c>
      <c r="CC11" s="130">
        <f>-SUMIF('Annexe A  Plan RH'!$A$4:$A$85,"R&amp;D",'Annexe A  Plan RH'!CQ4:CQ85)</f>
        <v>-81813.699843750001</v>
      </c>
    </row>
    <row r="12" spans="1:112" ht="15.75" customHeight="1" outlineLevel="1">
      <c r="A12" s="11" t="s">
        <v>218</v>
      </c>
      <c r="C12" s="130">
        <f>-SUMIF('Annexe A  Plan RH'!$A$4:$A$85,"G&amp;A",'Annexe A  Plan RH'!Q4:Q85)</f>
        <v>-4000</v>
      </c>
      <c r="D12" s="130">
        <f>-SUMIF('Annexe A  Plan RH'!$A$4:$A$85,"G&amp;A",'Annexe A  Plan RH'!R4:R85)</f>
        <v>-7000</v>
      </c>
      <c r="E12" s="130">
        <f>-SUMIF('Annexe A  Plan RH'!$A$4:$A$85,"G&amp;A",'Annexe A  Plan RH'!S4:S85)</f>
        <v>-7000</v>
      </c>
      <c r="F12" s="130">
        <f>-SUMIF('Annexe A  Plan RH'!$A$4:$A$85,"G&amp;A",'Annexe A  Plan RH'!T4:T85)</f>
        <v>-7000</v>
      </c>
      <c r="G12" s="130">
        <f>-SUMIF('Annexe A  Plan RH'!$A$4:$A$85,"G&amp;A",'Annexe A  Plan RH'!U4:U85)</f>
        <v>-7000</v>
      </c>
      <c r="H12" s="130">
        <f>-SUMIF('Annexe A  Plan RH'!$A$4:$A$85,"G&amp;A",'Annexe A  Plan RH'!V4:V85)</f>
        <v>-7000</v>
      </c>
      <c r="I12" s="130">
        <f>-SUMIF('Annexe A  Plan RH'!$A$4:$A$85,"G&amp;A",'Annexe A  Plan RH'!W4:W85)</f>
        <v>-4000</v>
      </c>
      <c r="J12" s="130">
        <f>-SUMIF('Annexe A  Plan RH'!$A$4:$A$85,"G&amp;A",'Annexe A  Plan RH'!X4:X85)</f>
        <v>-4200</v>
      </c>
      <c r="K12" s="130">
        <f>-SUMIF('Annexe A  Plan RH'!$A$4:$A$85,"G&amp;A",'Annexe A  Plan RH'!Y4:Y85)</f>
        <v>-4200</v>
      </c>
      <c r="L12" s="130">
        <f>-SUMIF('Annexe A  Plan RH'!$A$4:$A$85,"G&amp;A",'Annexe A  Plan RH'!Z4:Z85)</f>
        <v>-4200</v>
      </c>
      <c r="M12" s="130">
        <f>-SUMIF('Annexe A  Plan RH'!$A$4:$A$85,"G&amp;A",'Annexe A  Plan RH'!AA4:AA85)</f>
        <v>-4200</v>
      </c>
      <c r="N12" s="130">
        <f>-SUMIF('Annexe A  Plan RH'!$A$4:$A$85,"G&amp;A",'Annexe A  Plan RH'!AB4:AB85)</f>
        <v>-4200</v>
      </c>
      <c r="O12" s="130">
        <f>-SUMIF('Annexe A  Plan RH'!$A$4:$A$85,"G&amp;A",'Annexe A  Plan RH'!AC4:AC85)</f>
        <v>-4200</v>
      </c>
      <c r="P12" s="130">
        <f>-SUMIF('Annexe A  Plan RH'!$A$4:$A$85,"G&amp;A",'Annexe A  Plan RH'!AD4:AD85)</f>
        <v>-4200</v>
      </c>
      <c r="Q12" s="130">
        <f>-SUMIF('Annexe A  Plan RH'!$A$4:$A$85,"G&amp;A",'Annexe A  Plan RH'!AE4:AE85)</f>
        <v>-4200</v>
      </c>
      <c r="R12" s="130">
        <f>-SUMIF('Annexe A  Plan RH'!$A$4:$A$85,"G&amp;A",'Annexe A  Plan RH'!AF4:AF85)</f>
        <v>-4200</v>
      </c>
      <c r="S12" s="130">
        <f>-SUMIF('Annexe A  Plan RH'!$A$4:$A$85,"G&amp;A",'Annexe A  Plan RH'!AG4:AG85)</f>
        <v>-4200</v>
      </c>
      <c r="T12" s="130">
        <f>-SUMIF('Annexe A  Plan RH'!$A$4:$A$85,"G&amp;A",'Annexe A  Plan RH'!AH4:AH85)</f>
        <v>-4200</v>
      </c>
      <c r="U12" s="130">
        <f>-SUMIF('Annexe A  Plan RH'!$A$4:$A$85,"G&amp;A",'Annexe A  Plan RH'!AI4:AI85)</f>
        <v>-4200</v>
      </c>
      <c r="V12" s="130">
        <f>-SUMIF('Annexe A  Plan RH'!$A$4:$A$85,"G&amp;A",'Annexe A  Plan RH'!AJ4:AJ85)</f>
        <v>-4200</v>
      </c>
      <c r="W12" s="130">
        <f>-SUMIF('Annexe A  Plan RH'!$A$4:$A$85,"G&amp;A",'Annexe A  Plan RH'!AK4:AK85)</f>
        <v>-4200</v>
      </c>
      <c r="X12" s="130">
        <f>-SUMIF('Annexe A  Plan RH'!$A$4:$A$85,"G&amp;A",'Annexe A  Plan RH'!AL4:AL85)</f>
        <v>-4200</v>
      </c>
      <c r="Y12" s="130">
        <f>-SUMIF('Annexe A  Plan RH'!$A$4:$A$85,"G&amp;A",'Annexe A  Plan RH'!AM4:AM85)</f>
        <v>-4200</v>
      </c>
      <c r="Z12" s="130">
        <f>-SUMIF('Annexe A  Plan RH'!$A$4:$A$85,"G&amp;A",'Annexe A  Plan RH'!AN4:AN85)</f>
        <v>-4200</v>
      </c>
      <c r="AA12" s="130">
        <f>-SUMIF('Annexe A  Plan RH'!$A$4:$A$85,"G&amp;A",'Annexe A  Plan RH'!AO4:AO85)</f>
        <v>-4200</v>
      </c>
      <c r="AB12" s="130">
        <f>-SUMIF('Annexe A  Plan RH'!$A$4:$A$85,"G&amp;A",'Annexe A  Plan RH'!AP4:AP85)</f>
        <v>-4200</v>
      </c>
      <c r="AC12" s="130">
        <f>-SUMIF('Annexe A  Plan RH'!$A$4:$A$85,"G&amp;A",'Annexe A  Plan RH'!AQ4:AQ85)</f>
        <v>-4200</v>
      </c>
      <c r="AD12" s="130">
        <f>-SUMIF('Annexe A  Plan RH'!$A$4:$A$85,"G&amp;A",'Annexe A  Plan RH'!AR4:AR85)</f>
        <v>-4200</v>
      </c>
      <c r="AE12" s="130">
        <f>-SUMIF('Annexe A  Plan RH'!$A$4:$A$85,"G&amp;A",'Annexe A  Plan RH'!AS4:AS85)</f>
        <v>-4200</v>
      </c>
      <c r="AF12" s="130">
        <f>-SUMIF('Annexe A  Plan RH'!$A$4:$A$85,"G&amp;A",'Annexe A  Plan RH'!AT4:AT85)</f>
        <v>-4200</v>
      </c>
      <c r="AG12" s="130">
        <f>-SUMIF('Annexe A  Plan RH'!$A$4:$A$85,"G&amp;A",'Annexe A  Plan RH'!AU4:AU85)</f>
        <v>-4200</v>
      </c>
      <c r="AH12" s="130">
        <f>-SUMIF('Annexe A  Plan RH'!$A$4:$A$85,"G&amp;A",'Annexe A  Plan RH'!AV4:AV85)</f>
        <v>-4200</v>
      </c>
      <c r="AI12" s="130">
        <f>-SUMIF('Annexe A  Plan RH'!$A$4:$A$85,"G&amp;A",'Annexe A  Plan RH'!AW4:AW85)</f>
        <v>-4200</v>
      </c>
      <c r="AJ12" s="130">
        <f>-SUMIF('Annexe A  Plan RH'!$A$4:$A$85,"G&amp;A",'Annexe A  Plan RH'!AX4:AX85)</f>
        <v>-4200</v>
      </c>
      <c r="AK12" s="130">
        <f>-SUMIF('Annexe A  Plan RH'!$A$4:$A$85,"G&amp;A",'Annexe A  Plan RH'!AY4:AY85)</f>
        <v>-4200</v>
      </c>
      <c r="AL12" s="130">
        <f>-SUMIF('Annexe A  Plan RH'!$A$4:$A$85,"G&amp;A",'Annexe A  Plan RH'!AZ4:AZ85)</f>
        <v>-4200</v>
      </c>
      <c r="AM12" s="130">
        <f>-SUMIF('Annexe A  Plan RH'!$A$4:$A$85,"G&amp;A",'Annexe A  Plan RH'!BA4:BA85)</f>
        <v>-4200</v>
      </c>
      <c r="AN12" s="130">
        <f>-SUMIF('Annexe A  Plan RH'!$A$4:$A$85,"G&amp;A",'Annexe A  Plan RH'!BB4:BB85)</f>
        <v>-4200</v>
      </c>
      <c r="AO12" s="130">
        <f>-SUMIF('Annexe A  Plan RH'!$A$4:$A$85,"G&amp;A",'Annexe A  Plan RH'!BC4:BC85)</f>
        <v>-4200</v>
      </c>
      <c r="AP12" s="130">
        <f>-SUMIF('Annexe A  Plan RH'!$A$4:$A$85,"G&amp;A",'Annexe A  Plan RH'!BD4:BD85)</f>
        <v>-4200</v>
      </c>
      <c r="AQ12" s="130">
        <f>-SUMIF('Annexe A  Plan RH'!$A$4:$A$85,"G&amp;A",'Annexe A  Plan RH'!BE4:BE85)</f>
        <v>-4200</v>
      </c>
      <c r="AR12" s="130">
        <f>-SUMIF('Annexe A  Plan RH'!$A$4:$A$85,"G&amp;A",'Annexe A  Plan RH'!BF4:BF85)</f>
        <v>-4200</v>
      </c>
      <c r="AS12" s="130">
        <f>-SUMIF('Annexe A  Plan RH'!$A$4:$A$85,"G&amp;A",'Annexe A  Plan RH'!BG4:BG85)</f>
        <v>-4200</v>
      </c>
      <c r="AT12" s="130">
        <f>-SUMIF('Annexe A  Plan RH'!$A$4:$A$85,"G&amp;A",'Annexe A  Plan RH'!BH4:BH85)</f>
        <v>-4410</v>
      </c>
      <c r="AU12" s="130">
        <f>-SUMIF('Annexe A  Plan RH'!$A$4:$A$85,"G&amp;A",'Annexe A  Plan RH'!BI4:BI85)</f>
        <v>-4410</v>
      </c>
      <c r="AV12" s="130">
        <f>-SUMIF('Annexe A  Plan RH'!$A$4:$A$85,"G&amp;A",'Annexe A  Plan RH'!BJ4:BJ85)</f>
        <v>-4410</v>
      </c>
      <c r="AW12" s="130">
        <f>-SUMIF('Annexe A  Plan RH'!$A$4:$A$85,"G&amp;A",'Annexe A  Plan RH'!BK4:BK85)</f>
        <v>-4410</v>
      </c>
      <c r="AX12" s="130">
        <f>-SUMIF('Annexe A  Plan RH'!$A$4:$A$85,"G&amp;A",'Annexe A  Plan RH'!BL4:BL85)</f>
        <v>-4410</v>
      </c>
      <c r="AY12" s="130">
        <f>-SUMIF('Annexe A  Plan RH'!$A$4:$A$85,"G&amp;A",'Annexe A  Plan RH'!BM4:BM85)</f>
        <v>-4410</v>
      </c>
      <c r="AZ12" s="130">
        <f>-SUMIF('Annexe A  Plan RH'!$A$4:$A$85,"G&amp;A",'Annexe A  Plan RH'!BN4:BN85)</f>
        <v>-4410</v>
      </c>
      <c r="BA12" s="130">
        <f>-SUMIF('Annexe A  Plan RH'!$A$4:$A$85,"G&amp;A",'Annexe A  Plan RH'!BO4:BO85)</f>
        <v>-4410</v>
      </c>
      <c r="BB12" s="130">
        <f>-SUMIF('Annexe A  Plan RH'!$A$4:$A$85,"G&amp;A",'Annexe A  Plan RH'!BP4:BP85)</f>
        <v>-4410</v>
      </c>
      <c r="BC12" s="130">
        <f>-SUMIF('Annexe A  Plan RH'!$A$4:$A$85,"G&amp;A",'Annexe A  Plan RH'!BQ4:BQ85)</f>
        <v>-4410</v>
      </c>
      <c r="BD12" s="130">
        <f>-SUMIF('Annexe A  Plan RH'!$A$4:$A$85,"G&amp;A",'Annexe A  Plan RH'!BR4:BR85)</f>
        <v>-4410</v>
      </c>
      <c r="BE12" s="130">
        <f>-SUMIF('Annexe A  Plan RH'!$A$4:$A$85,"G&amp;A",'Annexe A  Plan RH'!BS4:BS85)</f>
        <v>-4410</v>
      </c>
      <c r="BF12" s="130">
        <f>-SUMIF('Annexe A  Plan RH'!$A$4:$A$85,"G&amp;A",'Annexe A  Plan RH'!BT4:BT85)</f>
        <v>-4630.5</v>
      </c>
      <c r="BG12" s="130">
        <f>-SUMIF('Annexe A  Plan RH'!$A$4:$A$85,"G&amp;A",'Annexe A  Plan RH'!BU4:BU85)</f>
        <v>-14277.375</v>
      </c>
      <c r="BH12" s="130">
        <f>-SUMIF('Annexe A  Plan RH'!$A$4:$A$85,"G&amp;A",'Annexe A  Plan RH'!BV4:BV85)</f>
        <v>-14277.375</v>
      </c>
      <c r="BI12" s="130">
        <f>-SUMIF('Annexe A  Plan RH'!$A$4:$A$85,"G&amp;A",'Annexe A  Plan RH'!BW4:BW85)</f>
        <v>-14277.375</v>
      </c>
      <c r="BJ12" s="130">
        <f>-SUMIF('Annexe A  Plan RH'!$A$4:$A$85,"G&amp;A",'Annexe A  Plan RH'!BX4:BX85)</f>
        <v>-14277.375</v>
      </c>
      <c r="BK12" s="130">
        <f>-SUMIF('Annexe A  Plan RH'!$A$4:$A$85,"G&amp;A",'Annexe A  Plan RH'!BY4:BY85)</f>
        <v>-14277.375</v>
      </c>
      <c r="BL12" s="130">
        <f>-SUMIF('Annexe A  Plan RH'!$A$4:$A$85,"G&amp;A",'Annexe A  Plan RH'!BZ4:BZ85)</f>
        <v>-14277.375</v>
      </c>
      <c r="BM12" s="130">
        <f>-SUMIF('Annexe A  Plan RH'!$A$4:$A$85,"G&amp;A",'Annexe A  Plan RH'!CA4:CA85)</f>
        <v>-14277.375</v>
      </c>
      <c r="BN12" s="130">
        <f>-SUMIF('Annexe A  Plan RH'!$A$4:$A$85,"G&amp;A",'Annexe A  Plan RH'!CB4:CB85)</f>
        <v>-14277.375</v>
      </c>
      <c r="BO12" s="130">
        <f>-SUMIF('Annexe A  Plan RH'!$A$4:$A$85,"G&amp;A",'Annexe A  Plan RH'!CC4:CC85)</f>
        <v>-14277.375</v>
      </c>
      <c r="BP12" s="130">
        <f>-SUMIF('Annexe A  Plan RH'!$A$4:$A$85,"G&amp;A",'Annexe A  Plan RH'!CD4:CD85)</f>
        <v>-14277.375</v>
      </c>
      <c r="BQ12" s="130">
        <f>-SUMIF('Annexe A  Plan RH'!$A$4:$A$85,"G&amp;A",'Annexe A  Plan RH'!CE4:CE85)</f>
        <v>-23924.25</v>
      </c>
      <c r="BR12" s="130">
        <f>-SUMIF('Annexe A  Plan RH'!$A$4:$A$85,"G&amp;A",'Annexe A  Plan RH'!CF4:CF85)</f>
        <v>-25120.462500000001</v>
      </c>
      <c r="BS12" s="130">
        <f>-SUMIF('Annexe A  Plan RH'!$A$4:$A$85,"G&amp;A",'Annexe A  Plan RH'!CG4:CG85)</f>
        <v>-25120.462500000001</v>
      </c>
      <c r="BT12" s="130">
        <f>-SUMIF('Annexe A  Plan RH'!$A$4:$A$85,"G&amp;A",'Annexe A  Plan RH'!CH4:CH85)</f>
        <v>-25120.462500000001</v>
      </c>
      <c r="BU12" s="130">
        <f>-SUMIF('Annexe A  Plan RH'!$A$4:$A$85,"G&amp;A",'Annexe A  Plan RH'!CI4:CI85)</f>
        <v>-25120.462500000001</v>
      </c>
      <c r="BV12" s="130">
        <f>-SUMIF('Annexe A  Plan RH'!$A$4:$A$85,"G&amp;A",'Annexe A  Plan RH'!CJ4:CJ85)</f>
        <v>-25120.462500000001</v>
      </c>
      <c r="BW12" s="130">
        <f>-SUMIF('Annexe A  Plan RH'!$A$4:$A$85,"G&amp;A",'Annexe A  Plan RH'!CK4:CK85)</f>
        <v>-25120.462500000001</v>
      </c>
      <c r="BX12" s="130">
        <f>-SUMIF('Annexe A  Plan RH'!$A$4:$A$85,"G&amp;A",'Annexe A  Plan RH'!CL4:CL85)</f>
        <v>-33223.837500000001</v>
      </c>
      <c r="BY12" s="130">
        <f>-SUMIF('Annexe A  Plan RH'!$A$4:$A$85,"G&amp;A",'Annexe A  Plan RH'!CM4:CM85)</f>
        <v>-33223.837500000001</v>
      </c>
      <c r="BZ12" s="130">
        <f>-SUMIF('Annexe A  Plan RH'!$A$4:$A$85,"G&amp;A",'Annexe A  Plan RH'!CN4:CN85)</f>
        <v>-33223.837500000001</v>
      </c>
      <c r="CA12" s="130">
        <f>-SUMIF('Annexe A  Plan RH'!$A$4:$A$85,"G&amp;A",'Annexe A  Plan RH'!CO4:CO85)</f>
        <v>-33223.837500000001</v>
      </c>
      <c r="CB12" s="130">
        <f>-SUMIF('Annexe A  Plan RH'!$A$4:$A$85,"G&amp;A",'Annexe A  Plan RH'!CP4:CP85)</f>
        <v>-33223.837500000001</v>
      </c>
      <c r="CC12" s="130">
        <f>-SUMIF('Annexe A  Plan RH'!$A$4:$A$85,"G&amp;A",'Annexe A  Plan RH'!CQ4:CQ85)</f>
        <v>-33223.837500000001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CC45"/>
  <sheetViews>
    <sheetView zoomScale="110" zoomScaleNormal="110" workbookViewId="0">
      <selection activeCell="L11" sqref="L11"/>
    </sheetView>
  </sheetViews>
  <sheetFormatPr baseColWidth="10" defaultColWidth="12.6640625" defaultRowHeight="15.75" customHeight="1"/>
  <cols>
    <col min="1" max="1" width="43.6640625" customWidth="1"/>
    <col min="2" max="2" width="7.1640625" hidden="1" customWidth="1"/>
  </cols>
  <sheetData>
    <row r="2" spans="1:81" ht="15">
      <c r="C2" s="703">
        <v>2025</v>
      </c>
      <c r="D2" s="709"/>
      <c r="E2" s="709"/>
      <c r="F2" s="709"/>
      <c r="G2" s="709"/>
      <c r="H2" s="709"/>
      <c r="I2" s="704"/>
      <c r="J2" s="708">
        <v>2026</v>
      </c>
      <c r="K2" s="709"/>
      <c r="L2" s="709"/>
      <c r="M2" s="709"/>
      <c r="N2" s="709"/>
      <c r="O2" s="709"/>
      <c r="P2" s="709"/>
      <c r="Q2" s="709"/>
      <c r="R2" s="709"/>
      <c r="S2" s="709"/>
      <c r="T2" s="709"/>
      <c r="U2" s="704"/>
      <c r="V2" s="710">
        <v>2027</v>
      </c>
      <c r="W2" s="709"/>
      <c r="X2" s="709"/>
      <c r="Y2" s="709"/>
      <c r="Z2" s="709"/>
      <c r="AA2" s="709"/>
      <c r="AB2" s="709"/>
      <c r="AC2" s="709"/>
      <c r="AD2" s="709"/>
      <c r="AE2" s="709"/>
      <c r="AF2" s="709"/>
      <c r="AG2" s="704"/>
      <c r="AH2" s="710">
        <v>2028</v>
      </c>
      <c r="AI2" s="709"/>
      <c r="AJ2" s="709"/>
      <c r="AK2" s="709"/>
      <c r="AL2" s="709"/>
      <c r="AM2" s="709"/>
      <c r="AN2" s="709"/>
      <c r="AO2" s="709"/>
      <c r="AP2" s="709"/>
      <c r="AQ2" s="709"/>
      <c r="AR2" s="709"/>
      <c r="AS2" s="704"/>
      <c r="AT2" s="710">
        <v>2029</v>
      </c>
      <c r="AU2" s="709"/>
      <c r="AV2" s="709"/>
      <c r="AW2" s="709"/>
      <c r="AX2" s="709"/>
      <c r="AY2" s="709"/>
      <c r="AZ2" s="709"/>
      <c r="BA2" s="709"/>
      <c r="BB2" s="709"/>
      <c r="BC2" s="709"/>
      <c r="BD2" s="709"/>
      <c r="BE2" s="704"/>
      <c r="BF2" s="711">
        <v>2030</v>
      </c>
      <c r="BG2" s="709"/>
      <c r="BH2" s="709"/>
      <c r="BI2" s="709"/>
      <c r="BJ2" s="709"/>
      <c r="BK2" s="709"/>
      <c r="BL2" s="709"/>
      <c r="BM2" s="709"/>
      <c r="BN2" s="709"/>
      <c r="BO2" s="709"/>
      <c r="BP2" s="709"/>
      <c r="BQ2" s="704"/>
      <c r="BR2" s="711">
        <v>2031</v>
      </c>
      <c r="BS2" s="709"/>
      <c r="BT2" s="709"/>
      <c r="BU2" s="709"/>
      <c r="BV2" s="709"/>
      <c r="BW2" s="709"/>
      <c r="BX2" s="709"/>
      <c r="BY2" s="709"/>
      <c r="BZ2" s="709"/>
      <c r="CA2" s="709"/>
      <c r="CB2" s="709"/>
      <c r="CC2" s="704"/>
    </row>
    <row r="3" spans="1:81" ht="15">
      <c r="A3" s="366"/>
      <c r="B3" s="366"/>
      <c r="C3" s="168">
        <v>45809</v>
      </c>
      <c r="D3" s="169">
        <v>45839</v>
      </c>
      <c r="E3" s="169">
        <v>45870</v>
      </c>
      <c r="F3" s="169">
        <v>45901</v>
      </c>
      <c r="G3" s="169">
        <v>45931</v>
      </c>
      <c r="H3" s="169">
        <v>45962</v>
      </c>
      <c r="I3" s="170">
        <v>45992</v>
      </c>
      <c r="J3" s="168">
        <v>46023</v>
      </c>
      <c r="K3" s="169">
        <v>46054</v>
      </c>
      <c r="L3" s="169">
        <v>46082</v>
      </c>
      <c r="M3" s="169">
        <v>46113</v>
      </c>
      <c r="N3" s="169">
        <v>46143</v>
      </c>
      <c r="O3" s="169">
        <v>46174</v>
      </c>
      <c r="P3" s="169">
        <v>46204</v>
      </c>
      <c r="Q3" s="169">
        <v>46235</v>
      </c>
      <c r="R3" s="169">
        <v>46266</v>
      </c>
      <c r="S3" s="169">
        <v>46296</v>
      </c>
      <c r="T3" s="169">
        <v>46327</v>
      </c>
      <c r="U3" s="170">
        <v>46357</v>
      </c>
      <c r="V3" s="168">
        <v>46388</v>
      </c>
      <c r="W3" s="169">
        <v>46419</v>
      </c>
      <c r="X3" s="169">
        <v>46447</v>
      </c>
      <c r="Y3" s="169">
        <v>46478</v>
      </c>
      <c r="Z3" s="169">
        <v>46508</v>
      </c>
      <c r="AA3" s="169">
        <v>46539</v>
      </c>
      <c r="AB3" s="169">
        <v>46569</v>
      </c>
      <c r="AC3" s="169">
        <v>46600</v>
      </c>
      <c r="AD3" s="169">
        <v>46631</v>
      </c>
      <c r="AE3" s="169">
        <v>46661</v>
      </c>
      <c r="AF3" s="169">
        <v>46692</v>
      </c>
      <c r="AG3" s="170">
        <v>46722</v>
      </c>
      <c r="AH3" s="169">
        <v>46753</v>
      </c>
      <c r="AI3" s="169">
        <v>46784</v>
      </c>
      <c r="AJ3" s="169">
        <v>46813</v>
      </c>
      <c r="AK3" s="169">
        <v>46844</v>
      </c>
      <c r="AL3" s="169">
        <v>46874</v>
      </c>
      <c r="AM3" s="169">
        <v>46905</v>
      </c>
      <c r="AN3" s="169">
        <v>46935</v>
      </c>
      <c r="AO3" s="169">
        <v>46966</v>
      </c>
      <c r="AP3" s="169">
        <v>46997</v>
      </c>
      <c r="AQ3" s="169">
        <v>47027</v>
      </c>
      <c r="AR3" s="169">
        <v>47058</v>
      </c>
      <c r="AS3" s="169">
        <v>47088</v>
      </c>
      <c r="AT3" s="169">
        <v>47119</v>
      </c>
      <c r="AU3" s="169">
        <v>47150</v>
      </c>
      <c r="AV3" s="169">
        <v>47178</v>
      </c>
      <c r="AW3" s="169">
        <v>47209</v>
      </c>
      <c r="AX3" s="169">
        <v>47239</v>
      </c>
      <c r="AY3" s="169">
        <v>47270</v>
      </c>
      <c r="AZ3" s="169">
        <v>47300</v>
      </c>
      <c r="BA3" s="169">
        <v>47331</v>
      </c>
      <c r="BB3" s="169">
        <v>47362</v>
      </c>
      <c r="BC3" s="169">
        <v>47392</v>
      </c>
      <c r="BD3" s="169">
        <v>47423</v>
      </c>
      <c r="BE3" s="169">
        <v>47453</v>
      </c>
      <c r="BF3" s="168">
        <v>47484</v>
      </c>
      <c r="BG3" s="169">
        <v>47515</v>
      </c>
      <c r="BH3" s="169">
        <v>47543</v>
      </c>
      <c r="BI3" s="169">
        <v>47574</v>
      </c>
      <c r="BJ3" s="169">
        <v>47604</v>
      </c>
      <c r="BK3" s="169">
        <v>47635</v>
      </c>
      <c r="BL3" s="169">
        <v>47665</v>
      </c>
      <c r="BM3" s="169">
        <v>47696</v>
      </c>
      <c r="BN3" s="169">
        <v>47727</v>
      </c>
      <c r="BO3" s="169">
        <v>47757</v>
      </c>
      <c r="BP3" s="169">
        <v>47788</v>
      </c>
      <c r="BQ3" s="170">
        <v>47818</v>
      </c>
      <c r="BR3" s="169">
        <v>47849</v>
      </c>
      <c r="BS3" s="169">
        <v>47880</v>
      </c>
      <c r="BT3" s="169">
        <v>47908</v>
      </c>
      <c r="BU3" s="169">
        <v>47939</v>
      </c>
      <c r="BV3" s="169">
        <v>47969</v>
      </c>
      <c r="BW3" s="169">
        <v>48000</v>
      </c>
      <c r="BX3" s="169">
        <v>48030</v>
      </c>
      <c r="BY3" s="169">
        <v>48061</v>
      </c>
      <c r="BZ3" s="169">
        <v>48092</v>
      </c>
      <c r="CA3" s="169">
        <v>48122</v>
      </c>
      <c r="CB3" s="169">
        <v>48153</v>
      </c>
      <c r="CC3" s="169">
        <v>48183</v>
      </c>
    </row>
    <row r="4" spans="1:81" ht="14">
      <c r="A4" s="377" t="s">
        <v>219</v>
      </c>
      <c r="B4" s="378"/>
      <c r="C4" s="197"/>
      <c r="D4" s="379">
        <f t="shared" ref="D4:CC4" ca="1" si="0">SUM(D5:D6)</f>
        <v>-6154.3702920506257</v>
      </c>
      <c r="E4" s="379">
        <f t="shared" ca="1" si="0"/>
        <v>-8930.8113556753888</v>
      </c>
      <c r="F4" s="379">
        <f t="shared" ca="1" si="0"/>
        <v>-6213.7480986726805</v>
      </c>
      <c r="G4" s="379">
        <f t="shared" ca="1" si="0"/>
        <v>-5177.7416212594617</v>
      </c>
      <c r="H4" s="379">
        <f t="shared" ca="1" si="0"/>
        <v>-11533.090816953358</v>
      </c>
      <c r="I4" s="380">
        <f t="shared" ca="1" si="0"/>
        <v>-12333.146255265252</v>
      </c>
      <c r="J4" s="381">
        <f t="shared" ca="1" si="0"/>
        <v>-4071.5735947574867</v>
      </c>
      <c r="K4" s="379">
        <f t="shared" ca="1" si="0"/>
        <v>-11011.089143806726</v>
      </c>
      <c r="L4" s="379">
        <f t="shared" ca="1" si="0"/>
        <v>-8492.9959109752526</v>
      </c>
      <c r="M4" s="379">
        <f t="shared" ca="1" si="0"/>
        <v>-23856.453463082631</v>
      </c>
      <c r="N4" s="379">
        <f t="shared" ca="1" si="0"/>
        <v>-13668.000717974239</v>
      </c>
      <c r="O4" s="379">
        <f t="shared" ca="1" si="0"/>
        <v>-12879.953151741502</v>
      </c>
      <c r="P4" s="379">
        <f t="shared" ca="1" si="0"/>
        <v>-12296.540822137278</v>
      </c>
      <c r="Q4" s="379">
        <f t="shared" ca="1" si="0"/>
        <v>-27456.798972837307</v>
      </c>
      <c r="R4" s="379">
        <f t="shared" ca="1" si="0"/>
        <v>-25847.043714993124</v>
      </c>
      <c r="S4" s="379">
        <f t="shared" ca="1" si="0"/>
        <v>-49577.248913265095</v>
      </c>
      <c r="T4" s="379">
        <f t="shared" ca="1" si="0"/>
        <v>-48539.432868852498</v>
      </c>
      <c r="U4" s="380">
        <f t="shared" ca="1" si="0"/>
        <v>-23575.394796474589</v>
      </c>
      <c r="V4" s="379">
        <f t="shared" ca="1" si="0"/>
        <v>-20802.45567707633</v>
      </c>
      <c r="W4" s="379">
        <f t="shared" ca="1" si="0"/>
        <v>-14469.258282721261</v>
      </c>
      <c r="X4" s="379">
        <f t="shared" ca="1" si="0"/>
        <v>-14403.830651324737</v>
      </c>
      <c r="Y4" s="379">
        <f t="shared" ca="1" si="0"/>
        <v>-23616.251945356809</v>
      </c>
      <c r="Z4" s="379">
        <f t="shared" ca="1" si="0"/>
        <v>-10966.350060694094</v>
      </c>
      <c r="AA4" s="379">
        <f t="shared" ca="1" si="0"/>
        <v>-9751.6279263980396</v>
      </c>
      <c r="AB4" s="379">
        <f t="shared" ca="1" si="0"/>
        <v>-8831.8840430597775</v>
      </c>
      <c r="AC4" s="379">
        <f t="shared" ca="1" si="0"/>
        <v>-7620.9233371367882</v>
      </c>
      <c r="AD4" s="379">
        <f t="shared" ca="1" si="0"/>
        <v>-6280.0449053530028</v>
      </c>
      <c r="AE4" s="379">
        <f t="shared" ca="1" si="0"/>
        <v>-6106.2683862397535</v>
      </c>
      <c r="AF4" s="379">
        <f t="shared" ca="1" si="0"/>
        <v>-3685.6433484390582</v>
      </c>
      <c r="AG4" s="379">
        <f t="shared" ca="1" si="0"/>
        <v>-1416.5615808018483</v>
      </c>
      <c r="AH4" s="381">
        <f t="shared" ca="1" si="0"/>
        <v>6092.3239496745664</v>
      </c>
      <c r="AI4" s="379">
        <f t="shared" ca="1" si="0"/>
        <v>10555.223090807878</v>
      </c>
      <c r="AJ4" s="379">
        <f t="shared" ca="1" si="0"/>
        <v>12340.100954379101</v>
      </c>
      <c r="AK4" s="379">
        <f t="shared" ca="1" si="0"/>
        <v>2698.3946058650326</v>
      </c>
      <c r="AL4" s="379">
        <f t="shared" ca="1" si="0"/>
        <v>14107.329206405091</v>
      </c>
      <c r="AM4" s="379">
        <f t="shared" ca="1" si="0"/>
        <v>17590.207241403521</v>
      </c>
      <c r="AN4" s="379">
        <f t="shared" ca="1" si="0"/>
        <v>19306.231217766181</v>
      </c>
      <c r="AO4" s="379">
        <f t="shared" ca="1" si="0"/>
        <v>21005.512195115793</v>
      </c>
      <c r="AP4" s="379">
        <f t="shared" ca="1" si="0"/>
        <v>22688.206130573381</v>
      </c>
      <c r="AQ4" s="379">
        <f t="shared" ca="1" si="0"/>
        <v>24354.467849300097</v>
      </c>
      <c r="AR4" s="379">
        <f t="shared" ca="1" si="0"/>
        <v>26004.451036688624</v>
      </c>
      <c r="AS4" s="380">
        <f t="shared" ca="1" si="0"/>
        <v>28648.348732193437</v>
      </c>
      <c r="AT4" s="379">
        <f t="shared" ca="1" si="0"/>
        <v>44579.132439658628</v>
      </c>
      <c r="AU4" s="379">
        <f t="shared" ca="1" si="0"/>
        <v>43904.670291228947</v>
      </c>
      <c r="AV4" s="379">
        <f t="shared" ca="1" si="0"/>
        <v>45996.365771862445</v>
      </c>
      <c r="AW4" s="379">
        <f t="shared" ca="1" si="0"/>
        <v>34181.34159368815</v>
      </c>
      <c r="AX4" s="379">
        <f t="shared" ca="1" si="0"/>
        <v>50148.60964840441</v>
      </c>
      <c r="AY4" s="379">
        <f t="shared" ca="1" si="0"/>
        <v>52209.122747120302</v>
      </c>
      <c r="AZ4" s="379">
        <f t="shared" ca="1" si="0"/>
        <v>51311.875901827094</v>
      </c>
      <c r="BA4" s="379">
        <f t="shared" ca="1" si="0"/>
        <v>55587.881757487892</v>
      </c>
      <c r="BB4" s="379">
        <f t="shared" ca="1" si="0"/>
        <v>58276.309485476086</v>
      </c>
      <c r="BC4" s="379">
        <f t="shared" ca="1" si="0"/>
        <v>54684.628493968776</v>
      </c>
      <c r="BD4" s="379">
        <f t="shared" ca="1" si="0"/>
        <v>51075.972508050763</v>
      </c>
      <c r="BE4" s="379">
        <f t="shared" ca="1" si="0"/>
        <v>49043.869192940241</v>
      </c>
      <c r="BF4" s="381">
        <f t="shared" ca="1" si="0"/>
        <v>76873.787080653885</v>
      </c>
      <c r="BG4" s="379">
        <f t="shared" ca="1" si="0"/>
        <v>35611.154333200626</v>
      </c>
      <c r="BH4" s="379">
        <f t="shared" ca="1" si="0"/>
        <v>26727.247396630904</v>
      </c>
      <c r="BI4" s="379">
        <f t="shared" ca="1" si="0"/>
        <v>5173.1881244881079</v>
      </c>
      <c r="BJ4" s="379">
        <f t="shared" ca="1" si="0"/>
        <v>4683.8297209294396</v>
      </c>
      <c r="BK4" s="379">
        <f t="shared" ca="1" si="0"/>
        <v>1686.7241036891937</v>
      </c>
      <c r="BL4" s="379">
        <f t="shared" ca="1" si="0"/>
        <v>-14484.564380439871</v>
      </c>
      <c r="BM4" s="379">
        <f t="shared" ca="1" si="0"/>
        <v>-17425.264678279345</v>
      </c>
      <c r="BN4" s="379">
        <f t="shared" ca="1" si="0"/>
        <v>-24881.808549332956</v>
      </c>
      <c r="BO4" s="379">
        <f t="shared" ca="1" si="0"/>
        <v>11558.198852554895</v>
      </c>
      <c r="BP4" s="379">
        <f t="shared" ca="1" si="0"/>
        <v>39917.87858296698</v>
      </c>
      <c r="BQ4" s="380">
        <f t="shared" ca="1" si="0"/>
        <v>61007.14296731475</v>
      </c>
      <c r="BR4" s="381">
        <f t="shared" ca="1" si="0"/>
        <v>129149.86678234331</v>
      </c>
      <c r="BS4" s="379">
        <f t="shared" ca="1" si="0"/>
        <v>97675.295444798132</v>
      </c>
      <c r="BT4" s="379">
        <f t="shared" ca="1" si="0"/>
        <v>109077.59404191014</v>
      </c>
      <c r="BU4" s="379">
        <f t="shared" ca="1" si="0"/>
        <v>63567.084386838949</v>
      </c>
      <c r="BV4" s="379">
        <f t="shared" ca="1" si="0"/>
        <v>154832.18838703341</v>
      </c>
      <c r="BW4" s="379">
        <f t="shared" ca="1" si="0"/>
        <v>181457.85643716657</v>
      </c>
      <c r="BX4" s="379">
        <f t="shared" ca="1" si="0"/>
        <v>135400.20217499521</v>
      </c>
      <c r="BY4" s="379">
        <f t="shared" ca="1" si="0"/>
        <v>190844.90478421957</v>
      </c>
      <c r="BZ4" s="379">
        <f t="shared" ca="1" si="0"/>
        <v>255571.87824439374</v>
      </c>
      <c r="CA4" s="379">
        <f t="shared" ca="1" si="0"/>
        <v>341510.22979288106</v>
      </c>
      <c r="CB4" s="379">
        <f t="shared" ca="1" si="0"/>
        <v>346013.01090939739</v>
      </c>
      <c r="CC4" s="380">
        <f t="shared" ca="1" si="0"/>
        <v>511655.9853304982</v>
      </c>
    </row>
    <row r="5" spans="1:81" ht="14">
      <c r="A5" s="382" t="s">
        <v>220</v>
      </c>
      <c r="B5" s="3"/>
      <c r="C5" s="144"/>
      <c r="D5" s="130">
        <f ca="1">OFFSET(Ventes!D4,0,-$D$21)+OFFSET(Ventes!D8,0,-$E$21)+OFFSET(Ventes!D12,0,-$F$21)</f>
        <v>53369.282327471075</v>
      </c>
      <c r="E5" s="130">
        <f ca="1">OFFSET(Ventes!E4,0,-$D$21)+OFFSET(Ventes!E8,0,-$E$21)+OFFSET(Ventes!E12,0,-$F$21)</f>
        <v>54498.60135238061</v>
      </c>
      <c r="F5" s="130">
        <f ca="1">OFFSET(Ventes!F4,0,-$D$21)+OFFSET(Ventes!F8,0,-$E$21)+OFFSET(Ventes!F12,0,-$F$21)</f>
        <v>55607.946814456409</v>
      </c>
      <c r="G5" s="130">
        <f ca="1">OFFSET(Ventes!G4,0,-$D$21)+OFFSET(Ventes!G8,0,-$E$21)+OFFSET(Ventes!G12,0,-$F$21)</f>
        <v>56697.780022518331</v>
      </c>
      <c r="H5" s="130">
        <f ca="1">OFFSET(Ventes!H4,0,-$D$21)+OFFSET(Ventes!H8,0,-$E$21)+OFFSET(Ventes!H12,0,-$F$21)</f>
        <v>57768.549537410967</v>
      </c>
      <c r="I5" s="131">
        <f ca="1">OFFSET(Ventes!I4,0,-$D$21)+OFFSET(Ventes!I8,0,-$E$21)+OFFSET(Ventes!I12,0,-$F$21)</f>
        <v>58820.691577780875</v>
      </c>
      <c r="J5" s="129">
        <f ca="1">OFFSET(Ventes!J4,0,-$D$21)+OFFSET(Ventes!J8,0,-$D$22)+OFFSET(Ventes!J12,0,-$D$23)</f>
        <v>59746.89223600884</v>
      </c>
      <c r="K5" s="130">
        <f ca="1">OFFSET(Ventes!K4,0,-$D$21)+OFFSET(Ventes!K8,0,-$E$21)+OFFSET(Ventes!K12,0,-$F$21)</f>
        <v>63268.460657931944</v>
      </c>
      <c r="L5" s="130">
        <f ca="1">OFFSET(Ventes!L4,0,-$D$21)+OFFSET(Ventes!L8,0,-$E$21)+OFFSET(Ventes!L12,0,-$F$21)</f>
        <v>64604.20236985154</v>
      </c>
      <c r="M5" s="130">
        <f ca="1">OFFSET(Ventes!M4,0,-$D$21)+OFFSET(Ventes!M8,0,-$E$21)+OFFSET(Ventes!M12,0,-$F$21)</f>
        <v>65209.797020400241</v>
      </c>
      <c r="N5" s="130">
        <f ca="1">OFFSET(Ventes!N4,0,-$D$21)+OFFSET(Ventes!N8,0,-$E$21)+OFFSET(Ventes!N12,0,-$F$21)</f>
        <v>66699.462638509474</v>
      </c>
      <c r="O5" s="130">
        <f ca="1">OFFSET(Ventes!O4,0,-$D$21)+OFFSET(Ventes!O8,0,-$E$21)+OFFSET(Ventes!O12,0,-$F$21)</f>
        <v>68173.83961542866</v>
      </c>
      <c r="P5" s="130">
        <f ca="1">OFFSET(Ventes!P4,0,-$D$21)+OFFSET(Ventes!P8,0,-$E$21)+OFFSET(Ventes!P12,0,-$F$21)</f>
        <v>69633.187292475734</v>
      </c>
      <c r="Q5" s="130">
        <f ca="1">OFFSET(Ventes!Q4,0,-$D$21)+OFFSET(Ventes!Q8,0,-$D$22)+OFFSET(Ventes!Q12,0,-$D$23)</f>
        <v>70677.820408424828</v>
      </c>
      <c r="R5" s="130">
        <f ca="1">OFFSET(Ventes!R4,0,-$D$21)+OFFSET(Ventes!R8,0,-$E$21)+OFFSET(Ventes!R12,0,-$F$21)</f>
        <v>73092.282901163184</v>
      </c>
      <c r="S5" s="130">
        <f ca="1">OFFSET(Ventes!S4,0,-$D$21)+OFFSET(Ventes!S8,0,-$E$21)+OFFSET(Ventes!S12,0,-$F$21)</f>
        <v>74977.564246297028</v>
      </c>
      <c r="T5" s="130">
        <f ca="1">OFFSET(Ventes!T4,0,-$D$21)+OFFSET(Ventes!T8,0,-$E$21)+OFFSET(Ventes!T12,0,-$F$21)</f>
        <v>76841.378375696935</v>
      </c>
      <c r="U5" s="131">
        <f ca="1">OFFSET(Ventes!U4,0,-$D$21)+OFFSET(Ventes!U8,0,-$E$21)+OFFSET(Ventes!U12,0,-$F$21)</f>
        <v>78684.137841929085</v>
      </c>
      <c r="V5" s="130">
        <f ca="1">OFFSET(Ventes!V4,0,-$D$21)+OFFSET(Ventes!V8,0,-$E$21)+OFFSET(Ventes!V12,0,-$F$21)</f>
        <v>82421.626236567798</v>
      </c>
      <c r="W5" s="130">
        <f ca="1">OFFSET(Ventes!W4,0,-$D$21)+OFFSET(Ventes!W8,0,-$E$21)+OFFSET(Ventes!W12,0,-$F$21)</f>
        <v>90786.385339816741</v>
      </c>
      <c r="X5" s="130">
        <f ca="1">OFFSET(Ventes!X4,0,-$D$21)+OFFSET(Ventes!X8,0,-$D$22)+OFFSET(Ventes!X12,0,-$D$23)</f>
        <v>92167.682663602071</v>
      </c>
      <c r="Y5" s="130">
        <f ca="1">OFFSET(Ventes!Y4,0,-$D$21)+OFFSET(Ventes!Y8,0,-$E$21)+OFFSET(Ventes!Y12,0,-$F$21)</f>
        <v>95397.001728872317</v>
      </c>
      <c r="Z5" s="130">
        <f ca="1">OFFSET(Ventes!Z4,0,-$D$21)+OFFSET(Ventes!Z8,0,-$E$21)+OFFSET(Ventes!Z12,0,-$F$21)</f>
        <v>97687.980366181073</v>
      </c>
      <c r="AA5" s="130">
        <f ca="1">OFFSET(Ventes!AA4,0,-$D$21)+OFFSET(Ventes!AA8,0,-$E$21)+OFFSET(Ventes!AA12,0,-$F$21)</f>
        <v>99969.535358268768</v>
      </c>
      <c r="AB5" s="130">
        <f ca="1">OFFSET(Ventes!AB4,0,-$D$21)+OFFSET(Ventes!AB8,0,-$E$21)+OFFSET(Ventes!AB12,0,-$F$21)</f>
        <v>102241.76217712485</v>
      </c>
      <c r="AC5" s="130">
        <f ca="1">OFFSET(Ventes!AC4,0,-$D$21)+OFFSET(Ventes!AC8,0,-$E$21)+OFFSET(Ventes!AC12,0,-$F$21)</f>
        <v>104613.82377342593</v>
      </c>
      <c r="AD5" s="130">
        <f ca="1">OFFSET(Ventes!AD4,0,-$D$21)+OFFSET(Ventes!AD8,0,-$E$21)+OFFSET(Ventes!AD12,0,-$F$21)</f>
        <v>107139.65827859691</v>
      </c>
      <c r="AE5" s="130">
        <f ca="1">OFFSET(Ventes!AE4,0,-$D$21)+OFFSET(Ventes!AE8,0,-$D$22)+OFFSET(Ventes!AE12,0,-$D$23)</f>
        <v>108515.99740221085</v>
      </c>
      <c r="AF5" s="130">
        <f ca="1">OFFSET(Ventes!AF4,0,-$D$21)+OFFSET(Ventes!AF8,0,-$E$21)+OFFSET(Ventes!AF12,0,-$F$21)</f>
        <v>112156.47483654613</v>
      </c>
      <c r="AG5" s="130">
        <f ca="1">OFFSET(Ventes!AG4,0,-$D$21)+OFFSET(Ventes!AG8,0,-$E$21)+OFFSET(Ventes!AG12,0,-$F$21)</f>
        <v>114647.74655404651</v>
      </c>
      <c r="AH5" s="129">
        <f ca="1">OFFSET(Ventes!AH4,0,-$D$21)+OFFSET(Ventes!AH8,0,-$E$21)+OFFSET(Ventes!AH12,0,-$F$21)</f>
        <v>123256.05990591219</v>
      </c>
      <c r="AI5" s="130">
        <f ca="1">OFFSET(Ventes!AI4,0,-$D$21)+OFFSET(Ventes!AI8,0,-$E$21)+OFFSET(Ventes!AI12,0,-$F$21)</f>
        <v>129233.83698834741</v>
      </c>
      <c r="AJ5" s="130">
        <f ca="1">OFFSET(Ventes!AJ4,0,-$D$21)+OFFSET(Ventes!AJ8,0,-$E$21)+OFFSET(Ventes!AJ12,0,-$F$21)</f>
        <v>132162.33870129858</v>
      </c>
      <c r="AK5" s="130">
        <f ca="1">OFFSET(Ventes!AK4,0,-$D$21)+OFFSET(Ventes!AK8,0,-$E$21)+OFFSET(Ventes!AK12,0,-$F$21)</f>
        <v>135087.60039387125</v>
      </c>
      <c r="AL5" s="130">
        <f ca="1">OFFSET(Ventes!AL4,0,-$D$21)+OFFSET(Ventes!AL8,0,-$D$22)+OFFSET(Ventes!AL12,0,-$D$23)</f>
        <v>136259.63280187009</v>
      </c>
      <c r="AM5" s="130">
        <f ca="1">OFFSET(Ventes!AM4,0,-$D$21)+OFFSET(Ventes!AM8,0,-$E$21)+OFFSET(Ventes!AM12,0,-$F$21)</f>
        <v>140928.2641202719</v>
      </c>
      <c r="AN5" s="130">
        <f ca="1">OFFSET(Ventes!AN4,0,-$D$21)+OFFSET(Ventes!AN8,0,-$E$21)+OFFSET(Ventes!AN12,0,-$F$21)</f>
        <v>143843.60017106889</v>
      </c>
      <c r="AO5" s="130">
        <f ca="1">OFFSET(Ventes!AO4,0,-$D$21)+OFFSET(Ventes!AO8,0,-$E$21)+OFFSET(Ventes!AO12,0,-$F$21)</f>
        <v>146755.56415511188</v>
      </c>
      <c r="AP5" s="130">
        <f ca="1">OFFSET(Ventes!AP4,0,-$D$21)+OFFSET(Ventes!AP8,0,-$E$21)+OFFSET(Ventes!AP12,0,-$F$21)</f>
        <v>149664.12671756075</v>
      </c>
      <c r="AQ5" s="130">
        <f ca="1">OFFSET(Ventes!AQ4,0,-$D$21)+OFFSET(Ventes!AQ8,0,-$E$21)+OFFSET(Ventes!AQ12,0,-$F$21)</f>
        <v>152569.25988914791</v>
      </c>
      <c r="AR5" s="130">
        <f ca="1">OFFSET(Ventes!AR4,0,-$D$21)+OFFSET(Ventes!AR8,0,-$E$21)+OFFSET(Ventes!AR12,0,-$F$21)</f>
        <v>155470.93704916022</v>
      </c>
      <c r="AS5" s="131">
        <f ca="1">OFFSET(Ventes!AS4,0,-$D$21)+OFFSET(Ventes!AS8,0,-$D$22)+OFFSET(Ventes!AS12,0,-$D$23)</f>
        <v>156427.4124308688</v>
      </c>
      <c r="AT5" s="130">
        <f ca="1">OFFSET(Ventes!AT4,0,-$D$21)+OFFSET(Ventes!AT8,0,-$E$21)+OFFSET(Ventes!AT12,0,-$F$21)</f>
        <v>173165.54995347638</v>
      </c>
      <c r="AU5" s="130">
        <f ca="1">OFFSET(Ventes!AU4,0,-$D$21)+OFFSET(Ventes!AU8,0,-$E$21)+OFFSET(Ventes!AU12,0,-$F$21)</f>
        <v>179826.40248117369</v>
      </c>
      <c r="AV5" s="130">
        <f ca="1">OFFSET(Ventes!AV4,0,-$D$21)+OFFSET(Ventes!AV8,0,-$E$21)+OFFSET(Ventes!AV12,0,-$F$21)</f>
        <v>182729.56801341218</v>
      </c>
      <c r="AW5" s="130">
        <f ca="1">OFFSET(Ventes!AW4,0,-$D$21)+OFFSET(Ventes!AW8,0,-$E$21)+OFFSET(Ventes!AW12,0,-$F$21)</f>
        <v>185624.88635824394</v>
      </c>
      <c r="AX5" s="130">
        <f ca="1">OFFSET(Ventes!AX4,0,-$D$21)+OFFSET(Ventes!AX8,0,-$E$21)+OFFSET(Ventes!AX12,0,-$F$21)</f>
        <v>188512.28566321984</v>
      </c>
      <c r="AY5" s="130">
        <f ca="1">OFFSET(Ventes!AY4,0,-$D$21)+OFFSET(Ventes!AY8,0,-$E$21)+OFFSET(Ventes!AY12,0,-$F$21)</f>
        <v>191391.69840282862</v>
      </c>
      <c r="AZ5" s="130">
        <f ca="1">OFFSET(Ventes!AZ4,0,-$D$21)+OFFSET(Ventes!AZ8,0,-$D$22)+OFFSET(Ventes!AZ12,0,-$D$23)</f>
        <v>192427.19922283079</v>
      </c>
      <c r="BA5" s="130">
        <f ca="1">OFFSET(Ventes!BA4,0,-$D$21)+OFFSET(Ventes!BA8,0,-$E$21)+OFFSET(Ventes!BA12,0,-$F$21)</f>
        <v>197694.0312511228</v>
      </c>
      <c r="BB5" s="130">
        <f ca="1">OFFSET(Ventes!BB4,0,-$D$21)+OFFSET(Ventes!BB8,0,-$E$21)+OFFSET(Ventes!BB12,0,-$F$21)</f>
        <v>201398.74581596529</v>
      </c>
      <c r="BC5" s="130">
        <f ca="1">OFFSET(Ventes!BC4,0,-$D$21)+OFFSET(Ventes!BC8,0,-$E$21)+OFFSET(Ventes!BC12,0,-$F$21)</f>
        <v>205088.56477002494</v>
      </c>
      <c r="BD5" s="130">
        <f ca="1">OFFSET(Ventes!BD4,0,-$D$21)+OFFSET(Ventes!BD8,0,-$E$21)+OFFSET(Ventes!BD12,0,-$F$21)</f>
        <v>208763.54261175927</v>
      </c>
      <c r="BE5" s="130">
        <f ca="1">OFFSET(Ventes!BE4,0,-$D$21)+OFFSET(Ventes!BE8,0,-$E$21)+OFFSET(Ventes!BE12,0,-$F$21)</f>
        <v>212423.7352031793</v>
      </c>
      <c r="BF5" s="129">
        <f ca="1">OFFSET(Ventes!BF4,0,-$D$21)+OFFSET(Ventes!BF8,0,-$E$21)+OFFSET(Ventes!BF12,0,-$F$21)</f>
        <v>241013.11503518478</v>
      </c>
      <c r="BG5" s="130">
        <f ca="1">OFFSET(Ventes!BG4,0,-$D$21)+OFFSET(Ventes!BG8,0,-$D$22)+OFFSET(Ventes!BG12,0,-$D$23)</f>
        <v>227750.76099363971</v>
      </c>
      <c r="BH5" s="130">
        <f ca="1">OFFSET(Ventes!BH4,0,-$D$21)+OFFSET(Ventes!BH8,0,-$E$21)+OFFSET(Ventes!BH12,0,-$F$21)</f>
        <v>262072.87764656215</v>
      </c>
      <c r="BI5" s="130">
        <f ca="1">OFFSET(Ventes!BI4,0,-$D$21)+OFFSET(Ventes!BI8,0,-$E$21)+OFFSET(Ventes!BI12,0,-$F$21)</f>
        <v>269608.37064130814</v>
      </c>
      <c r="BJ5" s="130">
        <f ca="1">OFFSET(Ventes!BJ4,0,-$D$21)+OFFSET(Ventes!BJ8,0,-$E$21)+OFFSET(Ventes!BJ12,0,-$F$21)</f>
        <v>279536.16399382864</v>
      </c>
      <c r="BK5" s="130">
        <f ca="1">OFFSET(Ventes!BK4,0,-$D$21)+OFFSET(Ventes!BK8,0,-$E$21)+OFFSET(Ventes!BK12,0,-$F$21)</f>
        <v>292958.39139319869</v>
      </c>
      <c r="BL5" s="130">
        <f ca="1">OFFSET(Ventes!BL4,0,-$D$21)+OFFSET(Ventes!BL8,0,-$E$21)+OFFSET(Ventes!BL12,0,-$F$21)</f>
        <v>307384.44300405146</v>
      </c>
      <c r="BM5" s="130">
        <f ca="1">OFFSET(Ventes!BM4,0,-$D$21)+OFFSET(Ventes!BM8,0,-$E$21)+OFFSET(Ventes!BM12,0,-$F$21)</f>
        <v>332934.05379998509</v>
      </c>
      <c r="BN5" s="130">
        <f ca="1">OFFSET(Ventes!BN4,0,-$D$21)+OFFSET(Ventes!BN8,0,-$D$22)+OFFSET(Ventes!BN12,0,-$D$23)</f>
        <v>348794.96754486079</v>
      </c>
      <c r="BO5" s="130">
        <f ca="1">OFFSET(Ventes!BO4,0,-$D$21)+OFFSET(Ventes!BO8,0,-$E$21)+OFFSET(Ventes!BO12,0,-$F$21)</f>
        <v>402228.43201450852</v>
      </c>
      <c r="BP5" s="130">
        <f ca="1">OFFSET(Ventes!BP4,0,-$D$21)+OFFSET(Ventes!BP8,0,-$E$21)+OFFSET(Ventes!BP12,0,-$F$21)</f>
        <v>436376.07348955789</v>
      </c>
      <c r="BQ5" s="131">
        <f ca="1">OFFSET(Ventes!BQ4,0,-$D$21)+OFFSET(Ventes!BQ8,0,-$E$21)+OFFSET(Ventes!BQ12,0,-$F$21)</f>
        <v>470196.47904290608</v>
      </c>
      <c r="BR5" s="129">
        <f ca="1">OFFSET(Ventes!BR4,0,-$D$21)+OFFSET(Ventes!BR8,0,-$E$21)+OFFSET(Ventes!BR12,0,-$F$21)</f>
        <v>559364.05792559462</v>
      </c>
      <c r="BS5" s="130">
        <f ca="1">OFFSET(Ventes!BS4,0,-$D$21)+OFFSET(Ventes!BS8,0,-$E$21)+OFFSET(Ventes!BS12,0,-$F$21)</f>
        <v>599244.55247805931</v>
      </c>
      <c r="BT5" s="130">
        <f ca="1">OFFSET(Ventes!BT4,0,-$D$21)+OFFSET(Ventes!BT8,0,-$E$21)+OFFSET(Ventes!BT12,0,-$F$21)</f>
        <v>637409.97187130491</v>
      </c>
      <c r="BU5" s="130">
        <f ca="1">OFFSET(Ventes!BU4,0,-$D$21)+OFFSET(Ventes!BU8,0,-$D$22)+OFFSET(Ventes!BU12,0,-$D$23)</f>
        <v>649565.56577583845</v>
      </c>
      <c r="BV5" s="130">
        <f ca="1">OFFSET(Ventes!BV4,0,-$D$21)+OFFSET(Ventes!BV8,0,-$E$21)+OFFSET(Ventes!BV12,0,-$F$21)</f>
        <v>716016.90357107215</v>
      </c>
      <c r="BW5" s="130">
        <f ca="1">OFFSET(Ventes!BW4,0,-$D$21)+OFFSET(Ventes!BW8,0,-$E$21)+OFFSET(Ventes!BW12,0,-$F$21)</f>
        <v>755016.76532755734</v>
      </c>
      <c r="BX5" s="130">
        <f ca="1">OFFSET(Ventes!BX4,0,-$D$21)+OFFSET(Ventes!BX8,0,-$E$21)+OFFSET(Ventes!BX12,0,-$F$21)</f>
        <v>797935.02522486181</v>
      </c>
      <c r="BY5" s="130">
        <f ca="1">OFFSET(Ventes!BY4,0,-$D$21)+OFFSET(Ventes!BY8,0,-$E$21)+OFFSET(Ventes!BY12,0,-$F$21)</f>
        <v>881461.57308296091</v>
      </c>
      <c r="BZ5" s="130">
        <f ca="1">OFFSET(Ventes!BZ4,0,-$D$21)+OFFSET(Ventes!BZ8,0,-$E$21)+OFFSET(Ventes!BZ12,0,-$F$21)</f>
        <v>989191.79224531574</v>
      </c>
      <c r="CA5" s="130">
        <f ca="1">OFFSET(Ventes!CA4,0,-$D$21)+OFFSET(Ventes!CA8,0,-$E$21)+OFFSET(Ventes!CA12,0,-$F$21)</f>
        <v>1096440.9414739078</v>
      </c>
      <c r="CB5" s="130">
        <f ca="1">OFFSET(Ventes!CB4,0,-$D$21)+OFFSET(Ventes!CB8,0,-$D$22)+OFFSET(Ventes!CB12,0,-$D$23)</f>
        <v>1130662.7778844421</v>
      </c>
      <c r="CC5" s="131">
        <f ca="1">OFFSET(Ventes!CC4,0,-$D$21)+OFFSET(Ventes!CC8,0,-$E$21)+OFFSET(Ventes!CC12,0,-$F$21)</f>
        <v>1314656.7359309788</v>
      </c>
    </row>
    <row r="6" spans="1:81" ht="14">
      <c r="A6" s="382" t="s">
        <v>221</v>
      </c>
      <c r="B6" s="3"/>
      <c r="C6" s="144"/>
      <c r="D6" s="130">
        <f ca="1">OFFSET('Couts variables'!D4,0,-$D$27)+OFFSET('Couts variables'!D5,0,-$D$27)+OFFSET('Couts variables'!D6,0,-$D$28)+OFFSET('Couts variables'!D7,0,-$D$28) +OFFSET('Couts fixes'!D2,0,-$D$29)+'Couts RH'!C5+SUM(OFFSET('Couts variables'!D8,0,0,6,1))</f>
        <v>-59523.652619521701</v>
      </c>
      <c r="E6" s="130">
        <f ca="1">OFFSET('Couts variables'!E4,0,-$D$27)+OFFSET('Couts variables'!E5,0,-$D$27)+OFFSET('Couts variables'!E6,0,-$D$28)+OFFSET('Couts variables'!E7,0,-$D$28) +OFFSET('Couts fixes'!E2,0,-$D$29)+'Couts RH'!D5+SUM(OFFSET('Couts variables'!E8,0,0,6,1))</f>
        <v>-63429.412708055999</v>
      </c>
      <c r="F6" s="130">
        <f ca="1">OFFSET('Couts variables'!F4,0,-$D$27)+OFFSET('Couts variables'!F5,0,-$D$27)+OFFSET('Couts variables'!F6,0,-$D$28)+OFFSET('Couts variables'!F7,0,-$D$28) +OFFSET('Couts fixes'!F2,0,-$D$29)+'Couts RH'!E5+SUM(OFFSET('Couts variables'!F8,0,0,6,1))</f>
        <v>-61821.694913129089</v>
      </c>
      <c r="G6" s="130">
        <f ca="1">OFFSET('Couts variables'!G4,0,-$D$27)+OFFSET('Couts variables'!G5,0,-$D$27)+OFFSET('Couts variables'!G6,0,-$D$28)+OFFSET('Couts variables'!G7,0,-$D$28) +OFFSET('Couts fixes'!G2,0,-$D$29)+'Couts RH'!F5+SUM(OFFSET('Couts variables'!G8,0,0,6,1))</f>
        <v>-61875.521643777793</v>
      </c>
      <c r="H6" s="130">
        <f ca="1">OFFSET('Couts variables'!H4,0,-$D$27)+OFFSET('Couts variables'!H5,0,-$D$27)+OFFSET('Couts variables'!H6,0,-$D$28)+OFFSET('Couts variables'!H7,0,-$D$28) +OFFSET('Couts fixes'!H2,0,-$D$29)+'Couts RH'!G5+SUM(OFFSET('Couts variables'!H8,0,0,6,1))</f>
        <v>-69301.640354364325</v>
      </c>
      <c r="I6" s="131">
        <f ca="1">OFFSET('Couts variables'!I4,0,-$D$27)+OFFSET('Couts variables'!I5,0,-$D$27)+OFFSET('Couts variables'!I6,0,-$D$28)+OFFSET('Couts variables'!I7,0,-$D$28) +OFFSET('Couts fixes'!I2,0,-$D$29)+'Couts RH'!H5+SUM(OFFSET('Couts variables'!I8,0,0,6,1))</f>
        <v>-71153.837833046127</v>
      </c>
      <c r="J6" s="129">
        <f ca="1">OFFSET('Couts variables'!J4,0,-$D$27)+OFFSET('Couts variables'!J5,0,-$D$27)+OFFSET('Couts variables'!J6,0,-$D$28)+OFFSET('Couts variables'!J7,0,-$D$28) +OFFSET('Couts fixes'!J2,0,-$D$29)+'Couts RH'!I5+SUM(OFFSET('Couts variables'!J8,0,0,6,1))</f>
        <v>-63818.465830766327</v>
      </c>
      <c r="K6" s="130">
        <f ca="1">OFFSET('Couts variables'!K4,0,-$D$27)+OFFSET('Couts variables'!K5,0,-$D$27)+OFFSET('Couts variables'!K6,0,-$D$28)+OFFSET('Couts variables'!K7,0,-$D$28) +OFFSET('Couts fixes'!K2,0,-$D$29)+'Couts RH'!J5+SUM(OFFSET('Couts variables'!K8,0,0,6,1))</f>
        <v>-74279.549801738671</v>
      </c>
      <c r="L6" s="130">
        <f ca="1">OFFSET('Couts variables'!L4,0,-$D$27)+OFFSET('Couts variables'!L5,0,-$D$27)+OFFSET('Couts variables'!L6,0,-$D$28)+OFFSET('Couts variables'!L7,0,-$D$28) +OFFSET('Couts fixes'!L2,0,-$D$29)+'Couts RH'!K5+SUM(OFFSET('Couts variables'!L8,0,0,6,1))</f>
        <v>-73097.198280826793</v>
      </c>
      <c r="M6" s="130">
        <f ca="1">OFFSET('Couts variables'!M4,0,-$D$27)+OFFSET('Couts variables'!M5,0,-$D$27)+OFFSET('Couts variables'!M6,0,-$D$28)+OFFSET('Couts variables'!M7,0,-$D$28) +OFFSET('Couts fixes'!M2,0,-$D$29)+'Couts RH'!L5+SUM(OFFSET('Couts variables'!M8,0,0,6,1))</f>
        <v>-89066.250483482872</v>
      </c>
      <c r="N6" s="130">
        <f ca="1">OFFSET('Couts variables'!N4,0,-$D$27)+OFFSET('Couts variables'!N5,0,-$D$27)+OFFSET('Couts variables'!N6,0,-$D$28)+OFFSET('Couts variables'!N7,0,-$D$28) +OFFSET('Couts fixes'!N2,0,-$D$29)+'Couts RH'!M5+SUM(OFFSET('Couts variables'!N8,0,0,6,1))</f>
        <v>-80367.463356483713</v>
      </c>
      <c r="O6" s="130">
        <f ca="1">OFFSET('Couts variables'!O4,0,-$D$27)+OFFSET('Couts variables'!O5,0,-$D$27)+OFFSET('Couts variables'!O6,0,-$D$28)+OFFSET('Couts variables'!O7,0,-$D$28) +OFFSET('Couts fixes'!O2,0,-$D$29)+'Couts RH'!N5+SUM(OFFSET('Couts variables'!O8,0,0,6,1))</f>
        <v>-81053.792767170162</v>
      </c>
      <c r="P6" s="130">
        <f ca="1">OFFSET('Couts variables'!P4,0,-$D$27)+OFFSET('Couts variables'!P5,0,-$D$27)+OFFSET('Couts variables'!P6,0,-$D$28)+OFFSET('Couts variables'!P7,0,-$D$28) +OFFSET('Couts fixes'!P2,0,-$D$29)+'Couts RH'!O5+SUM(OFFSET('Couts variables'!P8,0,0,6,1))</f>
        <v>-81929.728114613012</v>
      </c>
      <c r="Q6" s="130">
        <f ca="1">OFFSET('Couts variables'!Q4,0,-$D$27)+OFFSET('Couts variables'!Q5,0,-$D$27)+OFFSET('Couts variables'!Q6,0,-$D$28)+OFFSET('Couts variables'!Q7,0,-$D$28) +OFFSET('Couts fixes'!Q2,0,-$D$29)+'Couts RH'!P5+SUM(OFFSET('Couts variables'!Q8,0,0,6,1))</f>
        <v>-98134.619381262135</v>
      </c>
      <c r="R6" s="130">
        <f ca="1">OFFSET('Couts variables'!R4,0,-$D$27)+OFFSET('Couts variables'!R5,0,-$D$27)+OFFSET('Couts variables'!R6,0,-$D$28)+OFFSET('Couts variables'!R7,0,-$D$28) +OFFSET('Couts fixes'!R2,0,-$D$29)+'Couts RH'!Q5+SUM(OFFSET('Couts variables'!R8,0,0,6,1))</f>
        <v>-98939.326616156308</v>
      </c>
      <c r="S6" s="130">
        <f ca="1">OFFSET('Couts variables'!S4,0,-$D$27)+OFFSET('Couts variables'!S5,0,-$D$27)+OFFSET('Couts variables'!S6,0,-$D$28)+OFFSET('Couts variables'!S7,0,-$D$28) +OFFSET('Couts fixes'!S2,0,-$D$29)+'Couts RH'!R5+SUM(OFFSET('Couts variables'!S8,0,0,6,1))</f>
        <v>-124554.81315956212</v>
      </c>
      <c r="T6" s="130">
        <f ca="1">OFFSET('Couts variables'!T4,0,-$D$27)+OFFSET('Couts variables'!T5,0,-$D$27)+OFFSET('Couts variables'!T6,0,-$D$28)+OFFSET('Couts variables'!T7,0,-$D$28) +OFFSET('Couts fixes'!T2,0,-$D$29)+'Couts RH'!S5+SUM(OFFSET('Couts variables'!T8,0,0,6,1))</f>
        <v>-125380.81124454943</v>
      </c>
      <c r="U6" s="131">
        <f ca="1">OFFSET('Couts variables'!U4,0,-$D$27)+OFFSET('Couts variables'!U5,0,-$D$27)+OFFSET('Couts variables'!U6,0,-$D$28)+OFFSET('Couts variables'!U7,0,-$D$28) +OFFSET('Couts fixes'!U2,0,-$D$29)+'Couts RH'!T5+SUM(OFFSET('Couts variables'!U8,0,0,6,1))</f>
        <v>-102259.53263840367</v>
      </c>
      <c r="V6" s="130">
        <f ca="1">OFFSET('Couts variables'!V4,0,-$D$27)+OFFSET('Couts variables'!V5,0,-$D$27)+OFFSET('Couts variables'!V6,0,-$D$28)+OFFSET('Couts variables'!V7,0,-$D$28) +OFFSET('Couts fixes'!V2,0,-$D$29)+'Couts RH'!U5+SUM(OFFSET('Couts variables'!V8,0,0,6,1))</f>
        <v>-103224.08191364413</v>
      </c>
      <c r="W6" s="130">
        <f ca="1">OFFSET('Couts variables'!W4,0,-$D$27)+OFFSET('Couts variables'!W5,0,-$D$27)+OFFSET('Couts variables'!W6,0,-$D$28)+OFFSET('Couts variables'!W7,0,-$D$28) +OFFSET('Couts fixes'!W2,0,-$D$29)+'Couts RH'!V5+SUM(OFFSET('Couts variables'!W8,0,0,6,1))</f>
        <v>-105255.643622538</v>
      </c>
      <c r="X6" s="130">
        <f ca="1">OFFSET('Couts variables'!X4,0,-$D$27)+OFFSET('Couts variables'!X5,0,-$D$27)+OFFSET('Couts variables'!X6,0,-$D$28)+OFFSET('Couts variables'!X7,0,-$D$28) +OFFSET('Couts fixes'!X2,0,-$D$29)+'Couts RH'!W5+SUM(OFFSET('Couts variables'!X8,0,0,6,1))</f>
        <v>-106571.51331492681</v>
      </c>
      <c r="Y6" s="130">
        <f ca="1">OFFSET('Couts variables'!Y4,0,-$D$27)+OFFSET('Couts variables'!Y5,0,-$D$27)+OFFSET('Couts variables'!Y6,0,-$D$28)+OFFSET('Couts variables'!Y7,0,-$D$28) +OFFSET('Couts fixes'!Y2,0,-$D$29)+'Couts RH'!X5+SUM(OFFSET('Couts variables'!Y8,0,0,6,1))</f>
        <v>-119013.25367422913</v>
      </c>
      <c r="Z6" s="130">
        <f ca="1">OFFSET('Couts variables'!Z4,0,-$D$27)+OFFSET('Couts variables'!Z5,0,-$D$27)+OFFSET('Couts variables'!Z6,0,-$D$28)+OFFSET('Couts variables'!Z7,0,-$D$28) +OFFSET('Couts fixes'!Z2,0,-$D$29)+'Couts RH'!Y5+SUM(OFFSET('Couts variables'!Z8,0,0,6,1))</f>
        <v>-108654.33042687517</v>
      </c>
      <c r="AA6" s="130">
        <f ca="1">OFFSET('Couts variables'!AA4,0,-$D$27)+OFFSET('Couts variables'!AA5,0,-$D$27)+OFFSET('Couts variables'!AA6,0,-$D$28)+OFFSET('Couts variables'!AA7,0,-$D$28) +OFFSET('Couts fixes'!AA2,0,-$D$29)+'Couts RH'!Z5+SUM(OFFSET('Couts variables'!AA8,0,0,6,1))</f>
        <v>-109721.16328466681</v>
      </c>
      <c r="AB6" s="130">
        <f ca="1">OFFSET('Couts variables'!AB4,0,-$D$27)+OFFSET('Couts variables'!AB5,0,-$D$27)+OFFSET('Couts variables'!AB6,0,-$D$28)+OFFSET('Couts variables'!AB7,0,-$D$28) +OFFSET('Couts fixes'!AB2,0,-$D$29)+'Couts RH'!AA5+SUM(OFFSET('Couts variables'!AB8,0,0,6,1))</f>
        <v>-111073.64622018463</v>
      </c>
      <c r="AC6" s="130">
        <f ca="1">OFFSET('Couts variables'!AC4,0,-$D$27)+OFFSET('Couts variables'!AC5,0,-$D$27)+OFFSET('Couts variables'!AC6,0,-$D$28)+OFFSET('Couts variables'!AC7,0,-$D$28) +OFFSET('Couts fixes'!AC2,0,-$D$29)+'Couts RH'!AB5+SUM(OFFSET('Couts variables'!AC8,0,0,6,1))</f>
        <v>-112234.74711056272</v>
      </c>
      <c r="AD6" s="130">
        <f ca="1">OFFSET('Couts variables'!AD4,0,-$D$27)+OFFSET('Couts variables'!AD5,0,-$D$27)+OFFSET('Couts variables'!AD6,0,-$D$28)+OFFSET('Couts variables'!AD7,0,-$D$28) +OFFSET('Couts fixes'!AD2,0,-$D$29)+'Couts RH'!AC5+SUM(OFFSET('Couts variables'!AD8,0,0,6,1))</f>
        <v>-113419.70318394991</v>
      </c>
      <c r="AE6" s="130">
        <f ca="1">OFFSET('Couts variables'!AE4,0,-$D$27)+OFFSET('Couts variables'!AE5,0,-$D$27)+OFFSET('Couts variables'!AE6,0,-$D$28)+OFFSET('Couts variables'!AE7,0,-$D$28) +OFFSET('Couts fixes'!AE2,0,-$D$29)+'Couts RH'!AD5+SUM(OFFSET('Couts variables'!AE8,0,0,6,1))</f>
        <v>-114622.2657884506</v>
      </c>
      <c r="AF6" s="130">
        <f ca="1">OFFSET('Couts variables'!AF4,0,-$D$27)+OFFSET('Couts variables'!AF5,0,-$D$27)+OFFSET('Couts variables'!AF6,0,-$D$28)+OFFSET('Couts variables'!AF7,0,-$D$28) +OFFSET('Couts fixes'!AF2,0,-$D$29)+'Couts RH'!AE5+SUM(OFFSET('Couts variables'!AF8,0,0,6,1))</f>
        <v>-115842.11818498519</v>
      </c>
      <c r="AG6" s="130">
        <f ca="1">OFFSET('Couts variables'!AG4,0,-$D$27)+OFFSET('Couts variables'!AG5,0,-$D$27)+OFFSET('Couts variables'!AG6,0,-$D$28)+OFFSET('Couts variables'!AG7,0,-$D$28) +OFFSET('Couts fixes'!AG2,0,-$D$29)+'Couts RH'!AF5+SUM(OFFSET('Couts variables'!AG8,0,0,6,1))</f>
        <v>-116064.30813484835</v>
      </c>
      <c r="AH6" s="129">
        <f ca="1">OFFSET('Couts variables'!AH4,0,-$D$27)+OFFSET('Couts variables'!AH5,0,-$D$27)+OFFSET('Couts variables'!AH6,0,-$D$28)+OFFSET('Couts variables'!AH7,0,-$D$28) +OFFSET('Couts fixes'!AH2,0,-$D$29)+'Couts RH'!AG5+SUM(OFFSET('Couts variables'!AH8,0,0,6,1))</f>
        <v>-117163.73595623762</v>
      </c>
      <c r="AI6" s="130">
        <f ca="1">OFFSET('Couts variables'!AI4,0,-$D$27)+OFFSET('Couts variables'!AI5,0,-$D$27)+OFFSET('Couts variables'!AI6,0,-$D$28)+OFFSET('Couts variables'!AI7,0,-$D$28) +OFFSET('Couts fixes'!AI2,0,-$D$29)+'Couts RH'!AH5+SUM(OFFSET('Couts variables'!AI8,0,0,6,1))</f>
        <v>-118678.61389753953</v>
      </c>
      <c r="AJ6" s="130">
        <f ca="1">OFFSET('Couts variables'!AJ4,0,-$D$27)+OFFSET('Couts variables'!AJ5,0,-$D$27)+OFFSET('Couts variables'!AJ6,0,-$D$28)+OFFSET('Couts variables'!AJ7,0,-$D$28) +OFFSET('Couts fixes'!AJ2,0,-$D$29)+'Couts RH'!AI5+SUM(OFFSET('Couts variables'!AJ8,0,0,6,1))</f>
        <v>-119822.23774691948</v>
      </c>
      <c r="AK6" s="130">
        <f ca="1">OFFSET('Couts variables'!AK4,0,-$D$27)+OFFSET('Couts variables'!AK5,0,-$D$27)+OFFSET('Couts variables'!AK6,0,-$D$28)+OFFSET('Couts variables'!AK7,0,-$D$28) +OFFSET('Couts fixes'!AK2,0,-$D$29)+'Couts RH'!AJ5+SUM(OFFSET('Couts variables'!AK8,0,0,6,1))</f>
        <v>-132389.20578800622</v>
      </c>
      <c r="AL6" s="130">
        <f ca="1">OFFSET('Couts variables'!AL4,0,-$D$27)+OFFSET('Couts variables'!AL5,0,-$D$27)+OFFSET('Couts variables'!AL6,0,-$D$28)+OFFSET('Couts variables'!AL7,0,-$D$28) +OFFSET('Couts fixes'!AL2,0,-$D$29)+'Couts RH'!AK5+SUM(OFFSET('Couts variables'!AL8,0,0,6,1))</f>
        <v>-122152.303595465</v>
      </c>
      <c r="AM6" s="130">
        <f ca="1">OFFSET('Couts variables'!AM4,0,-$D$27)+OFFSET('Couts variables'!AM5,0,-$D$27)+OFFSET('Couts variables'!AM6,0,-$D$28)+OFFSET('Couts variables'!AM7,0,-$D$28) +OFFSET('Couts fixes'!AM2,0,-$D$29)+'Couts RH'!AL5+SUM(OFFSET('Couts variables'!AM8,0,0,6,1))</f>
        <v>-123338.05687886837</v>
      </c>
      <c r="AN6" s="130">
        <f ca="1">OFFSET('Couts variables'!AN4,0,-$D$27)+OFFSET('Couts variables'!AN5,0,-$D$27)+OFFSET('Couts variables'!AN6,0,-$D$28)+OFFSET('Couts variables'!AN7,0,-$D$28) +OFFSET('Couts fixes'!AN2,0,-$D$29)+'Couts RH'!AM5+SUM(OFFSET('Couts variables'!AN8,0,0,6,1))</f>
        <v>-124537.36895330271</v>
      </c>
      <c r="AO6" s="130">
        <f ca="1">OFFSET('Couts variables'!AO4,0,-$D$27)+OFFSET('Couts variables'!AO5,0,-$D$27)+OFFSET('Couts variables'!AO6,0,-$D$28)+OFFSET('Couts variables'!AO7,0,-$D$28) +OFFSET('Couts fixes'!AO2,0,-$D$29)+'Couts RH'!AN5+SUM(OFFSET('Couts variables'!AO8,0,0,6,1))</f>
        <v>-125750.05195999608</v>
      </c>
      <c r="AP6" s="130">
        <f ca="1">OFFSET('Couts variables'!AP4,0,-$D$27)+OFFSET('Couts variables'!AP5,0,-$D$27)+OFFSET('Couts variables'!AP6,0,-$D$28)+OFFSET('Couts variables'!AP7,0,-$D$28) +OFFSET('Couts fixes'!AP2,0,-$D$29)+'Couts RH'!AO5+SUM(OFFSET('Couts variables'!AP8,0,0,6,1))</f>
        <v>-126975.92058698737</v>
      </c>
      <c r="AQ6" s="130">
        <f ca="1">OFFSET('Couts variables'!AQ4,0,-$D$27)+OFFSET('Couts variables'!AQ5,0,-$D$27)+OFFSET('Couts variables'!AQ6,0,-$D$28)+OFFSET('Couts variables'!AQ7,0,-$D$28) +OFFSET('Couts fixes'!AQ2,0,-$D$29)+'Couts RH'!AP5+SUM(OFFSET('Couts variables'!AQ8,0,0,6,1))</f>
        <v>-128214.79203984782</v>
      </c>
      <c r="AR6" s="130">
        <f ca="1">OFFSET('Couts variables'!AR4,0,-$D$27)+OFFSET('Couts variables'!AR5,0,-$D$27)+OFFSET('Couts variables'!AR6,0,-$D$28)+OFFSET('Couts variables'!AR7,0,-$D$28) +OFFSET('Couts fixes'!AR2,0,-$D$29)+'Couts RH'!AQ5+SUM(OFFSET('Couts variables'!AR8,0,0,6,1))</f>
        <v>-129466.48601247159</v>
      </c>
      <c r="AS6" s="131">
        <f ca="1">OFFSET('Couts variables'!AS4,0,-$D$27)+OFFSET('Couts variables'!AS5,0,-$D$27)+OFFSET('Couts variables'!AS6,0,-$D$28)+OFFSET('Couts variables'!AS7,0,-$D$28) +OFFSET('Couts fixes'!AS2,0,-$D$29)+'Couts RH'!AR5+SUM(OFFSET('Couts variables'!AS8,0,0,6,1))</f>
        <v>-127779.06369867537</v>
      </c>
      <c r="AT6" s="130">
        <f ca="1">OFFSET('Couts variables'!AT4,0,-$D$27)+OFFSET('Couts variables'!AT5,0,-$D$27)+OFFSET('Couts variables'!AT6,0,-$D$28)+OFFSET('Couts variables'!AT7,0,-$D$28) +OFFSET('Couts fixes'!AT2,0,-$D$29)+'Couts RH'!AS5+SUM(OFFSET('Couts variables'!AT8,0,0,6,1))</f>
        <v>-128586.41751381775</v>
      </c>
      <c r="AU6" s="130">
        <f ca="1">OFFSET('Couts variables'!AU4,0,-$D$27)+OFFSET('Couts variables'!AU5,0,-$D$27)+OFFSET('Couts variables'!AU6,0,-$D$28)+OFFSET('Couts variables'!AU7,0,-$D$28) +OFFSET('Couts fixes'!AU2,0,-$D$29)+'Couts RH'!AT5+SUM(OFFSET('Couts variables'!AU8,0,0,6,1))</f>
        <v>-135921.73218994474</v>
      </c>
      <c r="AV6" s="130">
        <f ca="1">OFFSET('Couts variables'!AV4,0,-$D$27)+OFFSET('Couts variables'!AV5,0,-$D$27)+OFFSET('Couts variables'!AV6,0,-$D$28)+OFFSET('Couts variables'!AV7,0,-$D$28) +OFFSET('Couts fixes'!AV2,0,-$D$29)+'Couts RH'!AU5+SUM(OFFSET('Couts variables'!AV8,0,0,6,1))</f>
        <v>-136733.20224154973</v>
      </c>
      <c r="AW6" s="130">
        <f ca="1">OFFSET('Couts variables'!AW4,0,-$D$27)+OFFSET('Couts variables'!AW5,0,-$D$27)+OFFSET('Couts variables'!AW6,0,-$D$28)+OFFSET('Couts variables'!AW7,0,-$D$28) +OFFSET('Couts fixes'!AW2,0,-$D$29)+'Couts RH'!AV5+SUM(OFFSET('Couts variables'!AW8,0,0,6,1))</f>
        <v>-151443.54476455579</v>
      </c>
      <c r="AX6" s="130">
        <f ca="1">OFFSET('Couts variables'!AX4,0,-$D$27)+OFFSET('Couts variables'!AX5,0,-$D$27)+OFFSET('Couts variables'!AX6,0,-$D$28)+OFFSET('Couts variables'!AX7,0,-$D$28) +OFFSET('Couts fixes'!AX2,0,-$D$29)+'Couts RH'!AW5+SUM(OFFSET('Couts variables'!AX8,0,0,6,1))</f>
        <v>-138363.67601481543</v>
      </c>
      <c r="AY6" s="130">
        <f ca="1">OFFSET('Couts variables'!AY4,0,-$D$27)+OFFSET('Couts variables'!AY5,0,-$D$27)+OFFSET('Couts variables'!AY6,0,-$D$28)+OFFSET('Couts variables'!AY7,0,-$D$28) +OFFSET('Couts fixes'!AY2,0,-$D$29)+'Couts RH'!AX5+SUM(OFFSET('Couts variables'!AY8,0,0,6,1))</f>
        <v>-139182.57565570832</v>
      </c>
      <c r="AZ6" s="130">
        <f ca="1">OFFSET('Couts variables'!AZ4,0,-$D$27)+OFFSET('Couts variables'!AZ5,0,-$D$27)+OFFSET('Couts variables'!AZ6,0,-$D$28)+OFFSET('Couts variables'!AZ7,0,-$D$28) +OFFSET('Couts fixes'!AZ2,0,-$D$29)+'Couts RH'!AY5+SUM(OFFSET('Couts variables'!AZ8,0,0,6,1))</f>
        <v>-141115.3233210037</v>
      </c>
      <c r="BA6" s="130">
        <f ca="1">OFFSET('Couts variables'!BA4,0,-$D$27)+OFFSET('Couts variables'!BA5,0,-$D$27)+OFFSET('Couts variables'!BA6,0,-$D$28)+OFFSET('Couts variables'!BA7,0,-$D$28) +OFFSET('Couts fixes'!BA2,0,-$D$29)+'Couts RH'!AZ5+SUM(OFFSET('Couts variables'!BA8,0,0,6,1))</f>
        <v>-142106.1494936349</v>
      </c>
      <c r="BB6" s="130">
        <f ca="1">OFFSET('Couts variables'!BB4,0,-$D$27)+OFFSET('Couts variables'!BB5,0,-$D$27)+OFFSET('Couts variables'!BB6,0,-$D$28)+OFFSET('Couts variables'!BB7,0,-$D$28) +OFFSET('Couts fixes'!BB2,0,-$D$29)+'Couts RH'!BA5+SUM(OFFSET('Couts variables'!BB8,0,0,6,1))</f>
        <v>-143122.4363304892</v>
      </c>
      <c r="BC6" s="130">
        <f ca="1">OFFSET('Couts variables'!BC4,0,-$D$27)+OFFSET('Couts variables'!BC5,0,-$D$27)+OFFSET('Couts variables'!BC6,0,-$D$28)+OFFSET('Couts variables'!BC7,0,-$D$28) +OFFSET('Couts fixes'!BC2,0,-$D$29)+'Couts RH'!BB5+SUM(OFFSET('Couts variables'!BC8,0,0,6,1))</f>
        <v>-150403.93627605616</v>
      </c>
      <c r="BD6" s="130">
        <f ca="1">OFFSET('Couts variables'!BD4,0,-$D$27)+OFFSET('Couts variables'!BD5,0,-$D$27)+OFFSET('Couts variables'!BD6,0,-$D$28)+OFFSET('Couts variables'!BD7,0,-$D$28) +OFFSET('Couts fixes'!BD2,0,-$D$29)+'Couts RH'!BC5+SUM(OFFSET('Couts variables'!BD8,0,0,6,1))</f>
        <v>-157687.57010370851</v>
      </c>
      <c r="BE6" s="130">
        <f ca="1">OFFSET('Couts variables'!BE4,0,-$D$27)+OFFSET('Couts variables'!BE5,0,-$D$27)+OFFSET('Couts variables'!BE6,0,-$D$28)+OFFSET('Couts variables'!BE7,0,-$D$28) +OFFSET('Couts fixes'!BE2,0,-$D$29)+'Couts RH'!BD5+SUM(OFFSET('Couts variables'!BE8,0,0,6,1))</f>
        <v>-163379.86601023906</v>
      </c>
      <c r="BF6" s="129">
        <f ca="1">OFFSET('Couts variables'!BF4,0,-$D$27)+OFFSET('Couts variables'!BF5,0,-$D$27)+OFFSET('Couts variables'!BF6,0,-$D$28)+OFFSET('Couts variables'!BF7,0,-$D$28) +OFFSET('Couts fixes'!BF2,0,-$D$29)+'Couts RH'!BE5+SUM(OFFSET('Couts variables'!BF8,0,0,6,1))</f>
        <v>-164139.32795453089</v>
      </c>
      <c r="BG6" s="130">
        <f ca="1">OFFSET('Couts variables'!BG4,0,-$D$27)+OFFSET('Couts variables'!BG5,0,-$D$27)+OFFSET('Couts variables'!BG6,0,-$D$28)+OFFSET('Couts variables'!BG7,0,-$D$28) +OFFSET('Couts fixes'!BG2,0,-$D$29)+'Couts RH'!BF5+SUM(OFFSET('Couts variables'!BG8,0,0,6,1))</f>
        <v>-192139.60666043908</v>
      </c>
      <c r="BH6" s="130">
        <f ca="1">OFFSET('Couts variables'!BH4,0,-$D$27)+OFFSET('Couts variables'!BH5,0,-$D$27)+OFFSET('Couts variables'!BH6,0,-$D$28)+OFFSET('Couts variables'!BH7,0,-$D$28) +OFFSET('Couts fixes'!BH2,0,-$D$29)+'Couts RH'!BG5+SUM(OFFSET('Couts variables'!BH8,0,0,6,1))</f>
        <v>-235345.63024993124</v>
      </c>
      <c r="BI6" s="130">
        <f ca="1">OFFSET('Couts variables'!BI4,0,-$D$27)+OFFSET('Couts variables'!BI5,0,-$D$27)+OFFSET('Couts variables'!BI6,0,-$D$28)+OFFSET('Couts variables'!BI7,0,-$D$28) +OFFSET('Couts fixes'!BI2,0,-$D$29)+'Couts RH'!BH5+SUM(OFFSET('Couts variables'!BI8,0,0,6,1))</f>
        <v>-264435.18251682003</v>
      </c>
      <c r="BJ6" s="130">
        <f ca="1">OFFSET('Couts variables'!BJ4,0,-$D$27)+OFFSET('Couts variables'!BJ5,0,-$D$27)+OFFSET('Couts variables'!BJ6,0,-$D$28)+OFFSET('Couts variables'!BJ7,0,-$D$28) +OFFSET('Couts fixes'!BJ2,0,-$D$29)+'Couts RH'!BI5+SUM(OFFSET('Couts variables'!BJ8,0,0,6,1))</f>
        <v>-274852.3342728992</v>
      </c>
      <c r="BK6" s="130">
        <f ca="1">OFFSET('Couts variables'!BK4,0,-$D$27)+OFFSET('Couts variables'!BK5,0,-$D$27)+OFFSET('Couts variables'!BK6,0,-$D$28)+OFFSET('Couts variables'!BK7,0,-$D$28) +OFFSET('Couts fixes'!BK2,0,-$D$29)+'Couts RH'!BJ5+SUM(OFFSET('Couts variables'!BK8,0,0,6,1))</f>
        <v>-291271.6672895095</v>
      </c>
      <c r="BL6" s="130">
        <f ca="1">OFFSET('Couts variables'!BL4,0,-$D$27)+OFFSET('Couts variables'!BL5,0,-$D$27)+OFFSET('Couts variables'!BL6,0,-$D$28)+OFFSET('Couts variables'!BL7,0,-$D$28) +OFFSET('Couts fixes'!BL2,0,-$D$29)+'Couts RH'!BK5+SUM(OFFSET('Couts variables'!BL8,0,0,6,1))</f>
        <v>-321869.00738449133</v>
      </c>
      <c r="BM6" s="130">
        <f ca="1">OFFSET('Couts variables'!BM4,0,-$D$27)+OFFSET('Couts variables'!BM5,0,-$D$27)+OFFSET('Couts variables'!BM6,0,-$D$28)+OFFSET('Couts variables'!BM7,0,-$D$28) +OFFSET('Couts fixes'!BM2,0,-$D$29)+'Couts RH'!BL5+SUM(OFFSET('Couts variables'!BM8,0,0,6,1))</f>
        <v>-350359.31847826444</v>
      </c>
      <c r="BN6" s="130">
        <f ca="1">OFFSET('Couts variables'!BN4,0,-$D$27)+OFFSET('Couts variables'!BN5,0,-$D$27)+OFFSET('Couts variables'!BN6,0,-$D$28)+OFFSET('Couts variables'!BN7,0,-$D$28) +OFFSET('Couts fixes'!BN2,0,-$D$29)+'Couts RH'!BM5+SUM(OFFSET('Couts variables'!BN8,0,0,6,1))</f>
        <v>-373676.77609419374</v>
      </c>
      <c r="BO6" s="130">
        <f ca="1">OFFSET('Couts variables'!BO4,0,-$D$27)+OFFSET('Couts variables'!BO5,0,-$D$27)+OFFSET('Couts variables'!BO6,0,-$D$28)+OFFSET('Couts variables'!BO7,0,-$D$28) +OFFSET('Couts fixes'!BO2,0,-$D$29)+'Couts RH'!BN5+SUM(OFFSET('Couts variables'!BO8,0,0,6,1))</f>
        <v>-390670.23316195363</v>
      </c>
      <c r="BP6" s="130">
        <f ca="1">OFFSET('Couts variables'!BP4,0,-$D$27)+OFFSET('Couts variables'!BP5,0,-$D$27)+OFFSET('Couts variables'!BP6,0,-$D$28)+OFFSET('Couts variables'!BP7,0,-$D$28) +OFFSET('Couts fixes'!BP2,0,-$D$29)+'Couts RH'!BO5+SUM(OFFSET('Couts variables'!BP8,0,0,6,1))</f>
        <v>-396458.19490659091</v>
      </c>
      <c r="BQ6" s="131">
        <f ca="1">OFFSET('Couts variables'!BQ4,0,-$D$27)+OFFSET('Couts variables'!BQ5,0,-$D$27)+OFFSET('Couts variables'!BQ6,0,-$D$28)+OFFSET('Couts variables'!BQ7,0,-$D$28) +OFFSET('Couts fixes'!BQ2,0,-$D$29)+'Couts RH'!BP5+SUM(OFFSET('Couts variables'!BQ8,0,0,6,1))</f>
        <v>-409189.33607559133</v>
      </c>
      <c r="BR6" s="129">
        <f ca="1">OFFSET('Couts variables'!BR4,0,-$D$27)+OFFSET('Couts variables'!BR5,0,-$D$27)+OFFSET('Couts variables'!BR6,0,-$D$28)+OFFSET('Couts variables'!BR7,0,-$D$28) +OFFSET('Couts fixes'!BR2,0,-$D$29)+'Couts RH'!BQ5+SUM(OFFSET('Couts variables'!BR8,0,0,6,1))</f>
        <v>-430214.19114325132</v>
      </c>
      <c r="BS6" s="130">
        <f ca="1">OFFSET('Couts variables'!BS4,0,-$D$27)+OFFSET('Couts variables'!BS5,0,-$D$27)+OFFSET('Couts variables'!BS6,0,-$D$28)+OFFSET('Couts variables'!BS7,0,-$D$28) +OFFSET('Couts fixes'!BS2,0,-$D$29)+'Couts RH'!BR5+SUM(OFFSET('Couts variables'!BS8,0,0,6,1))</f>
        <v>-501569.25703326118</v>
      </c>
      <c r="BT6" s="130">
        <f ca="1">OFFSET('Couts variables'!BT4,0,-$D$27)+OFFSET('Couts variables'!BT5,0,-$D$27)+OFFSET('Couts variables'!BT6,0,-$D$28)+OFFSET('Couts variables'!BT7,0,-$D$28) +OFFSET('Couts fixes'!BT2,0,-$D$29)+'Couts RH'!BS5+SUM(OFFSET('Couts variables'!BT8,0,0,6,1))</f>
        <v>-528332.37782939477</v>
      </c>
      <c r="BU6" s="130">
        <f ca="1">OFFSET('Couts variables'!BU4,0,-$D$27)+OFFSET('Couts variables'!BU5,0,-$D$27)+OFFSET('Couts variables'!BU6,0,-$D$28)+OFFSET('Couts variables'!BU7,0,-$D$28) +OFFSET('Couts fixes'!BU2,0,-$D$29)+'Couts RH'!BT5+SUM(OFFSET('Couts variables'!BU8,0,0,6,1))</f>
        <v>-585998.4813889995</v>
      </c>
      <c r="BV6" s="130">
        <f ca="1">OFFSET('Couts variables'!BV4,0,-$D$27)+OFFSET('Couts variables'!BV5,0,-$D$27)+OFFSET('Couts variables'!BV6,0,-$D$28)+OFFSET('Couts variables'!BV7,0,-$D$28) +OFFSET('Couts fixes'!BV2,0,-$D$29)+'Couts RH'!BU5+SUM(OFFSET('Couts variables'!BV8,0,0,6,1))</f>
        <v>-561184.71518403874</v>
      </c>
      <c r="BW6" s="130">
        <f ca="1">OFFSET('Couts variables'!BW4,0,-$D$27)+OFFSET('Couts variables'!BW5,0,-$D$27)+OFFSET('Couts variables'!BW6,0,-$D$28)+OFFSET('Couts variables'!BW7,0,-$D$28) +OFFSET('Couts fixes'!BW2,0,-$D$29)+'Couts RH'!BV5+SUM(OFFSET('Couts variables'!BW8,0,0,6,1))</f>
        <v>-573558.90889039077</v>
      </c>
      <c r="BX6" s="130">
        <f ca="1">OFFSET('Couts variables'!BX4,0,-$D$27)+OFFSET('Couts variables'!BX5,0,-$D$27)+OFFSET('Couts variables'!BX6,0,-$D$28)+OFFSET('Couts variables'!BX7,0,-$D$28) +OFFSET('Couts fixes'!BX2,0,-$D$29)+'Couts RH'!BW5+SUM(OFFSET('Couts variables'!BX8,0,0,6,1))</f>
        <v>-662534.82304986659</v>
      </c>
      <c r="BY6" s="130">
        <f ca="1">OFFSET('Couts variables'!BY4,0,-$D$27)+OFFSET('Couts variables'!BY5,0,-$D$27)+OFFSET('Couts variables'!BY6,0,-$D$28)+OFFSET('Couts variables'!BY7,0,-$D$28) +OFFSET('Couts fixes'!BY2,0,-$D$29)+'Couts RH'!BX5+SUM(OFFSET('Couts variables'!BY8,0,0,6,1))</f>
        <v>-690616.66829874134</v>
      </c>
      <c r="BZ6" s="130">
        <f ca="1">OFFSET('Couts variables'!BZ4,0,-$D$27)+OFFSET('Couts variables'!BZ5,0,-$D$27)+OFFSET('Couts variables'!BZ6,0,-$D$28)+OFFSET('Couts variables'!BZ7,0,-$D$28) +OFFSET('Couts fixes'!BZ2,0,-$D$29)+'Couts RH'!BY5+SUM(OFFSET('Couts variables'!BZ8,0,0,6,1))</f>
        <v>-733619.914000922</v>
      </c>
      <c r="CA6" s="130">
        <f ca="1">OFFSET('Couts variables'!CA4,0,-$D$27)+OFFSET('Couts variables'!CA5,0,-$D$27)+OFFSET('Couts variables'!CA6,0,-$D$28)+OFFSET('Couts variables'!CA7,0,-$D$28) +OFFSET('Couts fixes'!CA2,0,-$D$29)+'Couts RH'!BZ5+SUM(OFFSET('Couts variables'!CA8,0,0,6,1))</f>
        <v>-754930.71168102673</v>
      </c>
      <c r="CB6" s="130">
        <f ca="1">OFFSET('Couts variables'!CB4,0,-$D$27)+OFFSET('Couts variables'!CB5,0,-$D$27)+OFFSET('Couts variables'!CB6,0,-$D$28)+OFFSET('Couts variables'!CB7,0,-$D$28) +OFFSET('Couts fixes'!CB2,0,-$D$29)+'Couts RH'!CA5+SUM(OFFSET('Couts variables'!CB8,0,0,6,1))</f>
        <v>-784649.76697504474</v>
      </c>
      <c r="CC6" s="130">
        <f ca="1">OFFSET('Couts variables'!CC4,0,-$D$27)+OFFSET('Couts variables'!CC5,0,-$D$27)+OFFSET('Couts variables'!CC6,0,-$D$28)+OFFSET('Couts variables'!CC7,0,-$D$28) +OFFSET('Couts fixes'!CC2,0,-$D$29)+'Couts RH'!CB5+SUM(OFFSET('Couts variables'!CC8,0,0,6,1))</f>
        <v>-803000.75060048059</v>
      </c>
    </row>
    <row r="7" spans="1:81" ht="14">
      <c r="A7" s="383" t="s">
        <v>222</v>
      </c>
      <c r="B7" s="2"/>
      <c r="C7" s="197"/>
      <c r="D7" s="379">
        <f t="shared" ref="D7:CC7" ca="1" si="1">SUM(D8:D9)</f>
        <v>-1680.8333333333335</v>
      </c>
      <c r="E7" s="379">
        <f t="shared" ca="1" si="1"/>
        <v>-680.83333333333337</v>
      </c>
      <c r="F7" s="379">
        <f t="shared" ca="1" si="1"/>
        <v>-1680.8333333333335</v>
      </c>
      <c r="G7" s="379">
        <f t="shared" ca="1" si="1"/>
        <v>-680.83333333333337</v>
      </c>
      <c r="H7" s="379">
        <f t="shared" ca="1" si="1"/>
        <v>1319.1666666666665</v>
      </c>
      <c r="I7" s="380">
        <f t="shared" ca="1" si="1"/>
        <v>-1680.8333333333335</v>
      </c>
      <c r="J7" s="381">
        <f t="shared" ca="1" si="1"/>
        <v>-29680.833333333332</v>
      </c>
      <c r="K7" s="379">
        <f t="shared" ca="1" si="1"/>
        <v>-1680.8333333333335</v>
      </c>
      <c r="L7" s="379">
        <f t="shared" ca="1" si="1"/>
        <v>-680.83333333333337</v>
      </c>
      <c r="M7" s="379">
        <f t="shared" ca="1" si="1"/>
        <v>-680.83333333333337</v>
      </c>
      <c r="N7" s="379">
        <f t="shared" ca="1" si="1"/>
        <v>-680.83333333333337</v>
      </c>
      <c r="O7" s="379">
        <f t="shared" ca="1" si="1"/>
        <v>-3680.8333333333335</v>
      </c>
      <c r="P7" s="379">
        <f t="shared" ca="1" si="1"/>
        <v>-680.83333333333337</v>
      </c>
      <c r="Q7" s="379">
        <f t="shared" ca="1" si="1"/>
        <v>-680.83333333333337</v>
      </c>
      <c r="R7" s="379">
        <f t="shared" ca="1" si="1"/>
        <v>-680.83333333333337</v>
      </c>
      <c r="S7" s="379">
        <f t="shared" ca="1" si="1"/>
        <v>-680.83333333333337</v>
      </c>
      <c r="T7" s="379">
        <f t="shared" ca="1" si="1"/>
        <v>-680.83333333333337</v>
      </c>
      <c r="U7" s="380">
        <f t="shared" ca="1" si="1"/>
        <v>-680.83333333333337</v>
      </c>
      <c r="V7" s="379">
        <f t="shared" ca="1" si="1"/>
        <v>-680.83333333333337</v>
      </c>
      <c r="W7" s="379">
        <f t="shared" ca="1" si="1"/>
        <v>-680.83333333333337</v>
      </c>
      <c r="X7" s="379">
        <f t="shared" ca="1" si="1"/>
        <v>-680.83333333333337</v>
      </c>
      <c r="Y7" s="379">
        <f t="shared" ca="1" si="1"/>
        <v>-680.83333333333337</v>
      </c>
      <c r="Z7" s="379">
        <f t="shared" ca="1" si="1"/>
        <v>-680.83333333333337</v>
      </c>
      <c r="AA7" s="379">
        <f t="shared" ca="1" si="1"/>
        <v>-680.83333333333337</v>
      </c>
      <c r="AB7" s="379">
        <f t="shared" ca="1" si="1"/>
        <v>-680.83333333333337</v>
      </c>
      <c r="AC7" s="379">
        <f t="shared" ca="1" si="1"/>
        <v>-680.83333333333337</v>
      </c>
      <c r="AD7" s="379">
        <f t="shared" ca="1" si="1"/>
        <v>-680.83333333333337</v>
      </c>
      <c r="AE7" s="379">
        <f t="shared" ca="1" si="1"/>
        <v>-680.83333333333337</v>
      </c>
      <c r="AF7" s="379">
        <f t="shared" ca="1" si="1"/>
        <v>-680.83333333333337</v>
      </c>
      <c r="AG7" s="379">
        <f t="shared" ca="1" si="1"/>
        <v>-680.83333333333337</v>
      </c>
      <c r="AH7" s="381">
        <f t="shared" ca="1" si="1"/>
        <v>-680.83333333333337</v>
      </c>
      <c r="AI7" s="379">
        <f t="shared" ca="1" si="1"/>
        <v>-680.83333333333337</v>
      </c>
      <c r="AJ7" s="379">
        <f t="shared" ca="1" si="1"/>
        <v>-680.83333333333337</v>
      </c>
      <c r="AK7" s="379">
        <f t="shared" ca="1" si="1"/>
        <v>-680.83333333333337</v>
      </c>
      <c r="AL7" s="379">
        <f t="shared" ca="1" si="1"/>
        <v>-680.83333333333337</v>
      </c>
      <c r="AM7" s="379">
        <f t="shared" ca="1" si="1"/>
        <v>-680.83333333333337</v>
      </c>
      <c r="AN7" s="379">
        <f t="shared" ca="1" si="1"/>
        <v>-680.83333333333337</v>
      </c>
      <c r="AO7" s="379">
        <f t="shared" ca="1" si="1"/>
        <v>-680.83333333333337</v>
      </c>
      <c r="AP7" s="379">
        <f t="shared" ca="1" si="1"/>
        <v>-680.83333333333337</v>
      </c>
      <c r="AQ7" s="379">
        <f t="shared" ca="1" si="1"/>
        <v>-680.83333333333337</v>
      </c>
      <c r="AR7" s="379">
        <f t="shared" ca="1" si="1"/>
        <v>-680.83333333333337</v>
      </c>
      <c r="AS7" s="380">
        <f t="shared" ca="1" si="1"/>
        <v>-680.83333333333337</v>
      </c>
      <c r="AT7" s="379">
        <f t="shared" ca="1" si="1"/>
        <v>-25680.833333333332</v>
      </c>
      <c r="AU7" s="379">
        <f t="shared" ca="1" si="1"/>
        <v>-680.83333333333337</v>
      </c>
      <c r="AV7" s="379">
        <f t="shared" ca="1" si="1"/>
        <v>-680.83333333333337</v>
      </c>
      <c r="AW7" s="379">
        <f t="shared" ca="1" si="1"/>
        <v>-680.83333333333337</v>
      </c>
      <c r="AX7" s="379">
        <f t="shared" ca="1" si="1"/>
        <v>-680.83333333333337</v>
      </c>
      <c r="AY7" s="379">
        <f t="shared" ca="1" si="1"/>
        <v>-680.83333333333337</v>
      </c>
      <c r="AZ7" s="379">
        <f t="shared" ca="1" si="1"/>
        <v>-680.83333333333337</v>
      </c>
      <c r="BA7" s="379">
        <f t="shared" ca="1" si="1"/>
        <v>-1680.8333333333335</v>
      </c>
      <c r="BB7" s="379">
        <f t="shared" ca="1" si="1"/>
        <v>-1680.8333333333335</v>
      </c>
      <c r="BC7" s="379">
        <f t="shared" ca="1" si="1"/>
        <v>-1680.8333333333335</v>
      </c>
      <c r="BD7" s="379">
        <f t="shared" ca="1" si="1"/>
        <v>-680.83333333333337</v>
      </c>
      <c r="BE7" s="379">
        <f t="shared" ca="1" si="1"/>
        <v>-680.83333333333337</v>
      </c>
      <c r="BF7" s="381">
        <f t="shared" ca="1" si="1"/>
        <v>-49680.833333333328</v>
      </c>
      <c r="BG7" s="379">
        <f t="shared" ca="1" si="1"/>
        <v>-680.83333333333337</v>
      </c>
      <c r="BH7" s="379">
        <f t="shared" ca="1" si="1"/>
        <v>-5680.833333333333</v>
      </c>
      <c r="BI7" s="379">
        <f t="shared" ca="1" si="1"/>
        <v>-2680.8333333333335</v>
      </c>
      <c r="BJ7" s="379">
        <f t="shared" ca="1" si="1"/>
        <v>-2680.8333333333335</v>
      </c>
      <c r="BK7" s="379">
        <f t="shared" ca="1" si="1"/>
        <v>-4680.833333333333</v>
      </c>
      <c r="BL7" s="379">
        <f t="shared" ca="1" si="1"/>
        <v>-2680.8333333333335</v>
      </c>
      <c r="BM7" s="379">
        <f t="shared" ca="1" si="1"/>
        <v>-2680.8333333333335</v>
      </c>
      <c r="BN7" s="379">
        <f t="shared" ca="1" si="1"/>
        <v>-680.83333333333337</v>
      </c>
      <c r="BO7" s="379">
        <f t="shared" ca="1" si="1"/>
        <v>-1680.8333333333335</v>
      </c>
      <c r="BP7" s="379">
        <f t="shared" ca="1" si="1"/>
        <v>-2680.8333333333335</v>
      </c>
      <c r="BQ7" s="380">
        <f t="shared" ca="1" si="1"/>
        <v>-1680.8333333333335</v>
      </c>
      <c r="BR7" s="381">
        <f t="shared" ca="1" si="1"/>
        <v>-47680.833333333328</v>
      </c>
      <c r="BS7" s="379">
        <f t="shared" ca="1" si="1"/>
        <v>-1680.8333333333335</v>
      </c>
      <c r="BT7" s="379">
        <f t="shared" ca="1" si="1"/>
        <v>-680.83333333333337</v>
      </c>
      <c r="BU7" s="379">
        <f t="shared" ca="1" si="1"/>
        <v>-680.83333333333337</v>
      </c>
      <c r="BV7" s="379">
        <f t="shared" ca="1" si="1"/>
        <v>-3680.8333333333335</v>
      </c>
      <c r="BW7" s="379">
        <f t="shared" ca="1" si="1"/>
        <v>-1680.8333333333335</v>
      </c>
      <c r="BX7" s="379">
        <f t="shared" ca="1" si="1"/>
        <v>-3680.8333333333335</v>
      </c>
      <c r="BY7" s="379">
        <f t="shared" ca="1" si="1"/>
        <v>-680.83333333333337</v>
      </c>
      <c r="BZ7" s="379">
        <f t="shared" ca="1" si="1"/>
        <v>-2680.8333333333335</v>
      </c>
      <c r="CA7" s="379">
        <f t="shared" ca="1" si="1"/>
        <v>-680.83333333333337</v>
      </c>
      <c r="CB7" s="379">
        <f t="shared" ca="1" si="1"/>
        <v>-680.83333333333337</v>
      </c>
      <c r="CC7" s="380">
        <f t="shared" ca="1" si="1"/>
        <v>-680.83333333333337</v>
      </c>
    </row>
    <row r="8" spans="1:81" ht="14">
      <c r="A8" s="382" t="s">
        <v>220</v>
      </c>
      <c r="B8" s="3"/>
      <c r="C8" s="40"/>
      <c r="D8" s="11"/>
      <c r="I8" s="10"/>
      <c r="J8" s="40"/>
      <c r="U8" s="10"/>
      <c r="AH8" s="40"/>
      <c r="AS8" s="10"/>
      <c r="BF8" s="40"/>
      <c r="BQ8" s="10"/>
      <c r="BR8" s="40"/>
      <c r="CC8" s="10"/>
    </row>
    <row r="9" spans="1:81" ht="14">
      <c r="A9" s="382" t="s">
        <v>221</v>
      </c>
      <c r="B9" s="3"/>
      <c r="C9" s="40"/>
      <c r="D9" s="130">
        <f ca="1">OFFSET(CAPEX!D3,0,-D27)</f>
        <v>-1680.8333333333335</v>
      </c>
      <c r="E9" s="130">
        <f ca="1">OFFSET(CAPEX!E3,0,-E27)</f>
        <v>-680.83333333333337</v>
      </c>
      <c r="F9" s="130">
        <f ca="1">OFFSET(CAPEX!F3,0,-F27)</f>
        <v>-1680.8333333333335</v>
      </c>
      <c r="G9" s="130">
        <f ca="1">OFFSET(CAPEX!G3,0,-G27)</f>
        <v>-680.83333333333337</v>
      </c>
      <c r="H9" s="130">
        <f ca="1">OFFSET(CAPEX!H3,0,-H27)</f>
        <v>1319.1666666666665</v>
      </c>
      <c r="I9" s="131">
        <f ca="1">OFFSET(CAPEX!I3,0,-I27)</f>
        <v>-1680.8333333333335</v>
      </c>
      <c r="J9" s="129">
        <f ca="1">OFFSET(CAPEX!J3,0,-J27)</f>
        <v>-29680.833333333332</v>
      </c>
      <c r="K9" s="130">
        <f ca="1">OFFSET(CAPEX!K3,0,-K27)</f>
        <v>-1680.8333333333335</v>
      </c>
      <c r="L9" s="130">
        <f ca="1">OFFSET(CAPEX!L3,0,-L27)</f>
        <v>-680.83333333333337</v>
      </c>
      <c r="M9" s="130">
        <f ca="1">OFFSET(CAPEX!M3,0,-M27)</f>
        <v>-680.83333333333337</v>
      </c>
      <c r="N9" s="130">
        <f ca="1">OFFSET(CAPEX!N3,0,-N27)</f>
        <v>-680.83333333333337</v>
      </c>
      <c r="O9" s="130">
        <f ca="1">OFFSET(CAPEX!O3,0,-O27)</f>
        <v>-3680.8333333333335</v>
      </c>
      <c r="P9" s="130">
        <f ca="1">OFFSET(CAPEX!P3,0,-P27)</f>
        <v>-680.83333333333337</v>
      </c>
      <c r="Q9" s="130">
        <f ca="1">OFFSET(CAPEX!Q3,0,-Q27)</f>
        <v>-680.83333333333337</v>
      </c>
      <c r="R9" s="130">
        <f ca="1">OFFSET(CAPEX!R3,0,-R27)</f>
        <v>-680.83333333333337</v>
      </c>
      <c r="S9" s="130">
        <f ca="1">OFFSET(CAPEX!S3,0,-S27)</f>
        <v>-680.83333333333337</v>
      </c>
      <c r="T9" s="130">
        <f ca="1">OFFSET(CAPEX!T3,0,-T27)</f>
        <v>-680.83333333333337</v>
      </c>
      <c r="U9" s="131">
        <f ca="1">OFFSET(CAPEX!U3,0,-U27)</f>
        <v>-680.83333333333337</v>
      </c>
      <c r="V9" s="130">
        <f ca="1">OFFSET(CAPEX!V3,0,-V27)</f>
        <v>-680.83333333333337</v>
      </c>
      <c r="W9" s="130">
        <f ca="1">OFFSET(CAPEX!W3,0,-W27)</f>
        <v>-680.83333333333337</v>
      </c>
      <c r="X9" s="130">
        <f ca="1">OFFSET(CAPEX!X3,0,-X27)</f>
        <v>-680.83333333333337</v>
      </c>
      <c r="Y9" s="130">
        <f ca="1">OFFSET(CAPEX!Y3,0,-Y27)</f>
        <v>-680.83333333333337</v>
      </c>
      <c r="Z9" s="130">
        <f ca="1">OFFSET(CAPEX!Z3,0,-Z27)</f>
        <v>-680.83333333333337</v>
      </c>
      <c r="AA9" s="130">
        <f ca="1">OFFSET(CAPEX!AA3,0,-AA27)</f>
        <v>-680.83333333333337</v>
      </c>
      <c r="AB9" s="130">
        <f ca="1">OFFSET(CAPEX!AB3,0,-AB27)</f>
        <v>-680.83333333333337</v>
      </c>
      <c r="AC9" s="130">
        <f ca="1">OFFSET(CAPEX!AC3,0,-AC27)</f>
        <v>-680.83333333333337</v>
      </c>
      <c r="AD9" s="130">
        <f ca="1">OFFSET(CAPEX!AD3,0,-AD27)</f>
        <v>-680.83333333333337</v>
      </c>
      <c r="AE9" s="130">
        <f ca="1">OFFSET(CAPEX!AE3,0,-AE27)</f>
        <v>-680.83333333333337</v>
      </c>
      <c r="AF9" s="130">
        <f ca="1">OFFSET(CAPEX!AF3,0,-AF27)</f>
        <v>-680.83333333333337</v>
      </c>
      <c r="AG9" s="130">
        <f ca="1">OFFSET(CAPEX!AG3,0,-AG27)</f>
        <v>-680.83333333333337</v>
      </c>
      <c r="AH9" s="129">
        <f ca="1">OFFSET(CAPEX!AH3,0,-AH27)</f>
        <v>-680.83333333333337</v>
      </c>
      <c r="AI9" s="130">
        <f ca="1">OFFSET(CAPEX!AI3,0,-AI27)</f>
        <v>-680.83333333333337</v>
      </c>
      <c r="AJ9" s="130">
        <f ca="1">OFFSET(CAPEX!AJ3,0,-AJ27)</f>
        <v>-680.83333333333337</v>
      </c>
      <c r="AK9" s="130">
        <f ca="1">OFFSET(CAPEX!AK3,0,-AK27)</f>
        <v>-680.83333333333337</v>
      </c>
      <c r="AL9" s="130">
        <f ca="1">OFFSET(CAPEX!AL3,0,-AL27)</f>
        <v>-680.83333333333337</v>
      </c>
      <c r="AM9" s="130">
        <f ca="1">OFFSET(CAPEX!AM3,0,-AM27)</f>
        <v>-680.83333333333337</v>
      </c>
      <c r="AN9" s="130">
        <f ca="1">OFFSET(CAPEX!AN3,0,-AN27)</f>
        <v>-680.83333333333337</v>
      </c>
      <c r="AO9" s="130">
        <f ca="1">OFFSET(CAPEX!AO3,0,-AO27)</f>
        <v>-680.83333333333337</v>
      </c>
      <c r="AP9" s="130">
        <f ca="1">OFFSET(CAPEX!AP3,0,-AP27)</f>
        <v>-680.83333333333337</v>
      </c>
      <c r="AQ9" s="130">
        <f ca="1">OFFSET(CAPEX!AQ3,0,-AQ27)</f>
        <v>-680.83333333333337</v>
      </c>
      <c r="AR9" s="130">
        <f ca="1">OFFSET(CAPEX!AR3,0,-AR27)</f>
        <v>-680.83333333333337</v>
      </c>
      <c r="AS9" s="131">
        <f ca="1">OFFSET(CAPEX!AS3,0,-AS27)</f>
        <v>-680.83333333333337</v>
      </c>
      <c r="AT9" s="130">
        <f ca="1">OFFSET(CAPEX!AT3,0,-AT27)</f>
        <v>-25680.833333333332</v>
      </c>
      <c r="AU9" s="130">
        <f ca="1">OFFSET(CAPEX!AU3,0,-AU27)</f>
        <v>-680.83333333333337</v>
      </c>
      <c r="AV9" s="130">
        <f ca="1">OFFSET(CAPEX!AV3,0,-AV27)</f>
        <v>-680.83333333333337</v>
      </c>
      <c r="AW9" s="130">
        <f ca="1">OFFSET(CAPEX!AW3,0,-AW27)</f>
        <v>-680.83333333333337</v>
      </c>
      <c r="AX9" s="130">
        <f ca="1">OFFSET(CAPEX!AX3,0,-AX27)</f>
        <v>-680.83333333333337</v>
      </c>
      <c r="AY9" s="130">
        <f ca="1">OFFSET(CAPEX!AY3,0,-AY27)</f>
        <v>-680.83333333333337</v>
      </c>
      <c r="AZ9" s="130">
        <f ca="1">OFFSET(CAPEX!AZ3,0,-AZ27)</f>
        <v>-680.83333333333337</v>
      </c>
      <c r="BA9" s="130">
        <f ca="1">OFFSET(CAPEX!BA3,0,-BA27)</f>
        <v>-1680.8333333333335</v>
      </c>
      <c r="BB9" s="130">
        <f ca="1">OFFSET(CAPEX!BB3,0,-BB27)</f>
        <v>-1680.8333333333335</v>
      </c>
      <c r="BC9" s="130">
        <f ca="1">OFFSET(CAPEX!BC3,0,-BC27)</f>
        <v>-1680.8333333333335</v>
      </c>
      <c r="BD9" s="130">
        <f ca="1">OFFSET(CAPEX!BD3,0,-BD27)</f>
        <v>-680.83333333333337</v>
      </c>
      <c r="BE9" s="130">
        <f ca="1">OFFSET(CAPEX!BE3,0,-BE27)</f>
        <v>-680.83333333333337</v>
      </c>
      <c r="BF9" s="129">
        <f ca="1">OFFSET(CAPEX!BF3,0,-BF27)</f>
        <v>-49680.833333333328</v>
      </c>
      <c r="BG9" s="130">
        <f ca="1">OFFSET(CAPEX!BG3,0,-BG27)</f>
        <v>-680.83333333333337</v>
      </c>
      <c r="BH9" s="130">
        <f ca="1">OFFSET(CAPEX!BH3,0,-BH27)</f>
        <v>-5680.833333333333</v>
      </c>
      <c r="BI9" s="130">
        <f ca="1">OFFSET(CAPEX!BI3,0,-BI27)</f>
        <v>-2680.8333333333335</v>
      </c>
      <c r="BJ9" s="130">
        <f ca="1">OFFSET(CAPEX!BJ3,0,-BJ27)</f>
        <v>-2680.8333333333335</v>
      </c>
      <c r="BK9" s="130">
        <f ca="1">OFFSET(CAPEX!BK3,0,-BK27)</f>
        <v>-4680.833333333333</v>
      </c>
      <c r="BL9" s="130">
        <f ca="1">OFFSET(CAPEX!BL3,0,-BL27)</f>
        <v>-2680.8333333333335</v>
      </c>
      <c r="BM9" s="130">
        <f ca="1">OFFSET(CAPEX!BM3,0,-BM27)</f>
        <v>-2680.8333333333335</v>
      </c>
      <c r="BN9" s="130">
        <f ca="1">OFFSET(CAPEX!BN3,0,-BN27)</f>
        <v>-680.83333333333337</v>
      </c>
      <c r="BO9" s="130">
        <f ca="1">OFFSET(CAPEX!BO3,0,-BO27)</f>
        <v>-1680.8333333333335</v>
      </c>
      <c r="BP9" s="130">
        <f ca="1">OFFSET(CAPEX!BP3,0,-BP27)</f>
        <v>-2680.8333333333335</v>
      </c>
      <c r="BQ9" s="131">
        <f ca="1">OFFSET(CAPEX!BQ3,0,-BQ27)</f>
        <v>-1680.8333333333335</v>
      </c>
      <c r="BR9" s="129">
        <f ca="1">OFFSET(CAPEX!BR3,0,-BR27)</f>
        <v>-47680.833333333328</v>
      </c>
      <c r="BS9" s="130">
        <f ca="1">OFFSET(CAPEX!BS3,0,-BS27)</f>
        <v>-1680.8333333333335</v>
      </c>
      <c r="BT9" s="130">
        <f ca="1">OFFSET(CAPEX!BT3,0,-BT27)</f>
        <v>-680.83333333333337</v>
      </c>
      <c r="BU9" s="130">
        <f ca="1">OFFSET(CAPEX!BU3,0,-BU27)</f>
        <v>-680.83333333333337</v>
      </c>
      <c r="BV9" s="130">
        <f ca="1">OFFSET(CAPEX!BV3,0,-BV27)</f>
        <v>-3680.8333333333335</v>
      </c>
      <c r="BW9" s="130">
        <f ca="1">OFFSET(CAPEX!BW3,0,-BW27)</f>
        <v>-1680.8333333333335</v>
      </c>
      <c r="BX9" s="130">
        <f ca="1">OFFSET(CAPEX!BX3,0,-BX27)</f>
        <v>-3680.8333333333335</v>
      </c>
      <c r="BY9" s="130">
        <f ca="1">OFFSET(CAPEX!BY3,0,-BY27)</f>
        <v>-680.83333333333337</v>
      </c>
      <c r="BZ9" s="130">
        <f ca="1">OFFSET(CAPEX!BZ3,0,-BZ27)</f>
        <v>-2680.8333333333335</v>
      </c>
      <c r="CA9" s="130">
        <f ca="1">OFFSET(CAPEX!CA3,0,-CA27)</f>
        <v>-680.83333333333337</v>
      </c>
      <c r="CB9" s="130">
        <f ca="1">OFFSET(CAPEX!CB3,0,-CB27)</f>
        <v>-680.83333333333337</v>
      </c>
      <c r="CC9" s="131">
        <f ca="1">OFFSET(CAPEX!CC3,0,-CC27)</f>
        <v>-680.83333333333337</v>
      </c>
    </row>
    <row r="10" spans="1:81" ht="14">
      <c r="A10" s="383" t="s">
        <v>223</v>
      </c>
      <c r="B10" s="2"/>
      <c r="C10" s="381">
        <f t="shared" ref="C10:CC10" si="2">SUM(C11:C12)</f>
        <v>-6978.5</v>
      </c>
      <c r="D10" s="379">
        <f t="shared" si="2"/>
        <v>-787</v>
      </c>
      <c r="E10" s="379">
        <f t="shared" si="2"/>
        <v>-787</v>
      </c>
      <c r="F10" s="379">
        <f t="shared" si="2"/>
        <v>112290.5</v>
      </c>
      <c r="G10" s="379">
        <f t="shared" si="2"/>
        <v>-787</v>
      </c>
      <c r="H10" s="379">
        <f t="shared" si="2"/>
        <v>-787</v>
      </c>
      <c r="I10" s="380">
        <f t="shared" si="2"/>
        <v>-12651.5</v>
      </c>
      <c r="J10" s="381">
        <f t="shared" si="2"/>
        <v>-787</v>
      </c>
      <c r="K10" s="379">
        <f t="shared" si="2"/>
        <v>-787</v>
      </c>
      <c r="L10" s="379">
        <f t="shared" si="2"/>
        <v>380225.9375</v>
      </c>
      <c r="M10" s="379">
        <f t="shared" si="2"/>
        <v>-2037</v>
      </c>
      <c r="N10" s="379">
        <f t="shared" si="2"/>
        <v>-2037</v>
      </c>
      <c r="O10" s="379">
        <f t="shared" si="2"/>
        <v>-13668</v>
      </c>
      <c r="P10" s="379">
        <f t="shared" si="2"/>
        <v>-2037</v>
      </c>
      <c r="Q10" s="379">
        <f t="shared" si="2"/>
        <v>-2037</v>
      </c>
      <c r="R10" s="379">
        <f t="shared" si="2"/>
        <v>-13552</v>
      </c>
      <c r="S10" s="379">
        <f t="shared" si="2"/>
        <v>-2037</v>
      </c>
      <c r="T10" s="379">
        <f t="shared" si="2"/>
        <v>-2037</v>
      </c>
      <c r="U10" s="380">
        <f t="shared" si="2"/>
        <v>-13437</v>
      </c>
      <c r="V10" s="379">
        <f t="shared" si="2"/>
        <v>-2037</v>
      </c>
      <c r="W10" s="379">
        <f t="shared" si="2"/>
        <v>-1250</v>
      </c>
      <c r="X10" s="379">
        <f t="shared" si="2"/>
        <v>101556.0625</v>
      </c>
      <c r="Y10" s="379">
        <f t="shared" si="2"/>
        <v>-1250</v>
      </c>
      <c r="Z10" s="379">
        <f t="shared" si="2"/>
        <v>-1250</v>
      </c>
      <c r="AA10" s="379">
        <f t="shared" si="2"/>
        <v>-222799</v>
      </c>
      <c r="AB10" s="379">
        <f t="shared" si="2"/>
        <v>-1250</v>
      </c>
      <c r="AC10" s="379">
        <f t="shared" si="2"/>
        <v>-1250</v>
      </c>
      <c r="AD10" s="379">
        <f t="shared" si="2"/>
        <v>-12301</v>
      </c>
      <c r="AE10" s="379">
        <f t="shared" si="2"/>
        <v>-1250</v>
      </c>
      <c r="AF10" s="379">
        <f t="shared" si="2"/>
        <v>-1250</v>
      </c>
      <c r="AG10" s="379">
        <f t="shared" si="2"/>
        <v>-12185</v>
      </c>
      <c r="AH10" s="381">
        <f t="shared" si="2"/>
        <v>-1250</v>
      </c>
      <c r="AI10" s="379">
        <f t="shared" si="2"/>
        <v>-1250</v>
      </c>
      <c r="AJ10" s="379">
        <f t="shared" si="2"/>
        <v>102021.0625</v>
      </c>
      <c r="AK10" s="379">
        <f t="shared" si="2"/>
        <v>-1250</v>
      </c>
      <c r="AL10" s="379">
        <f t="shared" si="2"/>
        <v>-1250</v>
      </c>
      <c r="AM10" s="379">
        <f t="shared" si="2"/>
        <v>-11952</v>
      </c>
      <c r="AN10" s="379">
        <f t="shared" si="2"/>
        <v>-1250</v>
      </c>
      <c r="AO10" s="379">
        <f t="shared" si="2"/>
        <v>-1250</v>
      </c>
      <c r="AP10" s="379">
        <f t="shared" si="2"/>
        <v>-11836</v>
      </c>
      <c r="AQ10" s="379">
        <f t="shared" si="2"/>
        <v>-1250</v>
      </c>
      <c r="AR10" s="379">
        <f t="shared" si="2"/>
        <v>-1250</v>
      </c>
      <c r="AS10" s="380">
        <f t="shared" si="2"/>
        <v>-6721</v>
      </c>
      <c r="AT10" s="379">
        <f t="shared" si="2"/>
        <v>-1250</v>
      </c>
      <c r="AU10" s="379">
        <f t="shared" si="2"/>
        <v>-1250</v>
      </c>
      <c r="AV10" s="379">
        <f t="shared" si="2"/>
        <v>132301.4375</v>
      </c>
      <c r="AW10" s="379">
        <f t="shared" si="2"/>
        <v>-9548.6111111111113</v>
      </c>
      <c r="AX10" s="379">
        <f t="shared" si="2"/>
        <v>-9513.8888888888887</v>
      </c>
      <c r="AY10" s="379">
        <f t="shared" si="2"/>
        <v>-14832.166666666668</v>
      </c>
      <c r="AZ10" s="379">
        <f t="shared" si="2"/>
        <v>-9444.4444444444453</v>
      </c>
      <c r="BA10" s="379">
        <f t="shared" si="2"/>
        <v>-9409.7222222222226</v>
      </c>
      <c r="BB10" s="379">
        <f t="shared" si="2"/>
        <v>-14669</v>
      </c>
      <c r="BC10" s="379">
        <f t="shared" si="2"/>
        <v>-9340.2777777777792</v>
      </c>
      <c r="BD10" s="379">
        <f t="shared" si="2"/>
        <v>-9305.5555555555566</v>
      </c>
      <c r="BE10" s="379">
        <f t="shared" si="2"/>
        <v>-14505.833333333334</v>
      </c>
      <c r="BF10" s="381">
        <f t="shared" si="2"/>
        <v>-9236.1111111111113</v>
      </c>
      <c r="BG10" s="379">
        <f t="shared" si="2"/>
        <v>-9201.3888888888905</v>
      </c>
      <c r="BH10" s="379">
        <f t="shared" si="2"/>
        <v>221394.43098958331</v>
      </c>
      <c r="BI10" s="379">
        <f t="shared" si="2"/>
        <v>-9131.9444444444453</v>
      </c>
      <c r="BJ10" s="379">
        <f t="shared" si="2"/>
        <v>-9097.2222222222226</v>
      </c>
      <c r="BK10" s="379">
        <f t="shared" si="2"/>
        <v>-14240</v>
      </c>
      <c r="BL10" s="379">
        <f t="shared" si="2"/>
        <v>-9027.7777777777792</v>
      </c>
      <c r="BM10" s="379">
        <f t="shared" si="2"/>
        <v>-8993.0555555555566</v>
      </c>
      <c r="BN10" s="379">
        <f t="shared" si="2"/>
        <v>-14016.333333333334</v>
      </c>
      <c r="BO10" s="379">
        <f t="shared" si="2"/>
        <v>-8923.6111111111113</v>
      </c>
      <c r="BP10" s="379">
        <f t="shared" si="2"/>
        <v>-8888.8888888888887</v>
      </c>
      <c r="BQ10" s="380">
        <f t="shared" si="2"/>
        <v>-8854.1666666666679</v>
      </c>
      <c r="BR10" s="381">
        <f t="shared" si="2"/>
        <v>-8819.4444444444453</v>
      </c>
      <c r="BS10" s="379">
        <f t="shared" si="2"/>
        <v>-8784.7222222222226</v>
      </c>
      <c r="BT10" s="379">
        <f t="shared" si="2"/>
        <v>304301.37441406248</v>
      </c>
      <c r="BU10" s="379">
        <f t="shared" si="2"/>
        <v>-8715.2777777777774</v>
      </c>
      <c r="BV10" s="379">
        <f t="shared" si="2"/>
        <v>-8680.5555555555566</v>
      </c>
      <c r="BW10" s="379">
        <f t="shared" si="2"/>
        <v>-8645.8333333333339</v>
      </c>
      <c r="BX10" s="379">
        <f t="shared" si="2"/>
        <v>-8611.1111111111113</v>
      </c>
      <c r="BY10" s="379">
        <f t="shared" si="2"/>
        <v>-8576.3888888888887</v>
      </c>
      <c r="BZ10" s="379">
        <f t="shared" si="2"/>
        <v>-8541.6666666666661</v>
      </c>
      <c r="CA10" s="379">
        <f t="shared" si="2"/>
        <v>-8506.9444444444453</v>
      </c>
      <c r="CB10" s="379">
        <f t="shared" si="2"/>
        <v>-8472.2222222222226</v>
      </c>
      <c r="CC10" s="380">
        <f t="shared" si="2"/>
        <v>-8437.5</v>
      </c>
    </row>
    <row r="11" spans="1:81" ht="14">
      <c r="A11" s="382" t="s">
        <v>220</v>
      </c>
      <c r="B11" s="3"/>
      <c r="C11" s="129">
        <f>'Annexe E  Financement'!C34+'Annexe E  Financement'!C39+'Annexe E  Financement'!C20</f>
        <v>0</v>
      </c>
      <c r="D11" s="130">
        <f>'Annexe E  Financement'!D34+'Annexe E  Financement'!D39+'Annexe E  Financement'!D20</f>
        <v>0</v>
      </c>
      <c r="E11" s="130">
        <f>'Annexe E  Financement'!E34+'Annexe E  Financement'!E39+'Annexe E  Financement'!E20</f>
        <v>0</v>
      </c>
      <c r="F11" s="130">
        <f>'Annexe E  Financement'!F34+'Annexe E  Financement'!F39+'Annexe E  Financement'!F20</f>
        <v>120000</v>
      </c>
      <c r="G11" s="130">
        <f>'Annexe E  Financement'!G34+'Annexe E  Financement'!G39+'Annexe E  Financement'!G20</f>
        <v>0</v>
      </c>
      <c r="H11" s="130">
        <f>'Annexe E  Financement'!H34+'Annexe E  Financement'!H39+'Annexe E  Financement'!H20</f>
        <v>0</v>
      </c>
      <c r="I11" s="131">
        <f>'Annexe E  Financement'!I34+'Annexe E  Financement'!I39+'Annexe E  Financement'!I20</f>
        <v>0</v>
      </c>
      <c r="J11" s="129">
        <f>'Annexe E  Financement'!J34+'Annexe E  Financement'!J39+'Annexe E  Financement'!J20</f>
        <v>0</v>
      </c>
      <c r="K11" s="130">
        <f>'Annexe E  Financement'!K34+'Annexe E  Financement'!K39+'Annexe E  Financement'!K20</f>
        <v>0</v>
      </c>
      <c r="L11" s="130">
        <f>'Annexe E  Financement'!L34+'Annexe E  Financement'!L39+'Annexe E  Financement'!L20</f>
        <v>392760.9375</v>
      </c>
      <c r="M11" s="130">
        <f>'Annexe E  Financement'!M34+'Annexe E  Financement'!M39+'Annexe E  Financement'!M20</f>
        <v>0</v>
      </c>
      <c r="N11" s="130">
        <f>'Annexe E  Financement'!N34+'Annexe E  Financement'!N39+'Annexe E  Financement'!N20</f>
        <v>0</v>
      </c>
      <c r="O11" s="130">
        <f>'Annexe E  Financement'!O34+'Annexe E  Financement'!O39+'Annexe E  Financement'!O20</f>
        <v>0</v>
      </c>
      <c r="P11" s="130">
        <f>'Annexe E  Financement'!P34+'Annexe E  Financement'!P39+'Annexe E  Financement'!P20</f>
        <v>0</v>
      </c>
      <c r="Q11" s="130">
        <f>'Annexe E  Financement'!Q34+'Annexe E  Financement'!Q39+'Annexe E  Financement'!Q20</f>
        <v>0</v>
      </c>
      <c r="R11" s="130">
        <f>'Annexe E  Financement'!R34+'Annexe E  Financement'!R39+'Annexe E  Financement'!R20</f>
        <v>0</v>
      </c>
      <c r="S11" s="130">
        <f>'Annexe E  Financement'!S34+'Annexe E  Financement'!S39+'Annexe E  Financement'!S20</f>
        <v>0</v>
      </c>
      <c r="T11" s="130">
        <f>'Annexe E  Financement'!T34+'Annexe E  Financement'!T39+'Annexe E  Financement'!T20</f>
        <v>0</v>
      </c>
      <c r="U11" s="131">
        <f>'Annexe E  Financement'!U34+'Annexe E  Financement'!U39+'Annexe E  Financement'!U20</f>
        <v>0</v>
      </c>
      <c r="V11" s="130">
        <f>'Annexe E  Financement'!V34+'Annexe E  Financement'!V39+'Annexe E  Financement'!V20</f>
        <v>0</v>
      </c>
      <c r="W11" s="130">
        <f>'Annexe E  Financement'!W34+'Annexe E  Financement'!W39+'Annexe E  Financement'!W20</f>
        <v>0</v>
      </c>
      <c r="X11" s="130">
        <f>'Annexe E  Financement'!X34+'Annexe E  Financement'!X39+'Annexe E  Financement'!X20</f>
        <v>114089.0625</v>
      </c>
      <c r="Y11" s="130">
        <f>'Annexe E  Financement'!Y34+'Annexe E  Financement'!Y39+'Annexe E  Financement'!Y20</f>
        <v>0</v>
      </c>
      <c r="Z11" s="130">
        <f>'Annexe E  Financement'!Z34+'Annexe E  Financement'!Z39+'Annexe E  Financement'!Z20</f>
        <v>0</v>
      </c>
      <c r="AA11" s="130">
        <f>'Annexe E  Financement'!AA34+'Annexe E  Financement'!AA39+'Annexe E  Financement'!AA20</f>
        <v>0</v>
      </c>
      <c r="AB11" s="130">
        <f>'Annexe E  Financement'!AB34+'Annexe E  Financement'!AB39+'Annexe E  Financement'!AB20</f>
        <v>0</v>
      </c>
      <c r="AC11" s="130">
        <f>'Annexe E  Financement'!AC34+'Annexe E  Financement'!AC39+'Annexe E  Financement'!AC20</f>
        <v>0</v>
      </c>
      <c r="AD11" s="130">
        <f>'Annexe E  Financement'!AD34+'Annexe E  Financement'!AD39+'Annexe E  Financement'!AD20</f>
        <v>0</v>
      </c>
      <c r="AE11" s="130">
        <f>'Annexe E  Financement'!AE34+'Annexe E  Financement'!AE39+'Annexe E  Financement'!AE20</f>
        <v>0</v>
      </c>
      <c r="AF11" s="130">
        <f>'Annexe E  Financement'!AF34+'Annexe E  Financement'!AF39+'Annexe E  Financement'!AF20</f>
        <v>0</v>
      </c>
      <c r="AG11" s="130">
        <f>'Annexe E  Financement'!AG34+'Annexe E  Financement'!AG39+'Annexe E  Financement'!AG20</f>
        <v>0</v>
      </c>
      <c r="AH11" s="129">
        <f>'Annexe E  Financement'!AH34+'Annexe E  Financement'!AH39+'Annexe E  Financement'!AH20</f>
        <v>0</v>
      </c>
      <c r="AI11" s="130">
        <f>'Annexe E  Financement'!AI34+'Annexe E  Financement'!AI39+'Annexe E  Financement'!AI20</f>
        <v>0</v>
      </c>
      <c r="AJ11" s="130">
        <f>'Annexe E  Financement'!AJ34+'Annexe E  Financement'!AJ39+'Annexe E  Financement'!AJ20</f>
        <v>114089.0625</v>
      </c>
      <c r="AK11" s="130">
        <f>'Annexe E  Financement'!AK34+'Annexe E  Financement'!AK39+'Annexe E  Financement'!AK20</f>
        <v>0</v>
      </c>
      <c r="AL11" s="130">
        <f>'Annexe E  Financement'!AL34+'Annexe E  Financement'!AL39+'Annexe E  Financement'!AL20</f>
        <v>0</v>
      </c>
      <c r="AM11" s="130">
        <f>'Annexe E  Financement'!AM34+'Annexe E  Financement'!AM39+'Annexe E  Financement'!AM20</f>
        <v>0</v>
      </c>
      <c r="AN11" s="130">
        <f>'Annexe E  Financement'!AN34+'Annexe E  Financement'!AN39+'Annexe E  Financement'!AN20</f>
        <v>0</v>
      </c>
      <c r="AO11" s="130">
        <f>'Annexe E  Financement'!AO34+'Annexe E  Financement'!AO39+'Annexe E  Financement'!AO20</f>
        <v>0</v>
      </c>
      <c r="AP11" s="130">
        <f>'Annexe E  Financement'!AP34+'Annexe E  Financement'!AP39+'Annexe E  Financement'!AP20</f>
        <v>0</v>
      </c>
      <c r="AQ11" s="130">
        <f>'Annexe E  Financement'!AQ34+'Annexe E  Financement'!AQ39+'Annexe E  Financement'!AQ20</f>
        <v>0</v>
      </c>
      <c r="AR11" s="130">
        <f>'Annexe E  Financement'!AR34+'Annexe E  Financement'!AR39+'Annexe E  Financement'!AR20</f>
        <v>0</v>
      </c>
      <c r="AS11" s="131">
        <f>'Annexe E  Financement'!AS34+'Annexe E  Financement'!AS39+'Annexe E  Financement'!AS20</f>
        <v>0</v>
      </c>
      <c r="AT11" s="130">
        <f>'Annexe E  Financement'!AT34+'Annexe E  Financement'!AT39+'Annexe E  Financement'!AT20</f>
        <v>0</v>
      </c>
      <c r="AU11" s="130">
        <f>'Annexe E  Financement'!AU34+'Annexe E  Financement'!AU39+'Annexe E  Financement'!AU20</f>
        <v>0</v>
      </c>
      <c r="AV11" s="130">
        <f>'Annexe E  Financement'!AV34+'Annexe E  Financement'!AV39+'Annexe E  Financement'!AV20</f>
        <v>138963.4375</v>
      </c>
      <c r="AW11" s="130">
        <f>'Annexe E  Financement'!AW34+'Annexe E  Financement'!AW39+'Annexe E  Financement'!AW20</f>
        <v>0</v>
      </c>
      <c r="AX11" s="130">
        <f>'Annexe E  Financement'!AX34+'Annexe E  Financement'!AX39+'Annexe E  Financement'!AX20</f>
        <v>0</v>
      </c>
      <c r="AY11" s="130">
        <f>'Annexe E  Financement'!AY34+'Annexe E  Financement'!AY39+'Annexe E  Financement'!AY20</f>
        <v>0</v>
      </c>
      <c r="AZ11" s="130">
        <f>'Annexe E  Financement'!AZ34+'Annexe E  Financement'!AZ39+'Annexe E  Financement'!AZ20</f>
        <v>0</v>
      </c>
      <c r="BA11" s="130">
        <f>'Annexe E  Financement'!BA34+'Annexe E  Financement'!BA39+'Annexe E  Financement'!BA20</f>
        <v>0</v>
      </c>
      <c r="BB11" s="130">
        <f>'Annexe E  Financement'!BB34+'Annexe E  Financement'!BB39+'Annexe E  Financement'!BB20</f>
        <v>0</v>
      </c>
      <c r="BC11" s="130">
        <f>'Annexe E  Financement'!BC34+'Annexe E  Financement'!BC39+'Annexe E  Financement'!BC20</f>
        <v>0</v>
      </c>
      <c r="BD11" s="130">
        <f>'Annexe E  Financement'!BD34+'Annexe E  Financement'!BD39+'Annexe E  Financement'!BD20</f>
        <v>0</v>
      </c>
      <c r="BE11" s="130">
        <f>'Annexe E  Financement'!BE34+'Annexe E  Financement'!BE39+'Annexe E  Financement'!BE20</f>
        <v>0</v>
      </c>
      <c r="BF11" s="129">
        <f>'Annexe E  Financement'!BF34+'Annexe E  Financement'!BF39+'Annexe E  Financement'!BF20</f>
        <v>0</v>
      </c>
      <c r="BG11" s="130">
        <f>'Annexe E  Financement'!BG34+'Annexe E  Financement'!BG39+'Annexe E  Financement'!BG20</f>
        <v>0</v>
      </c>
      <c r="BH11" s="130">
        <f>'Annexe E  Financement'!BH34+'Annexe E  Financement'!BH39+'Annexe E  Financement'!BH20</f>
        <v>235737.09765624997</v>
      </c>
      <c r="BI11" s="130">
        <f>'Annexe E  Financement'!BI34+'Annexe E  Financement'!BI39+'Annexe E  Financement'!BI20</f>
        <v>0</v>
      </c>
      <c r="BJ11" s="130">
        <f>'Annexe E  Financement'!BJ34+'Annexe E  Financement'!BJ39+'Annexe E  Financement'!BJ20</f>
        <v>0</v>
      </c>
      <c r="BK11" s="130">
        <f>'Annexe E  Financement'!BK34+'Annexe E  Financement'!BK39+'Annexe E  Financement'!BK20</f>
        <v>0</v>
      </c>
      <c r="BL11" s="130">
        <f>'Annexe E  Financement'!BL34+'Annexe E  Financement'!BL39+'Annexe E  Financement'!BL20</f>
        <v>0</v>
      </c>
      <c r="BM11" s="130">
        <f>'Annexe E  Financement'!BM34+'Annexe E  Financement'!BM39+'Annexe E  Financement'!BM20</f>
        <v>0</v>
      </c>
      <c r="BN11" s="130">
        <f>'Annexe E  Financement'!BN34+'Annexe E  Financement'!BN39+'Annexe E  Financement'!BN20</f>
        <v>0</v>
      </c>
      <c r="BO11" s="130">
        <f>'Annexe E  Financement'!BO34+'Annexe E  Financement'!BO39+'Annexe E  Financement'!BO20</f>
        <v>0</v>
      </c>
      <c r="BP11" s="130">
        <f>'Annexe E  Financement'!BP34+'Annexe E  Financement'!BP39+'Annexe E  Financement'!BP20</f>
        <v>0</v>
      </c>
      <c r="BQ11" s="131">
        <f>'Annexe E  Financement'!BQ34+'Annexe E  Financement'!BQ39+'Annexe E  Financement'!BQ20</f>
        <v>0</v>
      </c>
      <c r="BR11" s="129">
        <f>'Annexe E  Financement'!BR34+'Annexe E  Financement'!BR39+'Annexe E  Financement'!BR20</f>
        <v>0</v>
      </c>
      <c r="BS11" s="130">
        <f>'Annexe E  Financement'!BS34+'Annexe E  Financement'!BS39+'Annexe E  Financement'!BS20</f>
        <v>0</v>
      </c>
      <c r="BT11" s="130">
        <f>'Annexe E  Financement'!BT34+'Annexe E  Financement'!BT39+'Annexe E  Financement'!BT20</f>
        <v>313051.37441406248</v>
      </c>
      <c r="BU11" s="130">
        <f>'Annexe E  Financement'!BU34+'Annexe E  Financement'!BU39+'Annexe E  Financement'!BU20</f>
        <v>0</v>
      </c>
      <c r="BV11" s="130">
        <f>'Annexe E  Financement'!BV34+'Annexe E  Financement'!BV39+'Annexe E  Financement'!BV20</f>
        <v>0</v>
      </c>
      <c r="BW11" s="130">
        <f>'Annexe E  Financement'!BW34+'Annexe E  Financement'!BW39+'Annexe E  Financement'!BW20</f>
        <v>0</v>
      </c>
      <c r="BX11" s="130">
        <f>'Annexe E  Financement'!BX34+'Annexe E  Financement'!BX39+'Annexe E  Financement'!BX20</f>
        <v>0</v>
      </c>
      <c r="BY11" s="130">
        <f>'Annexe E  Financement'!BY34+'Annexe E  Financement'!BY39+'Annexe E  Financement'!BY20</f>
        <v>0</v>
      </c>
      <c r="BZ11" s="130">
        <f>'Annexe E  Financement'!BZ34+'Annexe E  Financement'!BZ39+'Annexe E  Financement'!BZ20</f>
        <v>0</v>
      </c>
      <c r="CA11" s="130">
        <f>'Annexe E  Financement'!CA34+'Annexe E  Financement'!CA39+'Annexe E  Financement'!CA20</f>
        <v>0</v>
      </c>
      <c r="CB11" s="130">
        <f>'Annexe E  Financement'!CB34+'Annexe E  Financement'!CB39+'Annexe E  Financement'!CB20</f>
        <v>0</v>
      </c>
      <c r="CC11" s="131">
        <f>'Annexe E  Financement'!CC34+'Annexe E  Financement'!CC39+'Annexe E  Financement'!CC20</f>
        <v>0</v>
      </c>
    </row>
    <row r="12" spans="1:81" ht="14">
      <c r="A12" s="382" t="s">
        <v>221</v>
      </c>
      <c r="B12" s="3"/>
      <c r="C12" s="129">
        <f>'Annexe E  Financement'!C6+'Annexe E  Financement'!C38-'Annexe E  Financement'!C20</f>
        <v>-6978.5</v>
      </c>
      <c r="D12" s="130">
        <f>'Annexe E  Financement'!D6+'Annexe E  Financement'!D38-'Annexe E  Financement'!D20</f>
        <v>-787</v>
      </c>
      <c r="E12" s="130">
        <f>'Annexe E  Financement'!E6+'Annexe E  Financement'!E38-'Annexe E  Financement'!E20</f>
        <v>-787</v>
      </c>
      <c r="F12" s="130">
        <f>'Annexe E  Financement'!F6+'Annexe E  Financement'!F38-'Annexe E  Financement'!F20</f>
        <v>-7709.5</v>
      </c>
      <c r="G12" s="130">
        <f>'Annexe E  Financement'!G6+'Annexe E  Financement'!G38-'Annexe E  Financement'!G20</f>
        <v>-787</v>
      </c>
      <c r="H12" s="130">
        <f>'Annexe E  Financement'!H6+'Annexe E  Financement'!H38-'Annexe E  Financement'!H20</f>
        <v>-787</v>
      </c>
      <c r="I12" s="131">
        <f>'Annexe E  Financement'!I6+'Annexe E  Financement'!I38-'Annexe E  Financement'!I20</f>
        <v>-12651.5</v>
      </c>
      <c r="J12" s="129">
        <f>'Annexe E  Financement'!J6+'Annexe E  Financement'!J38-'Annexe E  Financement'!J20</f>
        <v>-787</v>
      </c>
      <c r="K12" s="130">
        <f>'Annexe E  Financement'!K6+'Annexe E  Financement'!K38-'Annexe E  Financement'!K20</f>
        <v>-787</v>
      </c>
      <c r="L12" s="130">
        <f>'Annexe E  Financement'!L6+'Annexe E  Financement'!L38-'Annexe E  Financement'!L20</f>
        <v>-12535</v>
      </c>
      <c r="M12" s="130">
        <f>'Annexe E  Financement'!M6+'Annexe E  Financement'!M38-'Annexe E  Financement'!M20</f>
        <v>-2037</v>
      </c>
      <c r="N12" s="130">
        <f>'Annexe E  Financement'!N6+'Annexe E  Financement'!N38-'Annexe E  Financement'!N20</f>
        <v>-2037</v>
      </c>
      <c r="O12" s="130">
        <f>'Annexe E  Financement'!O6+'Annexe E  Financement'!O38-'Annexe E  Financement'!O20</f>
        <v>-13668</v>
      </c>
      <c r="P12" s="130">
        <f>'Annexe E  Financement'!P6+'Annexe E  Financement'!P38-'Annexe E  Financement'!P20</f>
        <v>-2037</v>
      </c>
      <c r="Q12" s="130">
        <f>'Annexe E  Financement'!Q6+'Annexe E  Financement'!Q38-'Annexe E  Financement'!Q20</f>
        <v>-2037</v>
      </c>
      <c r="R12" s="130">
        <f>'Annexe E  Financement'!R6+'Annexe E  Financement'!R38-'Annexe E  Financement'!R20</f>
        <v>-13552</v>
      </c>
      <c r="S12" s="130">
        <f>'Annexe E  Financement'!S6+'Annexe E  Financement'!S38-'Annexe E  Financement'!S20</f>
        <v>-2037</v>
      </c>
      <c r="T12" s="130">
        <f>'Annexe E  Financement'!T6+'Annexe E  Financement'!T38-'Annexe E  Financement'!T20</f>
        <v>-2037</v>
      </c>
      <c r="U12" s="131">
        <f>'Annexe E  Financement'!U6+'Annexe E  Financement'!U38-'Annexe E  Financement'!U20</f>
        <v>-13437</v>
      </c>
      <c r="V12" s="130">
        <f>'Annexe E  Financement'!V6+'Annexe E  Financement'!V38-'Annexe E  Financement'!V20</f>
        <v>-2037</v>
      </c>
      <c r="W12" s="130">
        <f>'Annexe E  Financement'!W6+'Annexe E  Financement'!W38-'Annexe E  Financement'!W20</f>
        <v>-1250</v>
      </c>
      <c r="X12" s="130">
        <f>'Annexe E  Financement'!X6+'Annexe E  Financement'!X38-'Annexe E  Financement'!X20</f>
        <v>-12533</v>
      </c>
      <c r="Y12" s="130">
        <f>'Annexe E  Financement'!Y6+'Annexe E  Financement'!Y38-'Annexe E  Financement'!Y20</f>
        <v>-1250</v>
      </c>
      <c r="Z12" s="130">
        <f>'Annexe E  Financement'!Z6+'Annexe E  Financement'!Z38-'Annexe E  Financement'!Z20</f>
        <v>-1250</v>
      </c>
      <c r="AA12" s="130">
        <f>'Annexe E  Financement'!AA6+'Annexe E  Financement'!AA38-'Annexe E  Financement'!AA20</f>
        <v>-222799</v>
      </c>
      <c r="AB12" s="130">
        <f>'Annexe E  Financement'!AB6+'Annexe E  Financement'!AB38-'Annexe E  Financement'!AB20</f>
        <v>-1250</v>
      </c>
      <c r="AC12" s="130">
        <f>'Annexe E  Financement'!AC6+'Annexe E  Financement'!AC38-'Annexe E  Financement'!AC20</f>
        <v>-1250</v>
      </c>
      <c r="AD12" s="130">
        <f>'Annexe E  Financement'!AD6+'Annexe E  Financement'!AD38-'Annexe E  Financement'!AD20</f>
        <v>-12301</v>
      </c>
      <c r="AE12" s="130">
        <f>'Annexe E  Financement'!AE6+'Annexe E  Financement'!AE38-'Annexe E  Financement'!AE20</f>
        <v>-1250</v>
      </c>
      <c r="AF12" s="130">
        <f>'Annexe E  Financement'!AF6+'Annexe E  Financement'!AF38-'Annexe E  Financement'!AF20</f>
        <v>-1250</v>
      </c>
      <c r="AG12" s="130">
        <f>'Annexe E  Financement'!AG6+'Annexe E  Financement'!AG38-'Annexe E  Financement'!AG20</f>
        <v>-12185</v>
      </c>
      <c r="AH12" s="129">
        <f>'Annexe E  Financement'!AH6+'Annexe E  Financement'!AH38-'Annexe E  Financement'!AH20</f>
        <v>-1250</v>
      </c>
      <c r="AI12" s="130">
        <f>'Annexe E  Financement'!AI6+'Annexe E  Financement'!AI38-'Annexe E  Financement'!AI20</f>
        <v>-1250</v>
      </c>
      <c r="AJ12" s="130">
        <f>'Annexe E  Financement'!AJ6+'Annexe E  Financement'!AJ38-'Annexe E  Financement'!AJ20</f>
        <v>-12068</v>
      </c>
      <c r="AK12" s="130">
        <f>'Annexe E  Financement'!AK6+'Annexe E  Financement'!AK38-'Annexe E  Financement'!AK20</f>
        <v>-1250</v>
      </c>
      <c r="AL12" s="130">
        <f>'Annexe E  Financement'!AL6+'Annexe E  Financement'!AL38-'Annexe E  Financement'!AL20</f>
        <v>-1250</v>
      </c>
      <c r="AM12" s="130">
        <f>'Annexe E  Financement'!AM6+'Annexe E  Financement'!AM38-'Annexe E  Financement'!AM20</f>
        <v>-11952</v>
      </c>
      <c r="AN12" s="130">
        <f>'Annexe E  Financement'!AN6+'Annexe E  Financement'!AN38-'Annexe E  Financement'!AN20</f>
        <v>-1250</v>
      </c>
      <c r="AO12" s="130">
        <f>'Annexe E  Financement'!AO6+'Annexe E  Financement'!AO38-'Annexe E  Financement'!AO20</f>
        <v>-1250</v>
      </c>
      <c r="AP12" s="130">
        <f>'Annexe E  Financement'!AP6+'Annexe E  Financement'!AP38-'Annexe E  Financement'!AP20</f>
        <v>-11836</v>
      </c>
      <c r="AQ12" s="130">
        <f>'Annexe E  Financement'!AQ6+'Annexe E  Financement'!AQ38-'Annexe E  Financement'!AQ20</f>
        <v>-1250</v>
      </c>
      <c r="AR12" s="130">
        <f>'Annexe E  Financement'!AR6+'Annexe E  Financement'!AR38-'Annexe E  Financement'!AR20</f>
        <v>-1250</v>
      </c>
      <c r="AS12" s="131">
        <f>'Annexe E  Financement'!AS6+'Annexe E  Financement'!AS38-'Annexe E  Financement'!AS20</f>
        <v>-6721</v>
      </c>
      <c r="AT12" s="130">
        <f>'Annexe E  Financement'!AT6+'Annexe E  Financement'!AT38-'Annexe E  Financement'!AT20</f>
        <v>-1250</v>
      </c>
      <c r="AU12" s="130">
        <f>'Annexe E  Financement'!AU6+'Annexe E  Financement'!AU38-'Annexe E  Financement'!AU20</f>
        <v>-1250</v>
      </c>
      <c r="AV12" s="130">
        <f>'Annexe E  Financement'!AV6+'Annexe E  Financement'!AV38-'Annexe E  Financement'!AV20</f>
        <v>-6662</v>
      </c>
      <c r="AW12" s="130">
        <f>'Annexe E  Financement'!AW6+'Annexe E  Financement'!AW38-'Annexe E  Financement'!AW20</f>
        <v>-9548.6111111111113</v>
      </c>
      <c r="AX12" s="130">
        <f>'Annexe E  Financement'!AX6+'Annexe E  Financement'!AX38-'Annexe E  Financement'!AX20</f>
        <v>-9513.8888888888887</v>
      </c>
      <c r="AY12" s="130">
        <f>'Annexe E  Financement'!AY6+'Annexe E  Financement'!AY38-'Annexe E  Financement'!AY20</f>
        <v>-14832.166666666668</v>
      </c>
      <c r="AZ12" s="130">
        <f>'Annexe E  Financement'!AZ6+'Annexe E  Financement'!AZ38-'Annexe E  Financement'!AZ20</f>
        <v>-9444.4444444444453</v>
      </c>
      <c r="BA12" s="130">
        <f>'Annexe E  Financement'!BA6+'Annexe E  Financement'!BA38-'Annexe E  Financement'!BA20</f>
        <v>-9409.7222222222226</v>
      </c>
      <c r="BB12" s="130">
        <f>'Annexe E  Financement'!BB6+'Annexe E  Financement'!BB38-'Annexe E  Financement'!BB20</f>
        <v>-14669</v>
      </c>
      <c r="BC12" s="130">
        <f>'Annexe E  Financement'!BC6+'Annexe E  Financement'!BC38-'Annexe E  Financement'!BC20</f>
        <v>-9340.2777777777792</v>
      </c>
      <c r="BD12" s="130">
        <f>'Annexe E  Financement'!BD6+'Annexe E  Financement'!BD38-'Annexe E  Financement'!BD20</f>
        <v>-9305.5555555555566</v>
      </c>
      <c r="BE12" s="130">
        <f>'Annexe E  Financement'!BE6+'Annexe E  Financement'!BE38-'Annexe E  Financement'!BE20</f>
        <v>-14505.833333333334</v>
      </c>
      <c r="BF12" s="129">
        <f>'Annexe E  Financement'!BF6+'Annexe E  Financement'!BF38-'Annexe E  Financement'!BF20</f>
        <v>-9236.1111111111113</v>
      </c>
      <c r="BG12" s="130">
        <f>'Annexe E  Financement'!BG6+'Annexe E  Financement'!BG38-'Annexe E  Financement'!BG20</f>
        <v>-9201.3888888888905</v>
      </c>
      <c r="BH12" s="130">
        <f>'Annexe E  Financement'!BH6+'Annexe E  Financement'!BH38-'Annexe E  Financement'!BH20</f>
        <v>-14342.666666666668</v>
      </c>
      <c r="BI12" s="130">
        <f>'Annexe E  Financement'!BI6+'Annexe E  Financement'!BI38-'Annexe E  Financement'!BI20</f>
        <v>-9131.9444444444453</v>
      </c>
      <c r="BJ12" s="130">
        <f>'Annexe E  Financement'!BJ6+'Annexe E  Financement'!BJ38-'Annexe E  Financement'!BJ20</f>
        <v>-9097.2222222222226</v>
      </c>
      <c r="BK12" s="130">
        <f>'Annexe E  Financement'!BK6+'Annexe E  Financement'!BK38-'Annexe E  Financement'!BK20</f>
        <v>-14240</v>
      </c>
      <c r="BL12" s="130">
        <f>'Annexe E  Financement'!BL6+'Annexe E  Financement'!BL38-'Annexe E  Financement'!BL20</f>
        <v>-9027.7777777777792</v>
      </c>
      <c r="BM12" s="130">
        <f>'Annexe E  Financement'!BM6+'Annexe E  Financement'!BM38-'Annexe E  Financement'!BM20</f>
        <v>-8993.0555555555566</v>
      </c>
      <c r="BN12" s="130">
        <f>'Annexe E  Financement'!BN6+'Annexe E  Financement'!BN38-'Annexe E  Financement'!BN20</f>
        <v>-14016.333333333334</v>
      </c>
      <c r="BO12" s="130">
        <f>'Annexe E  Financement'!BO6+'Annexe E  Financement'!BO38-'Annexe E  Financement'!BO20</f>
        <v>-8923.6111111111113</v>
      </c>
      <c r="BP12" s="130">
        <f>'Annexe E  Financement'!BP6+'Annexe E  Financement'!BP38-'Annexe E  Financement'!BP20</f>
        <v>-8888.8888888888887</v>
      </c>
      <c r="BQ12" s="131">
        <f>'Annexe E  Financement'!BQ6+'Annexe E  Financement'!BQ38-'Annexe E  Financement'!BQ20</f>
        <v>-8854.1666666666679</v>
      </c>
      <c r="BR12" s="129">
        <f>'Annexe E  Financement'!BR6+'Annexe E  Financement'!BR38-'Annexe E  Financement'!BR20</f>
        <v>-8819.4444444444453</v>
      </c>
      <c r="BS12" s="130">
        <f>'Annexe E  Financement'!BS6+'Annexe E  Financement'!BS38-'Annexe E  Financement'!BS20</f>
        <v>-8784.7222222222226</v>
      </c>
      <c r="BT12" s="130">
        <f>'Annexe E  Financement'!BT6+'Annexe E  Financement'!BT38-'Annexe E  Financement'!BT20</f>
        <v>-8750</v>
      </c>
      <c r="BU12" s="130">
        <f>'Annexe E  Financement'!BU6+'Annexe E  Financement'!BU38-'Annexe E  Financement'!BU20</f>
        <v>-8715.2777777777774</v>
      </c>
      <c r="BV12" s="130">
        <f>'Annexe E  Financement'!BV6+'Annexe E  Financement'!BV38-'Annexe E  Financement'!BV20</f>
        <v>-8680.5555555555566</v>
      </c>
      <c r="BW12" s="130">
        <f>'Annexe E  Financement'!BW6+'Annexe E  Financement'!BW38-'Annexe E  Financement'!BW20</f>
        <v>-8645.8333333333339</v>
      </c>
      <c r="BX12" s="130">
        <f>'Annexe E  Financement'!BX6+'Annexe E  Financement'!BX38-'Annexe E  Financement'!BX20</f>
        <v>-8611.1111111111113</v>
      </c>
      <c r="BY12" s="130">
        <f>'Annexe E  Financement'!BY6+'Annexe E  Financement'!BY38-'Annexe E  Financement'!BY20</f>
        <v>-8576.3888888888887</v>
      </c>
      <c r="BZ12" s="130">
        <f>'Annexe E  Financement'!BZ6+'Annexe E  Financement'!BZ38-'Annexe E  Financement'!BZ20</f>
        <v>-8541.6666666666661</v>
      </c>
      <c r="CA12" s="130">
        <f>'Annexe E  Financement'!CA6+'Annexe E  Financement'!CA38-'Annexe E  Financement'!CA20</f>
        <v>-8506.9444444444453</v>
      </c>
      <c r="CB12" s="130">
        <f>'Annexe E  Financement'!CB6+'Annexe E  Financement'!CB38-'Annexe E  Financement'!CB20</f>
        <v>-8472.2222222222226</v>
      </c>
      <c r="CC12" s="131">
        <f>'Annexe E  Financement'!CC6+'Annexe E  Financement'!CC38-'Annexe E  Financement'!CC20</f>
        <v>-8437.5</v>
      </c>
    </row>
    <row r="13" spans="1:81" ht="14">
      <c r="A13" s="383" t="s">
        <v>224</v>
      </c>
      <c r="B13" s="2"/>
      <c r="C13" s="197"/>
      <c r="D13" s="198"/>
      <c r="E13" s="198"/>
      <c r="F13" s="198"/>
      <c r="G13" s="198"/>
      <c r="H13" s="198"/>
      <c r="I13" s="199"/>
      <c r="J13" s="197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9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7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9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7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9"/>
      <c r="BR13" s="197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9"/>
    </row>
    <row r="14" spans="1:81" ht="14">
      <c r="A14" s="382" t="s">
        <v>225</v>
      </c>
      <c r="B14" s="3"/>
      <c r="C14" s="40"/>
      <c r="D14" s="130">
        <f t="shared" ref="D14:CC14" si="3">C15</f>
        <v>430000</v>
      </c>
      <c r="E14" s="130">
        <f t="shared" ca="1" si="3"/>
        <v>421377.79637461604</v>
      </c>
      <c r="F14" s="130">
        <f t="shared" ca="1" si="3"/>
        <v>410979.15168560733</v>
      </c>
      <c r="G14" s="130">
        <f t="shared" ca="1" si="3"/>
        <v>515375.07025360136</v>
      </c>
      <c r="H14" s="130">
        <f t="shared" ca="1" si="3"/>
        <v>508729.49529900856</v>
      </c>
      <c r="I14" s="131">
        <f t="shared" ca="1" si="3"/>
        <v>497728.57114872191</v>
      </c>
      <c r="J14" s="129">
        <f t="shared" ca="1" si="3"/>
        <v>471063.09156012331</v>
      </c>
      <c r="K14" s="130">
        <f t="shared" ca="1" si="3"/>
        <v>436523.68463203253</v>
      </c>
      <c r="L14" s="130">
        <f t="shared" ca="1" si="3"/>
        <v>423044.76215489249</v>
      </c>
      <c r="M14" s="130">
        <f t="shared" ca="1" si="3"/>
        <v>794096.87041058391</v>
      </c>
      <c r="N14" s="130">
        <f t="shared" ca="1" si="3"/>
        <v>767522.58361416787</v>
      </c>
      <c r="O14" s="130">
        <f t="shared" ca="1" si="3"/>
        <v>751136.74956286023</v>
      </c>
      <c r="P14" s="130">
        <f t="shared" ca="1" si="3"/>
        <v>720907.96307778533</v>
      </c>
      <c r="Q14" s="130">
        <f t="shared" ca="1" si="3"/>
        <v>705893.5889223147</v>
      </c>
      <c r="R14" s="130">
        <f t="shared" ca="1" si="3"/>
        <v>675718.95661614405</v>
      </c>
      <c r="S14" s="130">
        <f t="shared" ca="1" si="3"/>
        <v>635639.07956781751</v>
      </c>
      <c r="T14" s="130">
        <f t="shared" ca="1" si="3"/>
        <v>583343.99732121907</v>
      </c>
      <c r="U14" s="131">
        <f t="shared" ca="1" si="3"/>
        <v>532086.73111903318</v>
      </c>
      <c r="V14" s="130">
        <f t="shared" ca="1" si="3"/>
        <v>494393.50298922526</v>
      </c>
      <c r="W14" s="130">
        <f t="shared" ca="1" si="3"/>
        <v>470873.21397881565</v>
      </c>
      <c r="X14" s="130">
        <f t="shared" ca="1" si="3"/>
        <v>454473.12236276106</v>
      </c>
      <c r="Y14" s="130">
        <f t="shared" ca="1" si="3"/>
        <v>540944.5208781031</v>
      </c>
      <c r="Z14" s="130">
        <f t="shared" ca="1" si="3"/>
        <v>515397.43559941294</v>
      </c>
      <c r="AA14" s="130">
        <f t="shared" ca="1" si="3"/>
        <v>502500.25220538554</v>
      </c>
      <c r="AB14" s="130">
        <f t="shared" ca="1" si="3"/>
        <v>269268.79094565421</v>
      </c>
      <c r="AC14" s="130">
        <f t="shared" ca="1" si="3"/>
        <v>258506.07356926109</v>
      </c>
      <c r="AD14" s="130">
        <f t="shared" ca="1" si="3"/>
        <v>248954.31689879097</v>
      </c>
      <c r="AE14" s="130">
        <f t="shared" ca="1" si="3"/>
        <v>229692.43866010461</v>
      </c>
      <c r="AF14" s="130">
        <f t="shared" ca="1" si="3"/>
        <v>221655.33694053153</v>
      </c>
      <c r="AG14" s="130">
        <f t="shared" ca="1" si="3"/>
        <v>216038.86025875914</v>
      </c>
      <c r="AH14" s="129">
        <f t="shared" ca="1" si="3"/>
        <v>201756.46534462395</v>
      </c>
      <c r="AI14" s="130">
        <f t="shared" ca="1" si="3"/>
        <v>205917.95596096516</v>
      </c>
      <c r="AJ14" s="130">
        <f t="shared" ca="1" si="3"/>
        <v>214542.3457184397</v>
      </c>
      <c r="AK14" s="130">
        <f t="shared" ca="1" si="3"/>
        <v>328222.67583948548</v>
      </c>
      <c r="AL14" s="130">
        <f t="shared" ca="1" si="3"/>
        <v>328990.23711201717</v>
      </c>
      <c r="AM14" s="130">
        <f t="shared" ca="1" si="3"/>
        <v>341166.73298508895</v>
      </c>
      <c r="AN14" s="130">
        <f t="shared" ca="1" si="3"/>
        <v>346124.10689315916</v>
      </c>
      <c r="AO14" s="130">
        <f t="shared" ca="1" si="3"/>
        <v>363499.50477759202</v>
      </c>
      <c r="AP14" s="130">
        <f t="shared" ca="1" si="3"/>
        <v>382574.1836393745</v>
      </c>
      <c r="AQ14" s="130">
        <f t="shared" ca="1" si="3"/>
        <v>392745.55643661454</v>
      </c>
      <c r="AR14" s="130">
        <f t="shared" ca="1" si="3"/>
        <v>415169.1909525813</v>
      </c>
      <c r="AS14" s="131">
        <f t="shared" ca="1" si="3"/>
        <v>439242.80865593662</v>
      </c>
      <c r="AT14" s="130">
        <f t="shared" ca="1" si="3"/>
        <v>460489.32405479677</v>
      </c>
      <c r="AU14" s="130">
        <f t="shared" ca="1" si="3"/>
        <v>478137.62316112209</v>
      </c>
      <c r="AV14" s="130">
        <f t="shared" ca="1" si="3"/>
        <v>520111.46011901769</v>
      </c>
      <c r="AW14" s="130">
        <f t="shared" ca="1" si="3"/>
        <v>697728.43005754671</v>
      </c>
      <c r="AX14" s="130">
        <f t="shared" ca="1" si="3"/>
        <v>721680.32720679033</v>
      </c>
      <c r="AY14" s="130">
        <f t="shared" ca="1" si="3"/>
        <v>761634.21463297249</v>
      </c>
      <c r="AZ14" s="130">
        <f t="shared" ca="1" si="3"/>
        <v>798330.33738009282</v>
      </c>
      <c r="BA14" s="130">
        <f t="shared" ca="1" si="3"/>
        <v>839516.93550414208</v>
      </c>
      <c r="BB14" s="130">
        <f t="shared" ca="1" si="3"/>
        <v>884014.26170607435</v>
      </c>
      <c r="BC14" s="130">
        <f t="shared" ca="1" si="3"/>
        <v>925940.73785821709</v>
      </c>
      <c r="BD14" s="130">
        <f t="shared" ca="1" si="3"/>
        <v>969604.25524107472</v>
      </c>
      <c r="BE14" s="130">
        <f t="shared" ca="1" si="3"/>
        <v>1010693.8388602366</v>
      </c>
      <c r="BF14" s="129">
        <f t="shared" ca="1" si="3"/>
        <v>1044551.0413865101</v>
      </c>
      <c r="BG14" s="130">
        <f t="shared" ca="1" si="3"/>
        <v>1062507.8840227197</v>
      </c>
      <c r="BH14" s="130">
        <f t="shared" ca="1" si="3"/>
        <v>1088236.816133698</v>
      </c>
      <c r="BI14" s="130">
        <f t="shared" ca="1" si="3"/>
        <v>1330677.6611865789</v>
      </c>
      <c r="BJ14" s="130">
        <f t="shared" ca="1" si="3"/>
        <v>1324038.0715332893</v>
      </c>
      <c r="BK14" s="130">
        <f t="shared" ca="1" si="3"/>
        <v>1316943.8456986633</v>
      </c>
      <c r="BL14" s="130">
        <f t="shared" ca="1" si="3"/>
        <v>1299709.7364690192</v>
      </c>
      <c r="BM14" s="130">
        <f t="shared" ca="1" si="3"/>
        <v>1273516.5609774683</v>
      </c>
      <c r="BN14" s="130">
        <f t="shared" ca="1" si="3"/>
        <v>1244417.4074103001</v>
      </c>
      <c r="BO14" s="130">
        <f t="shared" ca="1" si="3"/>
        <v>1204838.4321943007</v>
      </c>
      <c r="BP14" s="130">
        <f t="shared" ca="1" si="3"/>
        <v>1205792.1866024113</v>
      </c>
      <c r="BQ14" s="131">
        <f t="shared" ca="1" si="3"/>
        <v>1234140.3429631561</v>
      </c>
      <c r="BR14" s="129">
        <f t="shared" ca="1" si="3"/>
        <v>1284612.4859304707</v>
      </c>
      <c r="BS14" s="130">
        <f t="shared" ca="1" si="3"/>
        <v>1357262.0749350362</v>
      </c>
      <c r="BT14" s="130">
        <f t="shared" ca="1" si="3"/>
        <v>1444471.8148242789</v>
      </c>
      <c r="BU14" s="130">
        <f t="shared" ca="1" si="3"/>
        <v>1857169.9499469181</v>
      </c>
      <c r="BV14" s="130">
        <f t="shared" ca="1" si="3"/>
        <v>1911340.9232226461</v>
      </c>
      <c r="BW14" s="130">
        <f t="shared" ca="1" si="3"/>
        <v>2053811.7227207909</v>
      </c>
      <c r="BX14" s="130">
        <f t="shared" ca="1" si="3"/>
        <v>2224942.9124912904</v>
      </c>
      <c r="BY14" s="130">
        <f t="shared" ca="1" si="3"/>
        <v>2348051.170221841</v>
      </c>
      <c r="BZ14" s="130">
        <f t="shared" ca="1" si="3"/>
        <v>2529638.8527838378</v>
      </c>
      <c r="CA14" s="130">
        <f t="shared" ca="1" si="3"/>
        <v>2773988.2310282318</v>
      </c>
      <c r="CB14" s="130">
        <f t="shared" ca="1" si="3"/>
        <v>3106310.6830433346</v>
      </c>
      <c r="CC14" s="131">
        <f t="shared" ca="1" si="3"/>
        <v>3443170.6383971763</v>
      </c>
    </row>
    <row r="15" spans="1:81" ht="14">
      <c r="A15" s="384" t="s">
        <v>226</v>
      </c>
      <c r="B15" s="385"/>
      <c r="C15" s="386">
        <v>430000</v>
      </c>
      <c r="D15" s="337">
        <f t="shared" ref="D15:CC15" ca="1" si="4">D14+D4+D7+D10</f>
        <v>421377.79637461604</v>
      </c>
      <c r="E15" s="337">
        <f t="shared" ca="1" si="4"/>
        <v>410979.15168560733</v>
      </c>
      <c r="F15" s="337">
        <f t="shared" ca="1" si="4"/>
        <v>515375.07025360136</v>
      </c>
      <c r="G15" s="337">
        <f t="shared" ca="1" si="4"/>
        <v>508729.49529900856</v>
      </c>
      <c r="H15" s="337">
        <f t="shared" ca="1" si="4"/>
        <v>497728.57114872191</v>
      </c>
      <c r="I15" s="338">
        <f t="shared" ca="1" si="4"/>
        <v>471063.09156012331</v>
      </c>
      <c r="J15" s="336">
        <f t="shared" ca="1" si="4"/>
        <v>436523.68463203253</v>
      </c>
      <c r="K15" s="337">
        <f t="shared" ca="1" si="4"/>
        <v>423044.76215489249</v>
      </c>
      <c r="L15" s="337">
        <f t="shared" ca="1" si="4"/>
        <v>794096.87041058391</v>
      </c>
      <c r="M15" s="337">
        <f t="shared" ca="1" si="4"/>
        <v>767522.58361416787</v>
      </c>
      <c r="N15" s="337">
        <f t="shared" ca="1" si="4"/>
        <v>751136.74956286023</v>
      </c>
      <c r="O15" s="337">
        <f t="shared" ca="1" si="4"/>
        <v>720907.96307778533</v>
      </c>
      <c r="P15" s="337">
        <f t="shared" ca="1" si="4"/>
        <v>705893.5889223147</v>
      </c>
      <c r="Q15" s="337">
        <f t="shared" ca="1" si="4"/>
        <v>675718.95661614405</v>
      </c>
      <c r="R15" s="337">
        <f t="shared" ca="1" si="4"/>
        <v>635639.07956781751</v>
      </c>
      <c r="S15" s="337">
        <f t="shared" ca="1" si="4"/>
        <v>583343.99732121907</v>
      </c>
      <c r="T15" s="337">
        <f t="shared" ca="1" si="4"/>
        <v>532086.73111903318</v>
      </c>
      <c r="U15" s="338">
        <f t="shared" ca="1" si="4"/>
        <v>494393.50298922526</v>
      </c>
      <c r="V15" s="337">
        <f t="shared" ca="1" si="4"/>
        <v>470873.21397881565</v>
      </c>
      <c r="W15" s="337">
        <f t="shared" ca="1" si="4"/>
        <v>454473.12236276106</v>
      </c>
      <c r="X15" s="337">
        <f t="shared" ca="1" si="4"/>
        <v>540944.5208781031</v>
      </c>
      <c r="Y15" s="337">
        <f t="shared" ca="1" si="4"/>
        <v>515397.43559941294</v>
      </c>
      <c r="Z15" s="337">
        <f t="shared" ca="1" si="4"/>
        <v>502500.25220538554</v>
      </c>
      <c r="AA15" s="337">
        <f t="shared" ca="1" si="4"/>
        <v>269268.79094565421</v>
      </c>
      <c r="AB15" s="337">
        <f t="shared" ca="1" si="4"/>
        <v>258506.07356926109</v>
      </c>
      <c r="AC15" s="337">
        <f t="shared" ca="1" si="4"/>
        <v>248954.31689879097</v>
      </c>
      <c r="AD15" s="337">
        <f t="shared" ca="1" si="4"/>
        <v>229692.43866010461</v>
      </c>
      <c r="AE15" s="337">
        <f t="shared" ca="1" si="4"/>
        <v>221655.33694053153</v>
      </c>
      <c r="AF15" s="337">
        <f t="shared" ca="1" si="4"/>
        <v>216038.86025875914</v>
      </c>
      <c r="AG15" s="337">
        <f t="shared" ca="1" si="4"/>
        <v>201756.46534462395</v>
      </c>
      <c r="AH15" s="336">
        <f t="shared" ca="1" si="4"/>
        <v>205917.95596096516</v>
      </c>
      <c r="AI15" s="337">
        <f t="shared" ca="1" si="4"/>
        <v>214542.3457184397</v>
      </c>
      <c r="AJ15" s="337">
        <f t="shared" ca="1" si="4"/>
        <v>328222.67583948548</v>
      </c>
      <c r="AK15" s="337">
        <f t="shared" ca="1" si="4"/>
        <v>328990.23711201717</v>
      </c>
      <c r="AL15" s="337">
        <f t="shared" ca="1" si="4"/>
        <v>341166.73298508895</v>
      </c>
      <c r="AM15" s="337">
        <f t="shared" ca="1" si="4"/>
        <v>346124.10689315916</v>
      </c>
      <c r="AN15" s="337">
        <f t="shared" ca="1" si="4"/>
        <v>363499.50477759202</v>
      </c>
      <c r="AO15" s="337">
        <f t="shared" ca="1" si="4"/>
        <v>382574.1836393745</v>
      </c>
      <c r="AP15" s="337">
        <f t="shared" ca="1" si="4"/>
        <v>392745.55643661454</v>
      </c>
      <c r="AQ15" s="337">
        <f t="shared" ca="1" si="4"/>
        <v>415169.1909525813</v>
      </c>
      <c r="AR15" s="337">
        <f t="shared" ca="1" si="4"/>
        <v>439242.80865593662</v>
      </c>
      <c r="AS15" s="338">
        <f t="shared" ca="1" si="4"/>
        <v>460489.32405479677</v>
      </c>
      <c r="AT15" s="337">
        <f t="shared" ca="1" si="4"/>
        <v>478137.62316112209</v>
      </c>
      <c r="AU15" s="337">
        <f t="shared" ca="1" si="4"/>
        <v>520111.46011901769</v>
      </c>
      <c r="AV15" s="337">
        <f t="shared" ca="1" si="4"/>
        <v>697728.43005754671</v>
      </c>
      <c r="AW15" s="337">
        <f t="shared" ca="1" si="4"/>
        <v>721680.32720679033</v>
      </c>
      <c r="AX15" s="337">
        <f t="shared" ca="1" si="4"/>
        <v>761634.21463297249</v>
      </c>
      <c r="AY15" s="337">
        <f t="shared" ca="1" si="4"/>
        <v>798330.33738009282</v>
      </c>
      <c r="AZ15" s="337">
        <f t="shared" ca="1" si="4"/>
        <v>839516.93550414208</v>
      </c>
      <c r="BA15" s="337">
        <f t="shared" ca="1" si="4"/>
        <v>884014.26170607435</v>
      </c>
      <c r="BB15" s="337">
        <f t="shared" ca="1" si="4"/>
        <v>925940.73785821709</v>
      </c>
      <c r="BC15" s="337">
        <f t="shared" ca="1" si="4"/>
        <v>969604.25524107472</v>
      </c>
      <c r="BD15" s="337">
        <f t="shared" ca="1" si="4"/>
        <v>1010693.8388602366</v>
      </c>
      <c r="BE15" s="337">
        <f t="shared" ca="1" si="4"/>
        <v>1044551.0413865101</v>
      </c>
      <c r="BF15" s="336">
        <f t="shared" ca="1" si="4"/>
        <v>1062507.8840227197</v>
      </c>
      <c r="BG15" s="337">
        <f t="shared" ca="1" si="4"/>
        <v>1088236.816133698</v>
      </c>
      <c r="BH15" s="337">
        <f t="shared" ca="1" si="4"/>
        <v>1330677.6611865789</v>
      </c>
      <c r="BI15" s="337">
        <f t="shared" ca="1" si="4"/>
        <v>1324038.0715332893</v>
      </c>
      <c r="BJ15" s="337">
        <f t="shared" ca="1" si="4"/>
        <v>1316943.8456986633</v>
      </c>
      <c r="BK15" s="337">
        <f t="shared" ca="1" si="4"/>
        <v>1299709.7364690192</v>
      </c>
      <c r="BL15" s="337">
        <f t="shared" ca="1" si="4"/>
        <v>1273516.5609774683</v>
      </c>
      <c r="BM15" s="337">
        <f t="shared" ca="1" si="4"/>
        <v>1244417.4074103001</v>
      </c>
      <c r="BN15" s="337">
        <f t="shared" ca="1" si="4"/>
        <v>1204838.4321943007</v>
      </c>
      <c r="BO15" s="337">
        <f t="shared" ca="1" si="4"/>
        <v>1205792.1866024113</v>
      </c>
      <c r="BP15" s="337">
        <f t="shared" ca="1" si="4"/>
        <v>1234140.3429631561</v>
      </c>
      <c r="BQ15" s="338">
        <f t="shared" ca="1" si="4"/>
        <v>1284612.4859304707</v>
      </c>
      <c r="BR15" s="336">
        <f t="shared" ca="1" si="4"/>
        <v>1357262.0749350362</v>
      </c>
      <c r="BS15" s="337">
        <f t="shared" ca="1" si="4"/>
        <v>1444471.8148242789</v>
      </c>
      <c r="BT15" s="337">
        <f t="shared" ca="1" si="4"/>
        <v>1857169.9499469181</v>
      </c>
      <c r="BU15" s="337">
        <f t="shared" ca="1" si="4"/>
        <v>1911340.9232226461</v>
      </c>
      <c r="BV15" s="337">
        <f t="shared" ca="1" si="4"/>
        <v>2053811.7227207909</v>
      </c>
      <c r="BW15" s="337">
        <f t="shared" ca="1" si="4"/>
        <v>2224942.9124912904</v>
      </c>
      <c r="BX15" s="337">
        <f t="shared" ca="1" si="4"/>
        <v>2348051.170221841</v>
      </c>
      <c r="BY15" s="337">
        <f t="shared" ca="1" si="4"/>
        <v>2529638.8527838378</v>
      </c>
      <c r="BZ15" s="337">
        <f t="shared" ca="1" si="4"/>
        <v>2773988.2310282318</v>
      </c>
      <c r="CA15" s="337">
        <f t="shared" ca="1" si="4"/>
        <v>3106310.6830433346</v>
      </c>
      <c r="CB15" s="337">
        <f t="shared" ca="1" si="4"/>
        <v>3443170.6383971763</v>
      </c>
      <c r="CC15" s="338">
        <f t="shared" ca="1" si="4"/>
        <v>3945708.2903943411</v>
      </c>
    </row>
    <row r="16" spans="1:81" ht="14" hidden="1">
      <c r="A16" s="387" t="s">
        <v>227</v>
      </c>
      <c r="B16" s="388"/>
      <c r="C16" s="130">
        <f t="shared" ref="C16:CC16" si="5">ABS(C15)</f>
        <v>430000</v>
      </c>
      <c r="D16" s="130">
        <f t="shared" ca="1" si="5"/>
        <v>421377.79637461604</v>
      </c>
      <c r="E16" s="130">
        <f t="shared" ca="1" si="5"/>
        <v>410979.15168560733</v>
      </c>
      <c r="F16" s="130">
        <f t="shared" ca="1" si="5"/>
        <v>515375.07025360136</v>
      </c>
      <c r="G16" s="130">
        <f t="shared" ca="1" si="5"/>
        <v>508729.49529900856</v>
      </c>
      <c r="H16" s="130">
        <f t="shared" ca="1" si="5"/>
        <v>497728.57114872191</v>
      </c>
      <c r="I16" s="130">
        <f t="shared" ca="1" si="5"/>
        <v>471063.09156012331</v>
      </c>
      <c r="J16" s="130">
        <f t="shared" ca="1" si="5"/>
        <v>436523.68463203253</v>
      </c>
      <c r="K16" s="130">
        <f t="shared" ca="1" si="5"/>
        <v>423044.76215489249</v>
      </c>
      <c r="L16" s="130">
        <f t="shared" ca="1" si="5"/>
        <v>794096.87041058391</v>
      </c>
      <c r="M16" s="130">
        <f t="shared" ca="1" si="5"/>
        <v>767522.58361416787</v>
      </c>
      <c r="N16" s="130">
        <f t="shared" ca="1" si="5"/>
        <v>751136.74956286023</v>
      </c>
      <c r="O16" s="130">
        <f t="shared" ca="1" si="5"/>
        <v>720907.96307778533</v>
      </c>
      <c r="P16" s="130">
        <f t="shared" ca="1" si="5"/>
        <v>705893.5889223147</v>
      </c>
      <c r="Q16" s="130">
        <f t="shared" ca="1" si="5"/>
        <v>675718.95661614405</v>
      </c>
      <c r="R16" s="130">
        <f t="shared" ca="1" si="5"/>
        <v>635639.07956781751</v>
      </c>
      <c r="S16" s="130">
        <f t="shared" ca="1" si="5"/>
        <v>583343.99732121907</v>
      </c>
      <c r="T16" s="130">
        <f t="shared" ca="1" si="5"/>
        <v>532086.73111903318</v>
      </c>
      <c r="U16" s="130">
        <f t="shared" ca="1" si="5"/>
        <v>494393.50298922526</v>
      </c>
      <c r="V16" s="130">
        <f t="shared" ca="1" si="5"/>
        <v>470873.21397881565</v>
      </c>
      <c r="W16" s="130">
        <f t="shared" ca="1" si="5"/>
        <v>454473.12236276106</v>
      </c>
      <c r="X16" s="130">
        <f t="shared" ca="1" si="5"/>
        <v>540944.5208781031</v>
      </c>
      <c r="Y16" s="130">
        <f t="shared" ca="1" si="5"/>
        <v>515397.43559941294</v>
      </c>
      <c r="Z16" s="130">
        <f t="shared" ca="1" si="5"/>
        <v>502500.25220538554</v>
      </c>
      <c r="AA16" s="130">
        <f t="shared" ca="1" si="5"/>
        <v>269268.79094565421</v>
      </c>
      <c r="AB16" s="130">
        <f t="shared" ca="1" si="5"/>
        <v>258506.07356926109</v>
      </c>
      <c r="AC16" s="130">
        <f t="shared" ca="1" si="5"/>
        <v>248954.31689879097</v>
      </c>
      <c r="AD16" s="130">
        <f t="shared" ca="1" si="5"/>
        <v>229692.43866010461</v>
      </c>
      <c r="AE16" s="130">
        <f t="shared" ca="1" si="5"/>
        <v>221655.33694053153</v>
      </c>
      <c r="AF16" s="130">
        <f t="shared" ca="1" si="5"/>
        <v>216038.86025875914</v>
      </c>
      <c r="AG16" s="130">
        <f t="shared" ca="1" si="5"/>
        <v>201756.46534462395</v>
      </c>
      <c r="AH16" s="130">
        <f t="shared" ca="1" si="5"/>
        <v>205917.95596096516</v>
      </c>
      <c r="AI16" s="130">
        <f t="shared" ca="1" si="5"/>
        <v>214542.3457184397</v>
      </c>
      <c r="AJ16" s="130">
        <f t="shared" ca="1" si="5"/>
        <v>328222.67583948548</v>
      </c>
      <c r="AK16" s="130">
        <f t="shared" ca="1" si="5"/>
        <v>328990.23711201717</v>
      </c>
      <c r="AL16" s="130">
        <f t="shared" ca="1" si="5"/>
        <v>341166.73298508895</v>
      </c>
      <c r="AM16" s="130">
        <f t="shared" ca="1" si="5"/>
        <v>346124.10689315916</v>
      </c>
      <c r="AN16" s="130">
        <f t="shared" ca="1" si="5"/>
        <v>363499.50477759202</v>
      </c>
      <c r="AO16" s="130">
        <f t="shared" ca="1" si="5"/>
        <v>382574.1836393745</v>
      </c>
      <c r="AP16" s="130">
        <f t="shared" ca="1" si="5"/>
        <v>392745.55643661454</v>
      </c>
      <c r="AQ16" s="130">
        <f t="shared" ca="1" si="5"/>
        <v>415169.1909525813</v>
      </c>
      <c r="AR16" s="130">
        <f t="shared" ca="1" si="5"/>
        <v>439242.80865593662</v>
      </c>
      <c r="AS16" s="130">
        <f t="shared" ca="1" si="5"/>
        <v>460489.32405479677</v>
      </c>
      <c r="AT16" s="130">
        <f t="shared" ca="1" si="5"/>
        <v>478137.62316112209</v>
      </c>
      <c r="AU16" s="130">
        <f t="shared" ca="1" si="5"/>
        <v>520111.46011901769</v>
      </c>
      <c r="AV16" s="130">
        <f t="shared" ca="1" si="5"/>
        <v>697728.43005754671</v>
      </c>
      <c r="AW16" s="130">
        <f t="shared" ca="1" si="5"/>
        <v>721680.32720679033</v>
      </c>
      <c r="AX16" s="130">
        <f t="shared" ca="1" si="5"/>
        <v>761634.21463297249</v>
      </c>
      <c r="AY16" s="130">
        <f t="shared" ca="1" si="5"/>
        <v>798330.33738009282</v>
      </c>
      <c r="AZ16" s="130">
        <f t="shared" ca="1" si="5"/>
        <v>839516.93550414208</v>
      </c>
      <c r="BA16" s="130">
        <f t="shared" ca="1" si="5"/>
        <v>884014.26170607435</v>
      </c>
      <c r="BB16" s="130">
        <f t="shared" ca="1" si="5"/>
        <v>925940.73785821709</v>
      </c>
      <c r="BC16" s="130">
        <f t="shared" ca="1" si="5"/>
        <v>969604.25524107472</v>
      </c>
      <c r="BD16" s="130">
        <f t="shared" ca="1" si="5"/>
        <v>1010693.8388602366</v>
      </c>
      <c r="BE16" s="130">
        <f t="shared" ca="1" si="5"/>
        <v>1044551.0413865101</v>
      </c>
      <c r="BF16" s="130">
        <f t="shared" ca="1" si="5"/>
        <v>1062507.8840227197</v>
      </c>
      <c r="BG16" s="130">
        <f t="shared" ca="1" si="5"/>
        <v>1088236.816133698</v>
      </c>
      <c r="BH16" s="130">
        <f t="shared" ca="1" si="5"/>
        <v>1330677.6611865789</v>
      </c>
      <c r="BI16" s="130">
        <f t="shared" ca="1" si="5"/>
        <v>1324038.0715332893</v>
      </c>
      <c r="BJ16" s="130">
        <f t="shared" ca="1" si="5"/>
        <v>1316943.8456986633</v>
      </c>
      <c r="BK16" s="130">
        <f t="shared" ca="1" si="5"/>
        <v>1299709.7364690192</v>
      </c>
      <c r="BL16" s="130">
        <f t="shared" ca="1" si="5"/>
        <v>1273516.5609774683</v>
      </c>
      <c r="BM16" s="130">
        <f t="shared" ca="1" si="5"/>
        <v>1244417.4074103001</v>
      </c>
      <c r="BN16" s="130">
        <f t="shared" ca="1" si="5"/>
        <v>1204838.4321943007</v>
      </c>
      <c r="BO16" s="130">
        <f t="shared" ca="1" si="5"/>
        <v>1205792.1866024113</v>
      </c>
      <c r="BP16" s="130">
        <f t="shared" ca="1" si="5"/>
        <v>1234140.3429631561</v>
      </c>
      <c r="BQ16" s="130">
        <f t="shared" ca="1" si="5"/>
        <v>1284612.4859304707</v>
      </c>
      <c r="BR16" s="130">
        <f t="shared" ca="1" si="5"/>
        <v>1357262.0749350362</v>
      </c>
      <c r="BS16" s="130">
        <f t="shared" ca="1" si="5"/>
        <v>1444471.8148242789</v>
      </c>
      <c r="BT16" s="130">
        <f t="shared" ca="1" si="5"/>
        <v>1857169.9499469181</v>
      </c>
      <c r="BU16" s="130">
        <f t="shared" ca="1" si="5"/>
        <v>1911340.9232226461</v>
      </c>
      <c r="BV16" s="130">
        <f t="shared" ca="1" si="5"/>
        <v>2053811.7227207909</v>
      </c>
      <c r="BW16" s="130">
        <f t="shared" ca="1" si="5"/>
        <v>2224942.9124912904</v>
      </c>
      <c r="BX16" s="130">
        <f t="shared" ca="1" si="5"/>
        <v>2348051.170221841</v>
      </c>
      <c r="BY16" s="130">
        <f t="shared" ca="1" si="5"/>
        <v>2529638.8527838378</v>
      </c>
      <c r="BZ16" s="130">
        <f t="shared" ca="1" si="5"/>
        <v>2773988.2310282318</v>
      </c>
      <c r="CA16" s="130">
        <f t="shared" ca="1" si="5"/>
        <v>3106310.6830433346</v>
      </c>
      <c r="CB16" s="130">
        <f t="shared" ca="1" si="5"/>
        <v>3443170.6383971763</v>
      </c>
      <c r="CC16" s="130">
        <f t="shared" ca="1" si="5"/>
        <v>3945708.2903943411</v>
      </c>
    </row>
    <row r="17" spans="1:4" ht="14">
      <c r="A17" s="4"/>
      <c r="B17" s="4"/>
    </row>
    <row r="18" spans="1:4" ht="14">
      <c r="A18" s="2" t="s">
        <v>228</v>
      </c>
      <c r="B18" s="2"/>
    </row>
    <row r="19" spans="1:4" ht="14">
      <c r="A19" s="2"/>
      <c r="B19" s="2"/>
      <c r="C19" s="29"/>
      <c r="D19" s="29"/>
    </row>
    <row r="20" spans="1:4" ht="14">
      <c r="A20" s="2" t="s">
        <v>229</v>
      </c>
      <c r="B20" s="2"/>
      <c r="C20" s="29" t="s">
        <v>230</v>
      </c>
      <c r="D20" s="29" t="s">
        <v>231</v>
      </c>
    </row>
    <row r="21" spans="1:4" ht="14">
      <c r="A21" s="3" t="s">
        <v>232</v>
      </c>
      <c r="B21" s="3"/>
      <c r="C21" s="389">
        <v>30</v>
      </c>
      <c r="D21" s="135">
        <f t="shared" ref="D21:D23" si="6">C21/30</f>
        <v>1</v>
      </c>
    </row>
    <row r="22" spans="1:4" ht="14">
      <c r="A22" s="3" t="s">
        <v>233</v>
      </c>
      <c r="B22" s="3"/>
      <c r="C22" s="389">
        <v>60</v>
      </c>
      <c r="D22" s="135">
        <f t="shared" si="6"/>
        <v>2</v>
      </c>
    </row>
    <row r="23" spans="1:4" ht="14">
      <c r="A23" s="3" t="s">
        <v>234</v>
      </c>
      <c r="B23" s="3"/>
      <c r="C23" s="389">
        <v>30</v>
      </c>
      <c r="D23" s="135">
        <f t="shared" si="6"/>
        <v>1</v>
      </c>
    </row>
    <row r="24" spans="1:4" ht="14">
      <c r="A24" s="3"/>
      <c r="B24" s="3"/>
    </row>
    <row r="25" spans="1:4" ht="14">
      <c r="A25" s="3"/>
      <c r="B25" s="3"/>
    </row>
    <row r="26" spans="1:4" ht="14">
      <c r="A26" s="390" t="s">
        <v>235</v>
      </c>
      <c r="B26" s="390"/>
      <c r="C26" s="29" t="s">
        <v>230</v>
      </c>
      <c r="D26" s="29" t="s">
        <v>231</v>
      </c>
    </row>
    <row r="27" spans="1:4" ht="14">
      <c r="A27" s="3" t="s">
        <v>236</v>
      </c>
      <c r="B27" s="3"/>
      <c r="C27" s="389">
        <v>30</v>
      </c>
      <c r="D27" s="135">
        <f t="shared" ref="D27:D29" si="7">C27/30</f>
        <v>1</v>
      </c>
    </row>
    <row r="28" spans="1:4" ht="14">
      <c r="A28" s="3" t="s">
        <v>237</v>
      </c>
      <c r="B28" s="3"/>
      <c r="C28" s="389">
        <v>0</v>
      </c>
      <c r="D28" s="135">
        <f t="shared" si="7"/>
        <v>0</v>
      </c>
    </row>
    <row r="29" spans="1:4" ht="14">
      <c r="A29" s="3" t="s">
        <v>238</v>
      </c>
      <c r="B29" s="3"/>
      <c r="C29" s="389">
        <v>30</v>
      </c>
      <c r="D29" s="135">
        <f t="shared" si="7"/>
        <v>1</v>
      </c>
    </row>
    <row r="30" spans="1:4" ht="14">
      <c r="A30" s="4"/>
      <c r="B30" s="4"/>
    </row>
    <row r="31" spans="1:4" ht="14">
      <c r="A31" s="4"/>
      <c r="B31" s="4"/>
    </row>
    <row r="32" spans="1:4" ht="14">
      <c r="A32" s="2" t="s">
        <v>25</v>
      </c>
      <c r="B32" s="2"/>
      <c r="C32" s="184">
        <f ca="1">MIN(C15:CC15)</f>
        <v>201756.46534462395</v>
      </c>
      <c r="D32" s="94">
        <f t="array" aca="1" ref="D32" ca="1">INDEX(C3:CC3,MATCH(C32,C15:CC15,0))</f>
        <v>46722</v>
      </c>
    </row>
    <row r="33" spans="1:8" ht="14">
      <c r="A33" s="2" t="s">
        <v>239</v>
      </c>
      <c r="B33" s="4"/>
      <c r="C33" s="94" t="e">
        <f ca="1">IF(C42&lt;0, IF(C38&gt;0, OFFSET(C3,0,C38),OFFSET(C3,0,-C38-1)),"Runaway au delà de 2031")</f>
        <v>#N/A</v>
      </c>
      <c r="D33" s="11" t="s">
        <v>240</v>
      </c>
    </row>
    <row r="34" spans="1:8" ht="13">
      <c r="C34" s="391"/>
      <c r="D34" s="392"/>
      <c r="E34" s="392"/>
      <c r="F34" s="392"/>
      <c r="G34" s="392"/>
      <c r="H34" s="392"/>
    </row>
    <row r="36" spans="1:8" ht="13" hidden="1">
      <c r="C36" s="393"/>
    </row>
    <row r="37" spans="1:8" ht="13" hidden="1">
      <c r="C37" s="11" t="e">
        <f ca="1">MATCH(C42,C15:CC15,0)</f>
        <v>#N/A</v>
      </c>
    </row>
    <row r="38" spans="1:8" ht="13" hidden="1">
      <c r="C38" s="11" t="e">
        <f ca="1">IF(OFFSET(B15,0,C37)&gt;0,C37,-C37)</f>
        <v>#N/A</v>
      </c>
    </row>
    <row r="39" spans="1:8" ht="13" hidden="1"/>
    <row r="40" spans="1:8" ht="13" hidden="1"/>
    <row r="41" spans="1:8" ht="13" hidden="1"/>
    <row r="42" spans="1:8" ht="13" hidden="1">
      <c r="C42" s="11" t="e">
        <f t="array" aca="1" ref="C42" ca="1">INDEX(C15:CC15,MATCH(TRUE(),C15:CC15&lt;0,0))</f>
        <v>#N/A</v>
      </c>
    </row>
    <row r="43" spans="1:8" ht="13" hidden="1"/>
    <row r="44" spans="1:8" ht="13" hidden="1"/>
    <row r="45" spans="1:8" ht="13" hidden="1"/>
  </sheetData>
  <mergeCells count="7">
    <mergeCell ref="BF2:BQ2"/>
    <mergeCell ref="BR2:CC2"/>
    <mergeCell ref="C2:I2"/>
    <mergeCell ref="J2:U2"/>
    <mergeCell ref="V2:AG2"/>
    <mergeCell ref="AH2:AS2"/>
    <mergeCell ref="AT2:B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CV132"/>
  <sheetViews>
    <sheetView topLeftCell="CA3" workbookViewId="0"/>
  </sheetViews>
  <sheetFormatPr baseColWidth="10" defaultColWidth="12.6640625" defaultRowHeight="15.75" customHeight="1" outlineLevelRow="1"/>
  <cols>
    <col min="1" max="1" width="23.1640625" customWidth="1"/>
    <col min="2" max="2" width="22.6640625" customWidth="1"/>
    <col min="3" max="3" width="21.33203125" customWidth="1"/>
    <col min="11" max="11" width="14.6640625" customWidth="1"/>
    <col min="96" max="97" width="15.1640625" customWidth="1"/>
    <col min="98" max="100" width="21.1640625" customWidth="1"/>
  </cols>
  <sheetData>
    <row r="2" spans="1:100" ht="15">
      <c r="A2" s="394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5"/>
      <c r="Q2" s="703">
        <v>2025</v>
      </c>
      <c r="R2" s="709"/>
      <c r="S2" s="709"/>
      <c r="T2" s="709"/>
      <c r="U2" s="709"/>
      <c r="V2" s="709"/>
      <c r="W2" s="704"/>
      <c r="X2" s="708">
        <v>2026</v>
      </c>
      <c r="Y2" s="709"/>
      <c r="Z2" s="709"/>
      <c r="AA2" s="709"/>
      <c r="AB2" s="709"/>
      <c r="AC2" s="709"/>
      <c r="AD2" s="709"/>
      <c r="AE2" s="709"/>
      <c r="AF2" s="709"/>
      <c r="AG2" s="709"/>
      <c r="AH2" s="709"/>
      <c r="AI2" s="704"/>
      <c r="AJ2" s="710">
        <v>2027</v>
      </c>
      <c r="AK2" s="709"/>
      <c r="AL2" s="709"/>
      <c r="AM2" s="709"/>
      <c r="AN2" s="709"/>
      <c r="AO2" s="709"/>
      <c r="AP2" s="709"/>
      <c r="AQ2" s="709"/>
      <c r="AR2" s="709"/>
      <c r="AS2" s="709"/>
      <c r="AT2" s="709"/>
      <c r="AU2" s="704"/>
      <c r="AV2" s="710">
        <v>2028</v>
      </c>
      <c r="AW2" s="709"/>
      <c r="AX2" s="709"/>
      <c r="AY2" s="709"/>
      <c r="AZ2" s="709"/>
      <c r="BA2" s="709"/>
      <c r="BB2" s="709"/>
      <c r="BC2" s="709"/>
      <c r="BD2" s="709"/>
      <c r="BE2" s="709"/>
      <c r="BF2" s="709"/>
      <c r="BG2" s="704"/>
      <c r="BH2" s="710">
        <v>2029</v>
      </c>
      <c r="BI2" s="709"/>
      <c r="BJ2" s="709"/>
      <c r="BK2" s="709"/>
      <c r="BL2" s="709"/>
      <c r="BM2" s="709"/>
      <c r="BN2" s="709"/>
      <c r="BO2" s="709"/>
      <c r="BP2" s="709"/>
      <c r="BQ2" s="709"/>
      <c r="BR2" s="709"/>
      <c r="BS2" s="704"/>
      <c r="BT2" s="711">
        <v>2030</v>
      </c>
      <c r="BU2" s="709"/>
      <c r="BV2" s="709"/>
      <c r="BW2" s="709"/>
      <c r="BX2" s="709"/>
      <c r="BY2" s="709"/>
      <c r="BZ2" s="709"/>
      <c r="CA2" s="709"/>
      <c r="CB2" s="709"/>
      <c r="CC2" s="709"/>
      <c r="CD2" s="709"/>
      <c r="CE2" s="704"/>
      <c r="CF2" s="711">
        <v>2031</v>
      </c>
      <c r="CG2" s="709"/>
      <c r="CH2" s="709"/>
      <c r="CI2" s="709"/>
      <c r="CJ2" s="709"/>
      <c r="CK2" s="709"/>
      <c r="CL2" s="709"/>
      <c r="CM2" s="709"/>
      <c r="CN2" s="709"/>
      <c r="CO2" s="709"/>
      <c r="CP2" s="709"/>
      <c r="CQ2" s="704"/>
      <c r="CR2" s="166"/>
      <c r="CS2" s="166"/>
      <c r="CT2" s="166"/>
      <c r="CU2" s="166"/>
      <c r="CV2" s="166"/>
    </row>
    <row r="3" spans="1:100" ht="48">
      <c r="A3" s="396" t="s">
        <v>241</v>
      </c>
      <c r="B3" s="397" t="s">
        <v>242</v>
      </c>
      <c r="C3" s="397" t="s">
        <v>243</v>
      </c>
      <c r="D3" s="397" t="s">
        <v>244</v>
      </c>
      <c r="E3" s="397" t="s">
        <v>245</v>
      </c>
      <c r="F3" s="398" t="s">
        <v>246</v>
      </c>
      <c r="G3" s="398" t="s">
        <v>247</v>
      </c>
      <c r="H3" s="397" t="s">
        <v>248</v>
      </c>
      <c r="I3" s="397" t="s">
        <v>249</v>
      </c>
      <c r="J3" s="397" t="s">
        <v>250</v>
      </c>
      <c r="K3" s="397" t="s">
        <v>251</v>
      </c>
      <c r="L3" s="397" t="s">
        <v>252</v>
      </c>
      <c r="M3" s="397" t="s">
        <v>253</v>
      </c>
      <c r="N3" s="397" t="s">
        <v>254</v>
      </c>
      <c r="O3" s="397" t="s">
        <v>255</v>
      </c>
      <c r="P3" s="399" t="s">
        <v>256</v>
      </c>
      <c r="Q3" s="169">
        <v>45809</v>
      </c>
      <c r="R3" s="169">
        <v>45839</v>
      </c>
      <c r="S3" s="169">
        <v>45870</v>
      </c>
      <c r="T3" s="169">
        <v>45901</v>
      </c>
      <c r="U3" s="169">
        <v>45931</v>
      </c>
      <c r="V3" s="169">
        <v>45962</v>
      </c>
      <c r="W3" s="169">
        <v>45992</v>
      </c>
      <c r="X3" s="169">
        <v>46023</v>
      </c>
      <c r="Y3" s="169">
        <v>46054</v>
      </c>
      <c r="Z3" s="169">
        <v>46082</v>
      </c>
      <c r="AA3" s="169">
        <v>46113</v>
      </c>
      <c r="AB3" s="169">
        <v>46143</v>
      </c>
      <c r="AC3" s="169">
        <v>46174</v>
      </c>
      <c r="AD3" s="169">
        <v>46204</v>
      </c>
      <c r="AE3" s="169">
        <v>46235</v>
      </c>
      <c r="AF3" s="169">
        <v>46266</v>
      </c>
      <c r="AG3" s="169">
        <v>46296</v>
      </c>
      <c r="AH3" s="169">
        <v>46327</v>
      </c>
      <c r="AI3" s="169">
        <v>46357</v>
      </c>
      <c r="AJ3" s="169">
        <v>46388</v>
      </c>
      <c r="AK3" s="169">
        <v>46419</v>
      </c>
      <c r="AL3" s="169">
        <v>46447</v>
      </c>
      <c r="AM3" s="169">
        <v>46478</v>
      </c>
      <c r="AN3" s="169">
        <v>46508</v>
      </c>
      <c r="AO3" s="169">
        <v>46539</v>
      </c>
      <c r="AP3" s="169">
        <v>46569</v>
      </c>
      <c r="AQ3" s="169">
        <v>46600</v>
      </c>
      <c r="AR3" s="169">
        <v>46631</v>
      </c>
      <c r="AS3" s="169">
        <v>46661</v>
      </c>
      <c r="AT3" s="169">
        <v>46692</v>
      </c>
      <c r="AU3" s="169">
        <v>46722</v>
      </c>
      <c r="AV3" s="169">
        <v>46753</v>
      </c>
      <c r="AW3" s="169">
        <v>46784</v>
      </c>
      <c r="AX3" s="169">
        <v>46813</v>
      </c>
      <c r="AY3" s="169">
        <v>46844</v>
      </c>
      <c r="AZ3" s="169">
        <v>46874</v>
      </c>
      <c r="BA3" s="169">
        <v>46905</v>
      </c>
      <c r="BB3" s="169">
        <v>46935</v>
      </c>
      <c r="BC3" s="169">
        <v>46966</v>
      </c>
      <c r="BD3" s="169">
        <v>46997</v>
      </c>
      <c r="BE3" s="169">
        <v>47027</v>
      </c>
      <c r="BF3" s="169">
        <v>47058</v>
      </c>
      <c r="BG3" s="169">
        <v>47088</v>
      </c>
      <c r="BH3" s="169">
        <v>47119</v>
      </c>
      <c r="BI3" s="169">
        <v>47150</v>
      </c>
      <c r="BJ3" s="169">
        <v>47178</v>
      </c>
      <c r="BK3" s="169">
        <v>47209</v>
      </c>
      <c r="BL3" s="169">
        <v>47239</v>
      </c>
      <c r="BM3" s="169">
        <v>47270</v>
      </c>
      <c r="BN3" s="169">
        <v>47300</v>
      </c>
      <c r="BO3" s="169">
        <v>47331</v>
      </c>
      <c r="BP3" s="169">
        <v>47362</v>
      </c>
      <c r="BQ3" s="169">
        <v>47392</v>
      </c>
      <c r="BR3" s="169">
        <v>47423</v>
      </c>
      <c r="BS3" s="169">
        <v>47453</v>
      </c>
      <c r="BT3" s="169">
        <v>47484</v>
      </c>
      <c r="BU3" s="169">
        <v>47515</v>
      </c>
      <c r="BV3" s="169">
        <v>47543</v>
      </c>
      <c r="BW3" s="169">
        <v>47574</v>
      </c>
      <c r="BX3" s="169">
        <v>47604</v>
      </c>
      <c r="BY3" s="169">
        <v>47635</v>
      </c>
      <c r="BZ3" s="169">
        <v>47665</v>
      </c>
      <c r="CA3" s="169">
        <v>47696</v>
      </c>
      <c r="CB3" s="169">
        <v>47727</v>
      </c>
      <c r="CC3" s="169">
        <v>47757</v>
      </c>
      <c r="CD3" s="169">
        <v>47788</v>
      </c>
      <c r="CE3" s="169">
        <v>47818</v>
      </c>
      <c r="CF3" s="169">
        <v>47849</v>
      </c>
      <c r="CG3" s="169">
        <v>47880</v>
      </c>
      <c r="CH3" s="169">
        <v>47908</v>
      </c>
      <c r="CI3" s="169">
        <v>47939</v>
      </c>
      <c r="CJ3" s="169">
        <v>47969</v>
      </c>
      <c r="CK3" s="169">
        <v>48000</v>
      </c>
      <c r="CL3" s="169">
        <v>48030</v>
      </c>
      <c r="CM3" s="169">
        <v>48061</v>
      </c>
      <c r="CN3" s="169">
        <v>48092</v>
      </c>
      <c r="CO3" s="169">
        <v>48122</v>
      </c>
      <c r="CP3" s="169">
        <v>48153</v>
      </c>
      <c r="CQ3" s="169">
        <v>48183</v>
      </c>
      <c r="CR3" s="166"/>
      <c r="CS3" s="166" t="s">
        <v>257</v>
      </c>
      <c r="CT3" s="166" t="s">
        <v>258</v>
      </c>
      <c r="CU3" s="166" t="s">
        <v>259</v>
      </c>
      <c r="CV3" s="166" t="s">
        <v>260</v>
      </c>
    </row>
    <row r="4" spans="1:100" ht="15">
      <c r="A4" s="400" t="s">
        <v>261</v>
      </c>
      <c r="B4" s="401" t="s">
        <v>83</v>
      </c>
      <c r="C4" s="401" t="s">
        <v>262</v>
      </c>
      <c r="D4" s="10"/>
      <c r="E4" s="402" t="s">
        <v>263</v>
      </c>
      <c r="F4" s="403">
        <v>45658</v>
      </c>
      <c r="G4" s="403">
        <v>51161</v>
      </c>
      <c r="H4" s="404"/>
      <c r="I4" s="405">
        <v>1</v>
      </c>
      <c r="J4" s="406">
        <v>34000</v>
      </c>
      <c r="K4" s="407">
        <f t="shared" ref="K4:O4" si="0">J4*(1+5%)</f>
        <v>35700</v>
      </c>
      <c r="L4" s="407">
        <f t="shared" si="0"/>
        <v>37485</v>
      </c>
      <c r="M4" s="407">
        <f t="shared" si="0"/>
        <v>39359.25</v>
      </c>
      <c r="N4" s="407">
        <f t="shared" si="0"/>
        <v>41327.212500000001</v>
      </c>
      <c r="O4" s="407">
        <f t="shared" si="0"/>
        <v>43393.573125000003</v>
      </c>
      <c r="P4" s="408">
        <v>0.15</v>
      </c>
      <c r="Q4" s="409">
        <f t="shared" ref="Q4:W4" si="1">IF($F4&lt;(Q$3+1),$J4/12,0)*IF($G4&gt;(Q$3),1,0)*$I4</f>
        <v>2833.3333333333335</v>
      </c>
      <c r="R4" s="409">
        <f t="shared" si="1"/>
        <v>2833.3333333333335</v>
      </c>
      <c r="S4" s="409">
        <f t="shared" si="1"/>
        <v>2833.3333333333335</v>
      </c>
      <c r="T4" s="409">
        <f t="shared" si="1"/>
        <v>2833.3333333333335</v>
      </c>
      <c r="U4" s="409">
        <f t="shared" si="1"/>
        <v>2833.3333333333335</v>
      </c>
      <c r="V4" s="409">
        <f t="shared" si="1"/>
        <v>2833.3333333333335</v>
      </c>
      <c r="W4" s="410">
        <f t="shared" si="1"/>
        <v>2833.3333333333335</v>
      </c>
      <c r="X4" s="409">
        <f t="shared" ref="X4:BG4" si="2">IF($F4&lt;(X$3+1),$K4/12,0)*IF($G4&gt;(X$3),1,0)*$I4</f>
        <v>2975</v>
      </c>
      <c r="Y4" s="409">
        <f t="shared" si="2"/>
        <v>2975</v>
      </c>
      <c r="Z4" s="409">
        <f t="shared" si="2"/>
        <v>2975</v>
      </c>
      <c r="AA4" s="409">
        <f t="shared" si="2"/>
        <v>2975</v>
      </c>
      <c r="AB4" s="409">
        <f t="shared" si="2"/>
        <v>2975</v>
      </c>
      <c r="AC4" s="409">
        <f t="shared" si="2"/>
        <v>2975</v>
      </c>
      <c r="AD4" s="409">
        <f t="shared" si="2"/>
        <v>2975</v>
      </c>
      <c r="AE4" s="409">
        <f t="shared" si="2"/>
        <v>2975</v>
      </c>
      <c r="AF4" s="409">
        <f t="shared" si="2"/>
        <v>2975</v>
      </c>
      <c r="AG4" s="409">
        <f t="shared" si="2"/>
        <v>2975</v>
      </c>
      <c r="AH4" s="409">
        <f t="shared" si="2"/>
        <v>2975</v>
      </c>
      <c r="AI4" s="410">
        <f t="shared" si="2"/>
        <v>2975</v>
      </c>
      <c r="AJ4" s="411">
        <f t="shared" si="2"/>
        <v>2975</v>
      </c>
      <c r="AK4" s="409">
        <f t="shared" si="2"/>
        <v>2975</v>
      </c>
      <c r="AL4" s="409">
        <f t="shared" si="2"/>
        <v>2975</v>
      </c>
      <c r="AM4" s="409">
        <f t="shared" si="2"/>
        <v>2975</v>
      </c>
      <c r="AN4" s="409">
        <f t="shared" si="2"/>
        <v>2975</v>
      </c>
      <c r="AO4" s="409">
        <f t="shared" si="2"/>
        <v>2975</v>
      </c>
      <c r="AP4" s="409">
        <f t="shared" si="2"/>
        <v>2975</v>
      </c>
      <c r="AQ4" s="409">
        <f t="shared" si="2"/>
        <v>2975</v>
      </c>
      <c r="AR4" s="409">
        <f t="shared" si="2"/>
        <v>2975</v>
      </c>
      <c r="AS4" s="409">
        <f t="shared" si="2"/>
        <v>2975</v>
      </c>
      <c r="AT4" s="409">
        <f t="shared" si="2"/>
        <v>2975</v>
      </c>
      <c r="AU4" s="410">
        <f t="shared" si="2"/>
        <v>2975</v>
      </c>
      <c r="AV4" s="411">
        <f t="shared" si="2"/>
        <v>2975</v>
      </c>
      <c r="AW4" s="409">
        <f t="shared" si="2"/>
        <v>2975</v>
      </c>
      <c r="AX4" s="409">
        <f t="shared" si="2"/>
        <v>2975</v>
      </c>
      <c r="AY4" s="409">
        <f t="shared" si="2"/>
        <v>2975</v>
      </c>
      <c r="AZ4" s="409">
        <f t="shared" si="2"/>
        <v>2975</v>
      </c>
      <c r="BA4" s="409">
        <f t="shared" si="2"/>
        <v>2975</v>
      </c>
      <c r="BB4" s="409">
        <f t="shared" si="2"/>
        <v>2975</v>
      </c>
      <c r="BC4" s="409">
        <f t="shared" si="2"/>
        <v>2975</v>
      </c>
      <c r="BD4" s="409">
        <f t="shared" si="2"/>
        <v>2975</v>
      </c>
      <c r="BE4" s="409">
        <f t="shared" si="2"/>
        <v>2975</v>
      </c>
      <c r="BF4" s="409">
        <f t="shared" si="2"/>
        <v>2975</v>
      </c>
      <c r="BG4" s="410">
        <f t="shared" si="2"/>
        <v>2975</v>
      </c>
      <c r="BH4" s="411">
        <f t="shared" ref="BH4:BS4" si="3">IF($F4&lt;(BH$3+1),$L4/12,0)*IF($G4&gt;(BH$3),1,0)*$I4</f>
        <v>3123.75</v>
      </c>
      <c r="BI4" s="409">
        <f t="shared" si="3"/>
        <v>3123.75</v>
      </c>
      <c r="BJ4" s="409">
        <f t="shared" si="3"/>
        <v>3123.75</v>
      </c>
      <c r="BK4" s="409">
        <f t="shared" si="3"/>
        <v>3123.75</v>
      </c>
      <c r="BL4" s="409">
        <f t="shared" si="3"/>
        <v>3123.75</v>
      </c>
      <c r="BM4" s="409">
        <f t="shared" si="3"/>
        <v>3123.75</v>
      </c>
      <c r="BN4" s="409">
        <f t="shared" si="3"/>
        <v>3123.75</v>
      </c>
      <c r="BO4" s="409">
        <f t="shared" si="3"/>
        <v>3123.75</v>
      </c>
      <c r="BP4" s="409">
        <f t="shared" si="3"/>
        <v>3123.75</v>
      </c>
      <c r="BQ4" s="409">
        <f t="shared" si="3"/>
        <v>3123.75</v>
      </c>
      <c r="BR4" s="409">
        <f t="shared" si="3"/>
        <v>3123.75</v>
      </c>
      <c r="BS4" s="410">
        <f t="shared" si="3"/>
        <v>3123.75</v>
      </c>
      <c r="BT4" s="411">
        <f t="shared" ref="BT4:CE4" si="4">IF($F4&lt;(BT$3+1),$M4/12,0)*IF($G4&gt;(BT$3),1,0)*$I4</f>
        <v>3279.9375</v>
      </c>
      <c r="BU4" s="409">
        <f t="shared" si="4"/>
        <v>3279.9375</v>
      </c>
      <c r="BV4" s="409">
        <f t="shared" si="4"/>
        <v>3279.9375</v>
      </c>
      <c r="BW4" s="409">
        <f t="shared" si="4"/>
        <v>3279.9375</v>
      </c>
      <c r="BX4" s="409">
        <f t="shared" si="4"/>
        <v>3279.9375</v>
      </c>
      <c r="BY4" s="409">
        <f t="shared" si="4"/>
        <v>3279.9375</v>
      </c>
      <c r="BZ4" s="409">
        <f t="shared" si="4"/>
        <v>3279.9375</v>
      </c>
      <c r="CA4" s="409">
        <f t="shared" si="4"/>
        <v>3279.9375</v>
      </c>
      <c r="CB4" s="409">
        <f t="shared" si="4"/>
        <v>3279.9375</v>
      </c>
      <c r="CC4" s="409">
        <f t="shared" si="4"/>
        <v>3279.9375</v>
      </c>
      <c r="CD4" s="409">
        <f t="shared" si="4"/>
        <v>3279.9375</v>
      </c>
      <c r="CE4" s="410">
        <f t="shared" si="4"/>
        <v>3279.9375</v>
      </c>
      <c r="CF4" s="411">
        <f t="shared" ref="CF4:CQ4" si="5">IF($F4&lt;(CF$3+1),$N4/12,0)*IF($G4&gt;(CF$3),1,0)*$I4</f>
        <v>3443.9343750000003</v>
      </c>
      <c r="CG4" s="409">
        <f t="shared" si="5"/>
        <v>3443.9343750000003</v>
      </c>
      <c r="CH4" s="409">
        <f t="shared" si="5"/>
        <v>3443.9343750000003</v>
      </c>
      <c r="CI4" s="409">
        <f t="shared" si="5"/>
        <v>3443.9343750000003</v>
      </c>
      <c r="CJ4" s="409">
        <f t="shared" si="5"/>
        <v>3443.9343750000003</v>
      </c>
      <c r="CK4" s="409">
        <f t="shared" si="5"/>
        <v>3443.9343750000003</v>
      </c>
      <c r="CL4" s="409">
        <f t="shared" si="5"/>
        <v>3443.9343750000003</v>
      </c>
      <c r="CM4" s="409">
        <f t="shared" si="5"/>
        <v>3443.9343750000003</v>
      </c>
      <c r="CN4" s="409">
        <f t="shared" si="5"/>
        <v>3443.9343750000003</v>
      </c>
      <c r="CO4" s="409">
        <f t="shared" si="5"/>
        <v>3443.9343750000003</v>
      </c>
      <c r="CP4" s="409">
        <f t="shared" si="5"/>
        <v>3443.9343750000003</v>
      </c>
      <c r="CQ4" s="410">
        <f t="shared" si="5"/>
        <v>3443.9343750000003</v>
      </c>
      <c r="CR4" s="407"/>
      <c r="CS4" s="407" t="e">
        <f t="shared" ref="CS4:CS8" ca="1" si="6">SUM($Q7:$CQ7)*(1+_xludf.IFS(B4="FR",$C$99,B4="ES",$D$99,B4="CH",$E$99,B4="BE",$F$99,B4="DE",$G$99))</f>
        <v>#NAME?</v>
      </c>
      <c r="CT4" s="407">
        <f t="shared" ref="CT4:CT85" si="7">SUMIFS($Q4:$CQ4,$Q$3:$CQ$3,"&gt;"&amp;CU4,$Q$3:$CQ$3,"&lt;="&amp;CV4)</f>
        <v>98175</v>
      </c>
      <c r="CU4" s="412">
        <f>'Annexe C  Plan produit'!$H$52</f>
        <v>46082</v>
      </c>
      <c r="CV4" s="412">
        <f>'Annexe C  Plan produit'!$I$54</f>
        <v>47090.5</v>
      </c>
    </row>
    <row r="5" spans="1:100" ht="15">
      <c r="A5" s="400" t="s">
        <v>261</v>
      </c>
      <c r="B5" s="401" t="s">
        <v>83</v>
      </c>
      <c r="C5" s="401" t="s">
        <v>264</v>
      </c>
      <c r="E5" s="402" t="s">
        <v>265</v>
      </c>
      <c r="F5" s="403">
        <v>45659</v>
      </c>
      <c r="G5" s="403">
        <v>45864</v>
      </c>
      <c r="H5" s="413" t="s">
        <v>266</v>
      </c>
      <c r="I5" s="405">
        <v>1</v>
      </c>
      <c r="J5" s="406">
        <v>15000</v>
      </c>
      <c r="K5" s="407">
        <f t="shared" ref="K5:O5" si="8">J5*(1+5%)</f>
        <v>15750</v>
      </c>
      <c r="L5" s="407">
        <f t="shared" si="8"/>
        <v>16537.5</v>
      </c>
      <c r="M5" s="407">
        <f t="shared" si="8"/>
        <v>17364.375</v>
      </c>
      <c r="N5" s="407">
        <f t="shared" si="8"/>
        <v>18232.59375</v>
      </c>
      <c r="O5" s="407">
        <f t="shared" si="8"/>
        <v>19144.223437500001</v>
      </c>
      <c r="P5" s="408">
        <v>0.15</v>
      </c>
      <c r="Q5" s="414">
        <f t="shared" ref="Q5:W5" si="9">IF($F5&lt;(Q$3+1),$J5/12,0)*IF($G5&gt;(Q$3),1,0)*$I5</f>
        <v>1250</v>
      </c>
      <c r="R5" s="414">
        <f t="shared" si="9"/>
        <v>1250</v>
      </c>
      <c r="S5" s="414">
        <f t="shared" si="9"/>
        <v>0</v>
      </c>
      <c r="T5" s="414">
        <f t="shared" si="9"/>
        <v>0</v>
      </c>
      <c r="U5" s="414">
        <f t="shared" si="9"/>
        <v>0</v>
      </c>
      <c r="V5" s="414">
        <f t="shared" si="9"/>
        <v>0</v>
      </c>
      <c r="W5" s="415">
        <f t="shared" si="9"/>
        <v>0</v>
      </c>
      <c r="X5" s="416">
        <f t="shared" ref="X5:BG5" si="10">IF($F5&lt;(X$3+1),$K5/12,0)*IF($G5&gt;(X$3),1,0)*$I5</f>
        <v>0</v>
      </c>
      <c r="Y5" s="414">
        <f t="shared" si="10"/>
        <v>0</v>
      </c>
      <c r="Z5" s="414">
        <f t="shared" si="10"/>
        <v>0</v>
      </c>
      <c r="AA5" s="414">
        <f t="shared" si="10"/>
        <v>0</v>
      </c>
      <c r="AB5" s="414">
        <f t="shared" si="10"/>
        <v>0</v>
      </c>
      <c r="AC5" s="414">
        <f t="shared" si="10"/>
        <v>0</v>
      </c>
      <c r="AD5" s="414">
        <f t="shared" si="10"/>
        <v>0</v>
      </c>
      <c r="AE5" s="414">
        <f t="shared" si="10"/>
        <v>0</v>
      </c>
      <c r="AF5" s="414">
        <f t="shared" si="10"/>
        <v>0</v>
      </c>
      <c r="AG5" s="414">
        <f t="shared" si="10"/>
        <v>0</v>
      </c>
      <c r="AH5" s="414">
        <f t="shared" si="10"/>
        <v>0</v>
      </c>
      <c r="AI5" s="415">
        <f t="shared" si="10"/>
        <v>0</v>
      </c>
      <c r="AJ5" s="416">
        <f t="shared" si="10"/>
        <v>0</v>
      </c>
      <c r="AK5" s="414">
        <f t="shared" si="10"/>
        <v>0</v>
      </c>
      <c r="AL5" s="414">
        <f t="shared" si="10"/>
        <v>0</v>
      </c>
      <c r="AM5" s="414">
        <f t="shared" si="10"/>
        <v>0</v>
      </c>
      <c r="AN5" s="414">
        <f t="shared" si="10"/>
        <v>0</v>
      </c>
      <c r="AO5" s="414">
        <f t="shared" si="10"/>
        <v>0</v>
      </c>
      <c r="AP5" s="414">
        <f t="shared" si="10"/>
        <v>0</v>
      </c>
      <c r="AQ5" s="414">
        <f t="shared" si="10"/>
        <v>0</v>
      </c>
      <c r="AR5" s="414">
        <f t="shared" si="10"/>
        <v>0</v>
      </c>
      <c r="AS5" s="414">
        <f t="shared" si="10"/>
        <v>0</v>
      </c>
      <c r="AT5" s="414">
        <f t="shared" si="10"/>
        <v>0</v>
      </c>
      <c r="AU5" s="415">
        <f t="shared" si="10"/>
        <v>0</v>
      </c>
      <c r="AV5" s="416">
        <f t="shared" si="10"/>
        <v>0</v>
      </c>
      <c r="AW5" s="414">
        <f t="shared" si="10"/>
        <v>0</v>
      </c>
      <c r="AX5" s="414">
        <f t="shared" si="10"/>
        <v>0</v>
      </c>
      <c r="AY5" s="414">
        <f t="shared" si="10"/>
        <v>0</v>
      </c>
      <c r="AZ5" s="414">
        <f t="shared" si="10"/>
        <v>0</v>
      </c>
      <c r="BA5" s="414">
        <f t="shared" si="10"/>
        <v>0</v>
      </c>
      <c r="BB5" s="414">
        <f t="shared" si="10"/>
        <v>0</v>
      </c>
      <c r="BC5" s="414">
        <f t="shared" si="10"/>
        <v>0</v>
      </c>
      <c r="BD5" s="414">
        <f t="shared" si="10"/>
        <v>0</v>
      </c>
      <c r="BE5" s="414">
        <f t="shared" si="10"/>
        <v>0</v>
      </c>
      <c r="BF5" s="414">
        <f t="shared" si="10"/>
        <v>0</v>
      </c>
      <c r="BG5" s="415">
        <f t="shared" si="10"/>
        <v>0</v>
      </c>
      <c r="BH5" s="416">
        <f t="shared" ref="BH5:BS5" si="11">IF($F5&lt;(BH$3+1),$L5/12,0)*IF($G5&gt;(BH$3),1,0)*$I5</f>
        <v>0</v>
      </c>
      <c r="BI5" s="414">
        <f t="shared" si="11"/>
        <v>0</v>
      </c>
      <c r="BJ5" s="414">
        <f t="shared" si="11"/>
        <v>0</v>
      </c>
      <c r="BK5" s="414">
        <f t="shared" si="11"/>
        <v>0</v>
      </c>
      <c r="BL5" s="414">
        <f t="shared" si="11"/>
        <v>0</v>
      </c>
      <c r="BM5" s="414">
        <f t="shared" si="11"/>
        <v>0</v>
      </c>
      <c r="BN5" s="414">
        <f t="shared" si="11"/>
        <v>0</v>
      </c>
      <c r="BO5" s="414">
        <f t="shared" si="11"/>
        <v>0</v>
      </c>
      <c r="BP5" s="414">
        <f t="shared" si="11"/>
        <v>0</v>
      </c>
      <c r="BQ5" s="414">
        <f t="shared" si="11"/>
        <v>0</v>
      </c>
      <c r="BR5" s="414">
        <f t="shared" si="11"/>
        <v>0</v>
      </c>
      <c r="BS5" s="415">
        <f t="shared" si="11"/>
        <v>0</v>
      </c>
      <c r="BT5" s="416">
        <f t="shared" ref="BT5:CE5" si="12">IF($F5&lt;(BT$3+1),$M5/12,0)*IF($G5&gt;(BT$3),1,0)*$I5</f>
        <v>0</v>
      </c>
      <c r="BU5" s="414">
        <f t="shared" si="12"/>
        <v>0</v>
      </c>
      <c r="BV5" s="414">
        <f t="shared" si="12"/>
        <v>0</v>
      </c>
      <c r="BW5" s="414">
        <f t="shared" si="12"/>
        <v>0</v>
      </c>
      <c r="BX5" s="414">
        <f t="shared" si="12"/>
        <v>0</v>
      </c>
      <c r="BY5" s="414">
        <f t="shared" si="12"/>
        <v>0</v>
      </c>
      <c r="BZ5" s="414">
        <f t="shared" si="12"/>
        <v>0</v>
      </c>
      <c r="CA5" s="414">
        <f t="shared" si="12"/>
        <v>0</v>
      </c>
      <c r="CB5" s="414">
        <f t="shared" si="12"/>
        <v>0</v>
      </c>
      <c r="CC5" s="414">
        <f t="shared" si="12"/>
        <v>0</v>
      </c>
      <c r="CD5" s="414">
        <f t="shared" si="12"/>
        <v>0</v>
      </c>
      <c r="CE5" s="415">
        <f t="shared" si="12"/>
        <v>0</v>
      </c>
      <c r="CF5" s="416">
        <f t="shared" ref="CF5:CQ5" si="13">IF($F5&lt;(CF$3+1),$N5/12,0)*IF($G5&gt;(CF$3),1,0)*$I5</f>
        <v>0</v>
      </c>
      <c r="CG5" s="414">
        <f t="shared" si="13"/>
        <v>0</v>
      </c>
      <c r="CH5" s="414">
        <f t="shared" si="13"/>
        <v>0</v>
      </c>
      <c r="CI5" s="414">
        <f t="shared" si="13"/>
        <v>0</v>
      </c>
      <c r="CJ5" s="414">
        <f t="shared" si="13"/>
        <v>0</v>
      </c>
      <c r="CK5" s="414">
        <f t="shared" si="13"/>
        <v>0</v>
      </c>
      <c r="CL5" s="414">
        <f t="shared" si="13"/>
        <v>0</v>
      </c>
      <c r="CM5" s="414">
        <f t="shared" si="13"/>
        <v>0</v>
      </c>
      <c r="CN5" s="414">
        <f t="shared" si="13"/>
        <v>0</v>
      </c>
      <c r="CO5" s="414">
        <f t="shared" si="13"/>
        <v>0</v>
      </c>
      <c r="CP5" s="414">
        <f t="shared" si="13"/>
        <v>0</v>
      </c>
      <c r="CQ5" s="415">
        <f t="shared" si="13"/>
        <v>0</v>
      </c>
      <c r="CR5" s="407"/>
      <c r="CS5" s="407" t="e">
        <f t="shared" ca="1" si="6"/>
        <v>#NAME?</v>
      </c>
      <c r="CT5" s="407">
        <f t="shared" si="7"/>
        <v>0</v>
      </c>
      <c r="CU5" s="412">
        <f>'Annexe C  Plan produit'!$H$52</f>
        <v>46082</v>
      </c>
      <c r="CV5" s="412">
        <f>'Annexe C  Plan produit'!$I$54</f>
        <v>47090.5</v>
      </c>
    </row>
    <row r="6" spans="1:100" ht="15">
      <c r="A6" s="400" t="s">
        <v>267</v>
      </c>
      <c r="B6" s="401" t="s">
        <v>83</v>
      </c>
      <c r="C6" s="401" t="s">
        <v>268</v>
      </c>
      <c r="E6" s="402" t="s">
        <v>269</v>
      </c>
      <c r="F6" s="403">
        <v>45661</v>
      </c>
      <c r="G6" s="403">
        <v>51161</v>
      </c>
      <c r="H6" s="404"/>
      <c r="I6" s="405">
        <v>1</v>
      </c>
      <c r="J6" s="406">
        <v>42000</v>
      </c>
      <c r="K6" s="407">
        <f t="shared" ref="K6:O6" si="14">J6*(1+5%)</f>
        <v>44100</v>
      </c>
      <c r="L6" s="407">
        <f t="shared" si="14"/>
        <v>46305</v>
      </c>
      <c r="M6" s="407">
        <f t="shared" si="14"/>
        <v>48620.25</v>
      </c>
      <c r="N6" s="407">
        <f t="shared" si="14"/>
        <v>51051.262500000004</v>
      </c>
      <c r="O6" s="407">
        <f t="shared" si="14"/>
        <v>53603.825625000005</v>
      </c>
      <c r="P6" s="408">
        <v>0.15</v>
      </c>
      <c r="Q6" s="414">
        <f t="shared" ref="Q6:W6" si="15">IF($F6&lt;(Q$3+1),$J6/12,0)*IF($G6&gt;(Q$3),1,0)*$I6</f>
        <v>3500</v>
      </c>
      <c r="R6" s="414">
        <f t="shared" si="15"/>
        <v>3500</v>
      </c>
      <c r="S6" s="414">
        <f t="shared" si="15"/>
        <v>3500</v>
      </c>
      <c r="T6" s="414">
        <f t="shared" si="15"/>
        <v>3500</v>
      </c>
      <c r="U6" s="414">
        <f t="shared" si="15"/>
        <v>3500</v>
      </c>
      <c r="V6" s="414">
        <f t="shared" si="15"/>
        <v>3500</v>
      </c>
      <c r="W6" s="415">
        <f t="shared" si="15"/>
        <v>3500</v>
      </c>
      <c r="X6" s="416">
        <f t="shared" ref="X6:BG6" si="16">IF($F6&lt;(X$3+1),$K6/12,0)*IF($G6&gt;(X$3),1,0)*$I6</f>
        <v>3675</v>
      </c>
      <c r="Y6" s="414">
        <f t="shared" si="16"/>
        <v>3675</v>
      </c>
      <c r="Z6" s="414">
        <f t="shared" si="16"/>
        <v>3675</v>
      </c>
      <c r="AA6" s="414">
        <f t="shared" si="16"/>
        <v>3675</v>
      </c>
      <c r="AB6" s="414">
        <f t="shared" si="16"/>
        <v>3675</v>
      </c>
      <c r="AC6" s="414">
        <f t="shared" si="16"/>
        <v>3675</v>
      </c>
      <c r="AD6" s="414">
        <f t="shared" si="16"/>
        <v>3675</v>
      </c>
      <c r="AE6" s="414">
        <f t="shared" si="16"/>
        <v>3675</v>
      </c>
      <c r="AF6" s="414">
        <f t="shared" si="16"/>
        <v>3675</v>
      </c>
      <c r="AG6" s="414">
        <f t="shared" si="16"/>
        <v>3675</v>
      </c>
      <c r="AH6" s="414">
        <f t="shared" si="16"/>
        <v>3675</v>
      </c>
      <c r="AI6" s="415">
        <f t="shared" si="16"/>
        <v>3675</v>
      </c>
      <c r="AJ6" s="416">
        <f t="shared" si="16"/>
        <v>3675</v>
      </c>
      <c r="AK6" s="414">
        <f t="shared" si="16"/>
        <v>3675</v>
      </c>
      <c r="AL6" s="414">
        <f t="shared" si="16"/>
        <v>3675</v>
      </c>
      <c r="AM6" s="414">
        <f t="shared" si="16"/>
        <v>3675</v>
      </c>
      <c r="AN6" s="414">
        <f t="shared" si="16"/>
        <v>3675</v>
      </c>
      <c r="AO6" s="414">
        <f t="shared" si="16"/>
        <v>3675</v>
      </c>
      <c r="AP6" s="414">
        <f t="shared" si="16"/>
        <v>3675</v>
      </c>
      <c r="AQ6" s="414">
        <f t="shared" si="16"/>
        <v>3675</v>
      </c>
      <c r="AR6" s="414">
        <f t="shared" si="16"/>
        <v>3675</v>
      </c>
      <c r="AS6" s="414">
        <f t="shared" si="16"/>
        <v>3675</v>
      </c>
      <c r="AT6" s="414">
        <f t="shared" si="16"/>
        <v>3675</v>
      </c>
      <c r="AU6" s="415">
        <f t="shared" si="16"/>
        <v>3675</v>
      </c>
      <c r="AV6" s="416">
        <f t="shared" si="16"/>
        <v>3675</v>
      </c>
      <c r="AW6" s="414">
        <f t="shared" si="16"/>
        <v>3675</v>
      </c>
      <c r="AX6" s="414">
        <f t="shared" si="16"/>
        <v>3675</v>
      </c>
      <c r="AY6" s="414">
        <f t="shared" si="16"/>
        <v>3675</v>
      </c>
      <c r="AZ6" s="414">
        <f t="shared" si="16"/>
        <v>3675</v>
      </c>
      <c r="BA6" s="414">
        <f t="shared" si="16"/>
        <v>3675</v>
      </c>
      <c r="BB6" s="414">
        <f t="shared" si="16"/>
        <v>3675</v>
      </c>
      <c r="BC6" s="414">
        <f t="shared" si="16"/>
        <v>3675</v>
      </c>
      <c r="BD6" s="414">
        <f t="shared" si="16"/>
        <v>3675</v>
      </c>
      <c r="BE6" s="414">
        <f t="shared" si="16"/>
        <v>3675</v>
      </c>
      <c r="BF6" s="414">
        <f t="shared" si="16"/>
        <v>3675</v>
      </c>
      <c r="BG6" s="415">
        <f t="shared" si="16"/>
        <v>3675</v>
      </c>
      <c r="BH6" s="416">
        <f t="shared" ref="BH6:BS6" si="17">IF($F6&lt;(BH$3+1),$L6/12,0)*IF($G6&gt;(BH$3),1,0)*$I6</f>
        <v>3858.75</v>
      </c>
      <c r="BI6" s="414">
        <f t="shared" si="17"/>
        <v>3858.75</v>
      </c>
      <c r="BJ6" s="414">
        <f t="shared" si="17"/>
        <v>3858.75</v>
      </c>
      <c r="BK6" s="414">
        <f t="shared" si="17"/>
        <v>3858.75</v>
      </c>
      <c r="BL6" s="414">
        <f t="shared" si="17"/>
        <v>3858.75</v>
      </c>
      <c r="BM6" s="414">
        <f t="shared" si="17"/>
        <v>3858.75</v>
      </c>
      <c r="BN6" s="414">
        <f t="shared" si="17"/>
        <v>3858.75</v>
      </c>
      <c r="BO6" s="414">
        <f t="shared" si="17"/>
        <v>3858.75</v>
      </c>
      <c r="BP6" s="414">
        <f t="shared" si="17"/>
        <v>3858.75</v>
      </c>
      <c r="BQ6" s="414">
        <f t="shared" si="17"/>
        <v>3858.75</v>
      </c>
      <c r="BR6" s="414">
        <f t="shared" si="17"/>
        <v>3858.75</v>
      </c>
      <c r="BS6" s="415">
        <f t="shared" si="17"/>
        <v>3858.75</v>
      </c>
      <c r="BT6" s="416">
        <f t="shared" ref="BT6:CE6" si="18">IF($F6&lt;(BT$3+1),$M6/12,0)*IF($G6&gt;(BT$3),1,0)*$I6</f>
        <v>4051.6875</v>
      </c>
      <c r="BU6" s="414">
        <f t="shared" si="18"/>
        <v>4051.6875</v>
      </c>
      <c r="BV6" s="414">
        <f t="shared" si="18"/>
        <v>4051.6875</v>
      </c>
      <c r="BW6" s="414">
        <f t="shared" si="18"/>
        <v>4051.6875</v>
      </c>
      <c r="BX6" s="414">
        <f t="shared" si="18"/>
        <v>4051.6875</v>
      </c>
      <c r="BY6" s="414">
        <f t="shared" si="18"/>
        <v>4051.6875</v>
      </c>
      <c r="BZ6" s="414">
        <f t="shared" si="18"/>
        <v>4051.6875</v>
      </c>
      <c r="CA6" s="414">
        <f t="shared" si="18"/>
        <v>4051.6875</v>
      </c>
      <c r="CB6" s="414">
        <f t="shared" si="18"/>
        <v>4051.6875</v>
      </c>
      <c r="CC6" s="414">
        <f t="shared" si="18"/>
        <v>4051.6875</v>
      </c>
      <c r="CD6" s="414">
        <f t="shared" si="18"/>
        <v>4051.6875</v>
      </c>
      <c r="CE6" s="415">
        <f t="shared" si="18"/>
        <v>4051.6875</v>
      </c>
      <c r="CF6" s="416">
        <f t="shared" ref="CF6:CQ6" si="19">IF($F6&lt;(CF$3+1),$N6/12,0)*IF($G6&gt;(CF$3),1,0)*$I6</f>
        <v>4254.2718750000004</v>
      </c>
      <c r="CG6" s="414">
        <f t="shared" si="19"/>
        <v>4254.2718750000004</v>
      </c>
      <c r="CH6" s="414">
        <f t="shared" si="19"/>
        <v>4254.2718750000004</v>
      </c>
      <c r="CI6" s="414">
        <f t="shared" si="19"/>
        <v>4254.2718750000004</v>
      </c>
      <c r="CJ6" s="414">
        <f t="shared" si="19"/>
        <v>4254.2718750000004</v>
      </c>
      <c r="CK6" s="414">
        <f t="shared" si="19"/>
        <v>4254.2718750000004</v>
      </c>
      <c r="CL6" s="414">
        <f t="shared" si="19"/>
        <v>4254.2718750000004</v>
      </c>
      <c r="CM6" s="414">
        <f t="shared" si="19"/>
        <v>4254.2718750000004</v>
      </c>
      <c r="CN6" s="414">
        <f t="shared" si="19"/>
        <v>4254.2718750000004</v>
      </c>
      <c r="CO6" s="414">
        <f t="shared" si="19"/>
        <v>4254.2718750000004</v>
      </c>
      <c r="CP6" s="414">
        <f t="shared" si="19"/>
        <v>4254.2718750000004</v>
      </c>
      <c r="CQ6" s="415">
        <f t="shared" si="19"/>
        <v>4254.2718750000004</v>
      </c>
      <c r="CR6" s="407"/>
      <c r="CS6" s="407" t="e">
        <f t="shared" ca="1" si="6"/>
        <v>#NAME?</v>
      </c>
      <c r="CT6" s="407">
        <f t="shared" si="7"/>
        <v>121275</v>
      </c>
      <c r="CU6" s="412">
        <f>'Annexe C  Plan produit'!$H$52</f>
        <v>46082</v>
      </c>
      <c r="CV6" s="412">
        <f>'Annexe C  Plan produit'!$I$54</f>
        <v>47090.5</v>
      </c>
    </row>
    <row r="7" spans="1:100" ht="15">
      <c r="A7" s="400" t="s">
        <v>270</v>
      </c>
      <c r="B7" s="401" t="s">
        <v>83</v>
      </c>
      <c r="C7" s="401" t="s">
        <v>271</v>
      </c>
      <c r="D7" s="401" t="s">
        <v>272</v>
      </c>
      <c r="E7" s="402" t="s">
        <v>273</v>
      </c>
      <c r="F7" s="403">
        <v>45682</v>
      </c>
      <c r="G7" s="403">
        <v>51161</v>
      </c>
      <c r="H7" s="404"/>
      <c r="I7" s="405">
        <v>1</v>
      </c>
      <c r="J7" s="406">
        <v>110000</v>
      </c>
      <c r="K7" s="407">
        <f t="shared" ref="K7:O7" si="20">J7*(1+5%)</f>
        <v>115500</v>
      </c>
      <c r="L7" s="407">
        <f t="shared" si="20"/>
        <v>121275</v>
      </c>
      <c r="M7" s="407">
        <f t="shared" si="20"/>
        <v>127338.75</v>
      </c>
      <c r="N7" s="407">
        <f t="shared" si="20"/>
        <v>133705.6875</v>
      </c>
      <c r="O7" s="407">
        <f t="shared" si="20"/>
        <v>140390.97187500002</v>
      </c>
      <c r="P7" s="408">
        <v>0.15</v>
      </c>
      <c r="Q7" s="414">
        <f t="shared" ref="Q7:W7" si="21">IF($F7&lt;(Q$3+1),$J7/12,0)*IF($G7&gt;(Q$3),1,0)*$I7</f>
        <v>9166.6666666666661</v>
      </c>
      <c r="R7" s="414">
        <f t="shared" si="21"/>
        <v>9166.6666666666661</v>
      </c>
      <c r="S7" s="414">
        <f t="shared" si="21"/>
        <v>9166.6666666666661</v>
      </c>
      <c r="T7" s="414">
        <f t="shared" si="21"/>
        <v>9166.6666666666661</v>
      </c>
      <c r="U7" s="414">
        <f t="shared" si="21"/>
        <v>9166.6666666666661</v>
      </c>
      <c r="V7" s="414">
        <f t="shared" si="21"/>
        <v>9166.6666666666661</v>
      </c>
      <c r="W7" s="415">
        <f t="shared" si="21"/>
        <v>9166.6666666666661</v>
      </c>
      <c r="X7" s="416">
        <f t="shared" ref="X7:BG7" si="22">IF($F7&lt;(X$3+1),$K7/12,0)*IF($G7&gt;(X$3),1,0)*$I7</f>
        <v>9625</v>
      </c>
      <c r="Y7" s="414">
        <f t="shared" si="22"/>
        <v>9625</v>
      </c>
      <c r="Z7" s="414">
        <f t="shared" si="22"/>
        <v>9625</v>
      </c>
      <c r="AA7" s="414">
        <f t="shared" si="22"/>
        <v>9625</v>
      </c>
      <c r="AB7" s="414">
        <f t="shared" si="22"/>
        <v>9625</v>
      </c>
      <c r="AC7" s="414">
        <f t="shared" si="22"/>
        <v>9625</v>
      </c>
      <c r="AD7" s="414">
        <f t="shared" si="22"/>
        <v>9625</v>
      </c>
      <c r="AE7" s="414">
        <f t="shared" si="22"/>
        <v>9625</v>
      </c>
      <c r="AF7" s="414">
        <f t="shared" si="22"/>
        <v>9625</v>
      </c>
      <c r="AG7" s="414">
        <f t="shared" si="22"/>
        <v>9625</v>
      </c>
      <c r="AH7" s="414">
        <f t="shared" si="22"/>
        <v>9625</v>
      </c>
      <c r="AI7" s="415">
        <f t="shared" si="22"/>
        <v>9625</v>
      </c>
      <c r="AJ7" s="416">
        <f t="shared" si="22"/>
        <v>9625</v>
      </c>
      <c r="AK7" s="414">
        <f t="shared" si="22"/>
        <v>9625</v>
      </c>
      <c r="AL7" s="414">
        <f t="shared" si="22"/>
        <v>9625</v>
      </c>
      <c r="AM7" s="414">
        <f t="shared" si="22"/>
        <v>9625</v>
      </c>
      <c r="AN7" s="414">
        <f t="shared" si="22"/>
        <v>9625</v>
      </c>
      <c r="AO7" s="414">
        <f t="shared" si="22"/>
        <v>9625</v>
      </c>
      <c r="AP7" s="414">
        <f t="shared" si="22"/>
        <v>9625</v>
      </c>
      <c r="AQ7" s="414">
        <f t="shared" si="22"/>
        <v>9625</v>
      </c>
      <c r="AR7" s="414">
        <f t="shared" si="22"/>
        <v>9625</v>
      </c>
      <c r="AS7" s="414">
        <f t="shared" si="22"/>
        <v>9625</v>
      </c>
      <c r="AT7" s="414">
        <f t="shared" si="22"/>
        <v>9625</v>
      </c>
      <c r="AU7" s="415">
        <f t="shared" si="22"/>
        <v>9625</v>
      </c>
      <c r="AV7" s="416">
        <f t="shared" si="22"/>
        <v>9625</v>
      </c>
      <c r="AW7" s="414">
        <f t="shared" si="22"/>
        <v>9625</v>
      </c>
      <c r="AX7" s="414">
        <f t="shared" si="22"/>
        <v>9625</v>
      </c>
      <c r="AY7" s="414">
        <f t="shared" si="22"/>
        <v>9625</v>
      </c>
      <c r="AZ7" s="414">
        <f t="shared" si="22"/>
        <v>9625</v>
      </c>
      <c r="BA7" s="414">
        <f t="shared" si="22"/>
        <v>9625</v>
      </c>
      <c r="BB7" s="414">
        <f t="shared" si="22"/>
        <v>9625</v>
      </c>
      <c r="BC7" s="414">
        <f t="shared" si="22"/>
        <v>9625</v>
      </c>
      <c r="BD7" s="414">
        <f t="shared" si="22"/>
        <v>9625</v>
      </c>
      <c r="BE7" s="414">
        <f t="shared" si="22"/>
        <v>9625</v>
      </c>
      <c r="BF7" s="414">
        <f t="shared" si="22"/>
        <v>9625</v>
      </c>
      <c r="BG7" s="415">
        <f t="shared" si="22"/>
        <v>9625</v>
      </c>
      <c r="BH7" s="416">
        <f t="shared" ref="BH7:BS7" si="23">IF($F7&lt;(BH$3+1),$L7/12,0)*IF($G7&gt;(BH$3),1,0)*$I7</f>
        <v>10106.25</v>
      </c>
      <c r="BI7" s="414">
        <f t="shared" si="23"/>
        <v>10106.25</v>
      </c>
      <c r="BJ7" s="414">
        <f t="shared" si="23"/>
        <v>10106.25</v>
      </c>
      <c r="BK7" s="414">
        <f t="shared" si="23"/>
        <v>10106.25</v>
      </c>
      <c r="BL7" s="414">
        <f t="shared" si="23"/>
        <v>10106.25</v>
      </c>
      <c r="BM7" s="414">
        <f t="shared" si="23"/>
        <v>10106.25</v>
      </c>
      <c r="BN7" s="414">
        <f t="shared" si="23"/>
        <v>10106.25</v>
      </c>
      <c r="BO7" s="414">
        <f t="shared" si="23"/>
        <v>10106.25</v>
      </c>
      <c r="BP7" s="414">
        <f t="shared" si="23"/>
        <v>10106.25</v>
      </c>
      <c r="BQ7" s="414">
        <f t="shared" si="23"/>
        <v>10106.25</v>
      </c>
      <c r="BR7" s="414">
        <f t="shared" si="23"/>
        <v>10106.25</v>
      </c>
      <c r="BS7" s="415">
        <f t="shared" si="23"/>
        <v>10106.25</v>
      </c>
      <c r="BT7" s="416">
        <f t="shared" ref="BT7:CE7" si="24">IF($F7&lt;(BT$3+1),$M7/12,0)*IF($G7&gt;(BT$3),1,0)*$I7</f>
        <v>10611.5625</v>
      </c>
      <c r="BU7" s="414">
        <f t="shared" si="24"/>
        <v>10611.5625</v>
      </c>
      <c r="BV7" s="414">
        <f t="shared" si="24"/>
        <v>10611.5625</v>
      </c>
      <c r="BW7" s="414">
        <f t="shared" si="24"/>
        <v>10611.5625</v>
      </c>
      <c r="BX7" s="414">
        <f t="shared" si="24"/>
        <v>10611.5625</v>
      </c>
      <c r="BY7" s="414">
        <f t="shared" si="24"/>
        <v>10611.5625</v>
      </c>
      <c r="BZ7" s="414">
        <f t="shared" si="24"/>
        <v>10611.5625</v>
      </c>
      <c r="CA7" s="414">
        <f t="shared" si="24"/>
        <v>10611.5625</v>
      </c>
      <c r="CB7" s="414">
        <f t="shared" si="24"/>
        <v>10611.5625</v>
      </c>
      <c r="CC7" s="414">
        <f t="shared" si="24"/>
        <v>10611.5625</v>
      </c>
      <c r="CD7" s="414">
        <f t="shared" si="24"/>
        <v>10611.5625</v>
      </c>
      <c r="CE7" s="415">
        <f t="shared" si="24"/>
        <v>10611.5625</v>
      </c>
      <c r="CF7" s="416">
        <f t="shared" ref="CF7:CQ7" si="25">IF($F7&lt;(CF$3+1),$N7/12,0)*IF($G7&gt;(CF$3),1,0)*$I7</f>
        <v>11142.140625</v>
      </c>
      <c r="CG7" s="414">
        <f t="shared" si="25"/>
        <v>11142.140625</v>
      </c>
      <c r="CH7" s="414">
        <f t="shared" si="25"/>
        <v>11142.140625</v>
      </c>
      <c r="CI7" s="414">
        <f t="shared" si="25"/>
        <v>11142.140625</v>
      </c>
      <c r="CJ7" s="414">
        <f t="shared" si="25"/>
        <v>11142.140625</v>
      </c>
      <c r="CK7" s="414">
        <f t="shared" si="25"/>
        <v>11142.140625</v>
      </c>
      <c r="CL7" s="414">
        <f t="shared" si="25"/>
        <v>11142.140625</v>
      </c>
      <c r="CM7" s="414">
        <f t="shared" si="25"/>
        <v>11142.140625</v>
      </c>
      <c r="CN7" s="414">
        <f t="shared" si="25"/>
        <v>11142.140625</v>
      </c>
      <c r="CO7" s="414">
        <f t="shared" si="25"/>
        <v>11142.140625</v>
      </c>
      <c r="CP7" s="414">
        <f t="shared" si="25"/>
        <v>11142.140625</v>
      </c>
      <c r="CQ7" s="415">
        <f t="shared" si="25"/>
        <v>11142.140625</v>
      </c>
      <c r="CR7" s="407"/>
      <c r="CS7" s="407" t="e">
        <f t="shared" ca="1" si="6"/>
        <v>#NAME?</v>
      </c>
      <c r="CT7" s="407">
        <f t="shared" si="7"/>
        <v>317625</v>
      </c>
      <c r="CU7" s="412">
        <f>'Annexe C  Plan produit'!$H$52</f>
        <v>46082</v>
      </c>
      <c r="CV7" s="412">
        <f>'Annexe C  Plan produit'!$I$54</f>
        <v>47090.5</v>
      </c>
    </row>
    <row r="8" spans="1:100" ht="15">
      <c r="A8" s="400" t="s">
        <v>267</v>
      </c>
      <c r="B8" s="401" t="s">
        <v>83</v>
      </c>
      <c r="C8" s="11" t="s">
        <v>274</v>
      </c>
      <c r="E8" s="402" t="s">
        <v>275</v>
      </c>
      <c r="F8" s="403">
        <v>45682</v>
      </c>
      <c r="G8" s="403">
        <v>45987</v>
      </c>
      <c r="H8" s="404"/>
      <c r="I8" s="405">
        <v>1</v>
      </c>
      <c r="J8" s="406">
        <v>38000</v>
      </c>
      <c r="K8" s="407">
        <f t="shared" ref="K8:O8" si="26">J8*(1+5%)</f>
        <v>39900</v>
      </c>
      <c r="L8" s="407">
        <f t="shared" si="26"/>
        <v>41895</v>
      </c>
      <c r="M8" s="407">
        <f t="shared" si="26"/>
        <v>43989.75</v>
      </c>
      <c r="N8" s="407">
        <f t="shared" si="26"/>
        <v>46189.237500000003</v>
      </c>
      <c r="O8" s="407">
        <f t="shared" si="26"/>
        <v>48498.699375000004</v>
      </c>
      <c r="P8" s="408">
        <v>0.15</v>
      </c>
      <c r="Q8" s="414">
        <f t="shared" ref="Q8:W8" si="27">IF($F8&lt;(Q$3+1),$J8/12,0)*IF($G8&gt;(Q$3),1,0)*$I8</f>
        <v>3166.6666666666665</v>
      </c>
      <c r="R8" s="414">
        <f t="shared" si="27"/>
        <v>3166.6666666666665</v>
      </c>
      <c r="S8" s="414">
        <f t="shared" si="27"/>
        <v>3166.6666666666665</v>
      </c>
      <c r="T8" s="414">
        <f t="shared" si="27"/>
        <v>3166.6666666666665</v>
      </c>
      <c r="U8" s="414">
        <f t="shared" si="27"/>
        <v>3166.6666666666665</v>
      </c>
      <c r="V8" s="414">
        <f t="shared" si="27"/>
        <v>3166.6666666666665</v>
      </c>
      <c r="W8" s="415">
        <f t="shared" si="27"/>
        <v>0</v>
      </c>
      <c r="X8" s="416">
        <f t="shared" ref="X8:BG8" si="28">IF($F8&lt;(X$3+1),$K8/12,0)*IF($G8&gt;(X$3),1,0)*$I8</f>
        <v>0</v>
      </c>
      <c r="Y8" s="414">
        <f t="shared" si="28"/>
        <v>0</v>
      </c>
      <c r="Z8" s="414">
        <f t="shared" si="28"/>
        <v>0</v>
      </c>
      <c r="AA8" s="414">
        <f t="shared" si="28"/>
        <v>0</v>
      </c>
      <c r="AB8" s="414">
        <f t="shared" si="28"/>
        <v>0</v>
      </c>
      <c r="AC8" s="414">
        <f t="shared" si="28"/>
        <v>0</v>
      </c>
      <c r="AD8" s="414">
        <f t="shared" si="28"/>
        <v>0</v>
      </c>
      <c r="AE8" s="414">
        <f t="shared" si="28"/>
        <v>0</v>
      </c>
      <c r="AF8" s="414">
        <f t="shared" si="28"/>
        <v>0</v>
      </c>
      <c r="AG8" s="414">
        <f t="shared" si="28"/>
        <v>0</v>
      </c>
      <c r="AH8" s="414">
        <f t="shared" si="28"/>
        <v>0</v>
      </c>
      <c r="AI8" s="415">
        <f t="shared" si="28"/>
        <v>0</v>
      </c>
      <c r="AJ8" s="416">
        <f t="shared" si="28"/>
        <v>0</v>
      </c>
      <c r="AK8" s="414">
        <f t="shared" si="28"/>
        <v>0</v>
      </c>
      <c r="AL8" s="414">
        <f t="shared" si="28"/>
        <v>0</v>
      </c>
      <c r="AM8" s="414">
        <f t="shared" si="28"/>
        <v>0</v>
      </c>
      <c r="AN8" s="414">
        <f t="shared" si="28"/>
        <v>0</v>
      </c>
      <c r="AO8" s="414">
        <f t="shared" si="28"/>
        <v>0</v>
      </c>
      <c r="AP8" s="414">
        <f t="shared" si="28"/>
        <v>0</v>
      </c>
      <c r="AQ8" s="414">
        <f t="shared" si="28"/>
        <v>0</v>
      </c>
      <c r="AR8" s="414">
        <f t="shared" si="28"/>
        <v>0</v>
      </c>
      <c r="AS8" s="414">
        <f t="shared" si="28"/>
        <v>0</v>
      </c>
      <c r="AT8" s="414">
        <f t="shared" si="28"/>
        <v>0</v>
      </c>
      <c r="AU8" s="415">
        <f t="shared" si="28"/>
        <v>0</v>
      </c>
      <c r="AV8" s="416">
        <f t="shared" si="28"/>
        <v>0</v>
      </c>
      <c r="AW8" s="414">
        <f t="shared" si="28"/>
        <v>0</v>
      </c>
      <c r="AX8" s="414">
        <f t="shared" si="28"/>
        <v>0</v>
      </c>
      <c r="AY8" s="414">
        <f t="shared" si="28"/>
        <v>0</v>
      </c>
      <c r="AZ8" s="414">
        <f t="shared" si="28"/>
        <v>0</v>
      </c>
      <c r="BA8" s="414">
        <f t="shared" si="28"/>
        <v>0</v>
      </c>
      <c r="BB8" s="414">
        <f t="shared" si="28"/>
        <v>0</v>
      </c>
      <c r="BC8" s="414">
        <f t="shared" si="28"/>
        <v>0</v>
      </c>
      <c r="BD8" s="414">
        <f t="shared" si="28"/>
        <v>0</v>
      </c>
      <c r="BE8" s="414">
        <f t="shared" si="28"/>
        <v>0</v>
      </c>
      <c r="BF8" s="414">
        <f t="shared" si="28"/>
        <v>0</v>
      </c>
      <c r="BG8" s="415">
        <f t="shared" si="28"/>
        <v>0</v>
      </c>
      <c r="BH8" s="416">
        <f t="shared" ref="BH8:BS8" si="29">IF($F8&lt;(BH$3+1),$L8/12,0)*IF($G8&gt;(BH$3),1,0)*$I8</f>
        <v>0</v>
      </c>
      <c r="BI8" s="414">
        <f t="shared" si="29"/>
        <v>0</v>
      </c>
      <c r="BJ8" s="414">
        <f t="shared" si="29"/>
        <v>0</v>
      </c>
      <c r="BK8" s="414">
        <f t="shared" si="29"/>
        <v>0</v>
      </c>
      <c r="BL8" s="414">
        <f t="shared" si="29"/>
        <v>0</v>
      </c>
      <c r="BM8" s="414">
        <f t="shared" si="29"/>
        <v>0</v>
      </c>
      <c r="BN8" s="414">
        <f t="shared" si="29"/>
        <v>0</v>
      </c>
      <c r="BO8" s="414">
        <f t="shared" si="29"/>
        <v>0</v>
      </c>
      <c r="BP8" s="414">
        <f t="shared" si="29"/>
        <v>0</v>
      </c>
      <c r="BQ8" s="414">
        <f t="shared" si="29"/>
        <v>0</v>
      </c>
      <c r="BR8" s="414">
        <f t="shared" si="29"/>
        <v>0</v>
      </c>
      <c r="BS8" s="415">
        <f t="shared" si="29"/>
        <v>0</v>
      </c>
      <c r="BT8" s="416">
        <f t="shared" ref="BT8:CE8" si="30">IF($F8&lt;(BT$3+1),$M8/12,0)*IF($G8&gt;(BT$3),1,0)*$I8</f>
        <v>0</v>
      </c>
      <c r="BU8" s="414">
        <f t="shared" si="30"/>
        <v>0</v>
      </c>
      <c r="BV8" s="414">
        <f t="shared" si="30"/>
        <v>0</v>
      </c>
      <c r="BW8" s="414">
        <f t="shared" si="30"/>
        <v>0</v>
      </c>
      <c r="BX8" s="414">
        <f t="shared" si="30"/>
        <v>0</v>
      </c>
      <c r="BY8" s="414">
        <f t="shared" si="30"/>
        <v>0</v>
      </c>
      <c r="BZ8" s="414">
        <f t="shared" si="30"/>
        <v>0</v>
      </c>
      <c r="CA8" s="414">
        <f t="shared" si="30"/>
        <v>0</v>
      </c>
      <c r="CB8" s="414">
        <f t="shared" si="30"/>
        <v>0</v>
      </c>
      <c r="CC8" s="414">
        <f t="shared" si="30"/>
        <v>0</v>
      </c>
      <c r="CD8" s="414">
        <f t="shared" si="30"/>
        <v>0</v>
      </c>
      <c r="CE8" s="415">
        <f t="shared" si="30"/>
        <v>0</v>
      </c>
      <c r="CF8" s="416">
        <f t="shared" ref="CF8:CQ8" si="31">IF($F8&lt;(CF$3+1),$N8/12,0)*IF($G8&gt;(CF$3),1,0)*$I8</f>
        <v>0</v>
      </c>
      <c r="CG8" s="414">
        <f t="shared" si="31"/>
        <v>0</v>
      </c>
      <c r="CH8" s="414">
        <f t="shared" si="31"/>
        <v>0</v>
      </c>
      <c r="CI8" s="414">
        <f t="shared" si="31"/>
        <v>0</v>
      </c>
      <c r="CJ8" s="414">
        <f t="shared" si="31"/>
        <v>0</v>
      </c>
      <c r="CK8" s="414">
        <f t="shared" si="31"/>
        <v>0</v>
      </c>
      <c r="CL8" s="414">
        <f t="shared" si="31"/>
        <v>0</v>
      </c>
      <c r="CM8" s="414">
        <f t="shared" si="31"/>
        <v>0</v>
      </c>
      <c r="CN8" s="414">
        <f t="shared" si="31"/>
        <v>0</v>
      </c>
      <c r="CO8" s="414">
        <f t="shared" si="31"/>
        <v>0</v>
      </c>
      <c r="CP8" s="414">
        <f t="shared" si="31"/>
        <v>0</v>
      </c>
      <c r="CQ8" s="415">
        <f t="shared" si="31"/>
        <v>0</v>
      </c>
      <c r="CR8" s="407"/>
      <c r="CS8" s="407" t="e">
        <f t="shared" ca="1" si="6"/>
        <v>#NAME?</v>
      </c>
      <c r="CT8" s="407">
        <f t="shared" si="7"/>
        <v>0</v>
      </c>
      <c r="CU8" s="412">
        <f>'Annexe C  Plan produit'!$H$52</f>
        <v>46082</v>
      </c>
      <c r="CV8" s="412">
        <f>'Annexe C  Plan produit'!$I$54</f>
        <v>47090.5</v>
      </c>
    </row>
    <row r="9" spans="1:100" ht="15">
      <c r="A9" s="400" t="s">
        <v>276</v>
      </c>
      <c r="B9" s="401" t="s">
        <v>83</v>
      </c>
      <c r="C9" s="11" t="s">
        <v>277</v>
      </c>
      <c r="E9" s="402" t="s">
        <v>278</v>
      </c>
      <c r="F9" s="403">
        <v>45682</v>
      </c>
      <c r="G9" s="403">
        <v>51161</v>
      </c>
      <c r="H9" s="404"/>
      <c r="I9" s="405">
        <v>1</v>
      </c>
      <c r="J9" s="406">
        <v>32500</v>
      </c>
      <c r="K9" s="407">
        <f t="shared" ref="K9:O9" si="32">J9*(1+5%)</f>
        <v>34125</v>
      </c>
      <c r="L9" s="407">
        <f t="shared" si="32"/>
        <v>35831.25</v>
      </c>
      <c r="M9" s="407">
        <f t="shared" si="32"/>
        <v>37622.8125</v>
      </c>
      <c r="N9" s="407">
        <f t="shared" si="32"/>
        <v>39503.953125</v>
      </c>
      <c r="O9" s="407">
        <f t="shared" si="32"/>
        <v>41479.150781249999</v>
      </c>
      <c r="P9" s="408">
        <v>0.15</v>
      </c>
      <c r="Q9" s="414">
        <f t="shared" ref="Q9:W9" si="33">IF($F9&lt;(Q$3+1),$J9/12,0)*IF($G9&gt;(Q$3),1,0)*$I9</f>
        <v>2708.3333333333335</v>
      </c>
      <c r="R9" s="414">
        <f t="shared" si="33"/>
        <v>2708.3333333333335</v>
      </c>
      <c r="S9" s="414">
        <f t="shared" si="33"/>
        <v>2708.3333333333335</v>
      </c>
      <c r="T9" s="414">
        <f t="shared" si="33"/>
        <v>2708.3333333333335</v>
      </c>
      <c r="U9" s="414">
        <f t="shared" si="33"/>
        <v>2708.3333333333335</v>
      </c>
      <c r="V9" s="414">
        <f t="shared" si="33"/>
        <v>2708.3333333333335</v>
      </c>
      <c r="W9" s="415">
        <f t="shared" si="33"/>
        <v>2708.3333333333335</v>
      </c>
      <c r="X9" s="416">
        <f t="shared" ref="X9:BG9" si="34">IF($F9&lt;(X$3+1),$K9/12,0)*IF($G9&gt;(X$3),1,0)*$I9</f>
        <v>2843.75</v>
      </c>
      <c r="Y9" s="414">
        <f t="shared" si="34"/>
        <v>2843.75</v>
      </c>
      <c r="Z9" s="414">
        <f t="shared" si="34"/>
        <v>2843.75</v>
      </c>
      <c r="AA9" s="414">
        <f t="shared" si="34"/>
        <v>2843.75</v>
      </c>
      <c r="AB9" s="414">
        <f t="shared" si="34"/>
        <v>2843.75</v>
      </c>
      <c r="AC9" s="414">
        <f t="shared" si="34"/>
        <v>2843.75</v>
      </c>
      <c r="AD9" s="414">
        <f t="shared" si="34"/>
        <v>2843.75</v>
      </c>
      <c r="AE9" s="414">
        <f t="shared" si="34"/>
        <v>2843.75</v>
      </c>
      <c r="AF9" s="414">
        <f t="shared" si="34"/>
        <v>2843.75</v>
      </c>
      <c r="AG9" s="414">
        <f t="shared" si="34"/>
        <v>2843.75</v>
      </c>
      <c r="AH9" s="414">
        <f t="shared" si="34"/>
        <v>2843.75</v>
      </c>
      <c r="AI9" s="415">
        <f t="shared" si="34"/>
        <v>2843.75</v>
      </c>
      <c r="AJ9" s="416">
        <f t="shared" si="34"/>
        <v>2843.75</v>
      </c>
      <c r="AK9" s="414">
        <f t="shared" si="34"/>
        <v>2843.75</v>
      </c>
      <c r="AL9" s="414">
        <f t="shared" si="34"/>
        <v>2843.75</v>
      </c>
      <c r="AM9" s="414">
        <f t="shared" si="34"/>
        <v>2843.75</v>
      </c>
      <c r="AN9" s="414">
        <f t="shared" si="34"/>
        <v>2843.75</v>
      </c>
      <c r="AO9" s="414">
        <f t="shared" si="34"/>
        <v>2843.75</v>
      </c>
      <c r="AP9" s="414">
        <f t="shared" si="34"/>
        <v>2843.75</v>
      </c>
      <c r="AQ9" s="414">
        <f t="shared" si="34"/>
        <v>2843.75</v>
      </c>
      <c r="AR9" s="414">
        <f t="shared" si="34"/>
        <v>2843.75</v>
      </c>
      <c r="AS9" s="414">
        <f t="shared" si="34"/>
        <v>2843.75</v>
      </c>
      <c r="AT9" s="414">
        <f t="shared" si="34"/>
        <v>2843.75</v>
      </c>
      <c r="AU9" s="415">
        <f t="shared" si="34"/>
        <v>2843.75</v>
      </c>
      <c r="AV9" s="416">
        <f t="shared" si="34"/>
        <v>2843.75</v>
      </c>
      <c r="AW9" s="414">
        <f t="shared" si="34"/>
        <v>2843.75</v>
      </c>
      <c r="AX9" s="414">
        <f t="shared" si="34"/>
        <v>2843.75</v>
      </c>
      <c r="AY9" s="414">
        <f t="shared" si="34"/>
        <v>2843.75</v>
      </c>
      <c r="AZ9" s="414">
        <f t="shared" si="34"/>
        <v>2843.75</v>
      </c>
      <c r="BA9" s="414">
        <f t="shared" si="34"/>
        <v>2843.75</v>
      </c>
      <c r="BB9" s="414">
        <f t="shared" si="34"/>
        <v>2843.75</v>
      </c>
      <c r="BC9" s="414">
        <f t="shared" si="34"/>
        <v>2843.75</v>
      </c>
      <c r="BD9" s="414">
        <f t="shared" si="34"/>
        <v>2843.75</v>
      </c>
      <c r="BE9" s="414">
        <f t="shared" si="34"/>
        <v>2843.75</v>
      </c>
      <c r="BF9" s="414">
        <f t="shared" si="34"/>
        <v>2843.75</v>
      </c>
      <c r="BG9" s="415">
        <f t="shared" si="34"/>
        <v>2843.75</v>
      </c>
      <c r="BH9" s="416">
        <f t="shared" ref="BH9:BS9" si="35">IF($F9&lt;(BH$3+1),$L9/12,0)*IF($G9&gt;(BH$3),1,0)*$I9</f>
        <v>2985.9375</v>
      </c>
      <c r="BI9" s="414">
        <f t="shared" si="35"/>
        <v>2985.9375</v>
      </c>
      <c r="BJ9" s="414">
        <f t="shared" si="35"/>
        <v>2985.9375</v>
      </c>
      <c r="BK9" s="414">
        <f t="shared" si="35"/>
        <v>2985.9375</v>
      </c>
      <c r="BL9" s="414">
        <f t="shared" si="35"/>
        <v>2985.9375</v>
      </c>
      <c r="BM9" s="414">
        <f t="shared" si="35"/>
        <v>2985.9375</v>
      </c>
      <c r="BN9" s="414">
        <f t="shared" si="35"/>
        <v>2985.9375</v>
      </c>
      <c r="BO9" s="414">
        <f t="shared" si="35"/>
        <v>2985.9375</v>
      </c>
      <c r="BP9" s="414">
        <f t="shared" si="35"/>
        <v>2985.9375</v>
      </c>
      <c r="BQ9" s="414">
        <f t="shared" si="35"/>
        <v>2985.9375</v>
      </c>
      <c r="BR9" s="414">
        <f t="shared" si="35"/>
        <v>2985.9375</v>
      </c>
      <c r="BS9" s="415">
        <f t="shared" si="35"/>
        <v>2985.9375</v>
      </c>
      <c r="BT9" s="416">
        <f t="shared" ref="BT9:CE9" si="36">IF($F9&lt;(BT$3+1),$M9/12,0)*IF($G9&gt;(BT$3),1,0)*$I9</f>
        <v>3135.234375</v>
      </c>
      <c r="BU9" s="414">
        <f t="shared" si="36"/>
        <v>3135.234375</v>
      </c>
      <c r="BV9" s="414">
        <f t="shared" si="36"/>
        <v>3135.234375</v>
      </c>
      <c r="BW9" s="414">
        <f t="shared" si="36"/>
        <v>3135.234375</v>
      </c>
      <c r="BX9" s="414">
        <f t="shared" si="36"/>
        <v>3135.234375</v>
      </c>
      <c r="BY9" s="414">
        <f t="shared" si="36"/>
        <v>3135.234375</v>
      </c>
      <c r="BZ9" s="414">
        <f t="shared" si="36"/>
        <v>3135.234375</v>
      </c>
      <c r="CA9" s="414">
        <f t="shared" si="36"/>
        <v>3135.234375</v>
      </c>
      <c r="CB9" s="414">
        <f t="shared" si="36"/>
        <v>3135.234375</v>
      </c>
      <c r="CC9" s="414">
        <f t="shared" si="36"/>
        <v>3135.234375</v>
      </c>
      <c r="CD9" s="414">
        <f t="shared" si="36"/>
        <v>3135.234375</v>
      </c>
      <c r="CE9" s="415">
        <f t="shared" si="36"/>
        <v>3135.234375</v>
      </c>
      <c r="CF9" s="416">
        <f t="shared" ref="CF9:CQ9" si="37">IF($F9&lt;(CF$3+1),$N9/12,0)*IF($G9&gt;(CF$3),1,0)*$I9</f>
        <v>3291.99609375</v>
      </c>
      <c r="CG9" s="414">
        <f t="shared" si="37"/>
        <v>3291.99609375</v>
      </c>
      <c r="CH9" s="414">
        <f t="shared" si="37"/>
        <v>3291.99609375</v>
      </c>
      <c r="CI9" s="414">
        <f t="shared" si="37"/>
        <v>3291.99609375</v>
      </c>
      <c r="CJ9" s="414">
        <f t="shared" si="37"/>
        <v>3291.99609375</v>
      </c>
      <c r="CK9" s="414">
        <f t="shared" si="37"/>
        <v>3291.99609375</v>
      </c>
      <c r="CL9" s="414">
        <f t="shared" si="37"/>
        <v>3291.99609375</v>
      </c>
      <c r="CM9" s="414">
        <f t="shared" si="37"/>
        <v>3291.99609375</v>
      </c>
      <c r="CN9" s="414">
        <f t="shared" si="37"/>
        <v>3291.99609375</v>
      </c>
      <c r="CO9" s="414">
        <f t="shared" si="37"/>
        <v>3291.99609375</v>
      </c>
      <c r="CP9" s="414">
        <f t="shared" si="37"/>
        <v>3291.99609375</v>
      </c>
      <c r="CQ9" s="415">
        <f t="shared" si="37"/>
        <v>3291.99609375</v>
      </c>
      <c r="CR9" s="407"/>
      <c r="CS9" s="407"/>
      <c r="CT9" s="407">
        <f t="shared" si="7"/>
        <v>93843.75</v>
      </c>
      <c r="CU9" s="412">
        <f>'Annexe C  Plan produit'!$H$52</f>
        <v>46082</v>
      </c>
      <c r="CV9" s="412">
        <f>'Annexe C  Plan produit'!$I$54</f>
        <v>47090.5</v>
      </c>
    </row>
    <row r="10" spans="1:100" ht="15">
      <c r="A10" s="400" t="s">
        <v>279</v>
      </c>
      <c r="B10" s="401" t="s">
        <v>83</v>
      </c>
      <c r="C10" s="401" t="s">
        <v>280</v>
      </c>
      <c r="E10" s="402" t="s">
        <v>281</v>
      </c>
      <c r="F10" s="403">
        <v>45683</v>
      </c>
      <c r="G10" s="403">
        <v>51161</v>
      </c>
      <c r="H10" s="404"/>
      <c r="I10" s="405">
        <v>1</v>
      </c>
      <c r="J10" s="406">
        <v>48000</v>
      </c>
      <c r="K10" s="407">
        <f t="shared" ref="K10:O10" si="38">J10*(1+5%)</f>
        <v>50400</v>
      </c>
      <c r="L10" s="407">
        <f t="shared" si="38"/>
        <v>52920</v>
      </c>
      <c r="M10" s="407">
        <f t="shared" si="38"/>
        <v>55566</v>
      </c>
      <c r="N10" s="407">
        <f t="shared" si="38"/>
        <v>58344.3</v>
      </c>
      <c r="O10" s="407">
        <f t="shared" si="38"/>
        <v>61261.515000000007</v>
      </c>
      <c r="P10" s="408">
        <v>0.15</v>
      </c>
      <c r="Q10" s="414">
        <f t="shared" ref="Q10:W10" si="39">IF($F10&lt;(Q$3+1),$J10/12,0)*IF($G10&gt;(Q$3),1,0)*$I10</f>
        <v>4000</v>
      </c>
      <c r="R10" s="414">
        <f t="shared" si="39"/>
        <v>4000</v>
      </c>
      <c r="S10" s="414">
        <f t="shared" si="39"/>
        <v>4000</v>
      </c>
      <c r="T10" s="414">
        <f t="shared" si="39"/>
        <v>4000</v>
      </c>
      <c r="U10" s="414">
        <f t="shared" si="39"/>
        <v>4000</v>
      </c>
      <c r="V10" s="414">
        <f t="shared" si="39"/>
        <v>4000</v>
      </c>
      <c r="W10" s="415">
        <f t="shared" si="39"/>
        <v>4000</v>
      </c>
      <c r="X10" s="416">
        <f t="shared" ref="X10:BG10" si="40">IF($F10&lt;(X$3+1),$K10/12,0)*IF($G10&gt;(X$3),1,0)*$I10</f>
        <v>4200</v>
      </c>
      <c r="Y10" s="414">
        <f t="shared" si="40"/>
        <v>4200</v>
      </c>
      <c r="Z10" s="414">
        <f t="shared" si="40"/>
        <v>4200</v>
      </c>
      <c r="AA10" s="414">
        <f t="shared" si="40"/>
        <v>4200</v>
      </c>
      <c r="AB10" s="414">
        <f t="shared" si="40"/>
        <v>4200</v>
      </c>
      <c r="AC10" s="414">
        <f t="shared" si="40"/>
        <v>4200</v>
      </c>
      <c r="AD10" s="414">
        <f t="shared" si="40"/>
        <v>4200</v>
      </c>
      <c r="AE10" s="414">
        <f t="shared" si="40"/>
        <v>4200</v>
      </c>
      <c r="AF10" s="414">
        <f t="shared" si="40"/>
        <v>4200</v>
      </c>
      <c r="AG10" s="414">
        <f t="shared" si="40"/>
        <v>4200</v>
      </c>
      <c r="AH10" s="414">
        <f t="shared" si="40"/>
        <v>4200</v>
      </c>
      <c r="AI10" s="415">
        <f t="shared" si="40"/>
        <v>4200</v>
      </c>
      <c r="AJ10" s="416">
        <f t="shared" si="40"/>
        <v>4200</v>
      </c>
      <c r="AK10" s="414">
        <f t="shared" si="40"/>
        <v>4200</v>
      </c>
      <c r="AL10" s="414">
        <f t="shared" si="40"/>
        <v>4200</v>
      </c>
      <c r="AM10" s="414">
        <f t="shared" si="40"/>
        <v>4200</v>
      </c>
      <c r="AN10" s="414">
        <f t="shared" si="40"/>
        <v>4200</v>
      </c>
      <c r="AO10" s="414">
        <f t="shared" si="40"/>
        <v>4200</v>
      </c>
      <c r="AP10" s="414">
        <f t="shared" si="40"/>
        <v>4200</v>
      </c>
      <c r="AQ10" s="414">
        <f t="shared" si="40"/>
        <v>4200</v>
      </c>
      <c r="AR10" s="414">
        <f t="shared" si="40"/>
        <v>4200</v>
      </c>
      <c r="AS10" s="414">
        <f t="shared" si="40"/>
        <v>4200</v>
      </c>
      <c r="AT10" s="414">
        <f t="shared" si="40"/>
        <v>4200</v>
      </c>
      <c r="AU10" s="415">
        <f t="shared" si="40"/>
        <v>4200</v>
      </c>
      <c r="AV10" s="416">
        <f t="shared" si="40"/>
        <v>4200</v>
      </c>
      <c r="AW10" s="414">
        <f t="shared" si="40"/>
        <v>4200</v>
      </c>
      <c r="AX10" s="414">
        <f t="shared" si="40"/>
        <v>4200</v>
      </c>
      <c r="AY10" s="414">
        <f t="shared" si="40"/>
        <v>4200</v>
      </c>
      <c r="AZ10" s="414">
        <f t="shared" si="40"/>
        <v>4200</v>
      </c>
      <c r="BA10" s="414">
        <f t="shared" si="40"/>
        <v>4200</v>
      </c>
      <c r="BB10" s="414">
        <f t="shared" si="40"/>
        <v>4200</v>
      </c>
      <c r="BC10" s="414">
        <f t="shared" si="40"/>
        <v>4200</v>
      </c>
      <c r="BD10" s="414">
        <f t="shared" si="40"/>
        <v>4200</v>
      </c>
      <c r="BE10" s="414">
        <f t="shared" si="40"/>
        <v>4200</v>
      </c>
      <c r="BF10" s="414">
        <f t="shared" si="40"/>
        <v>4200</v>
      </c>
      <c r="BG10" s="415">
        <f t="shared" si="40"/>
        <v>4200</v>
      </c>
      <c r="BH10" s="416">
        <f t="shared" ref="BH10:BS10" si="41">IF($F10&lt;(BH$3+1),$L10/12,0)*IF($G10&gt;(BH$3),1,0)*$I10</f>
        <v>4410</v>
      </c>
      <c r="BI10" s="414">
        <f t="shared" si="41"/>
        <v>4410</v>
      </c>
      <c r="BJ10" s="414">
        <f t="shared" si="41"/>
        <v>4410</v>
      </c>
      <c r="BK10" s="414">
        <f t="shared" si="41"/>
        <v>4410</v>
      </c>
      <c r="BL10" s="414">
        <f t="shared" si="41"/>
        <v>4410</v>
      </c>
      <c r="BM10" s="414">
        <f t="shared" si="41"/>
        <v>4410</v>
      </c>
      <c r="BN10" s="414">
        <f t="shared" si="41"/>
        <v>4410</v>
      </c>
      <c r="BO10" s="414">
        <f t="shared" si="41"/>
        <v>4410</v>
      </c>
      <c r="BP10" s="414">
        <f t="shared" si="41"/>
        <v>4410</v>
      </c>
      <c r="BQ10" s="414">
        <f t="shared" si="41"/>
        <v>4410</v>
      </c>
      <c r="BR10" s="414">
        <f t="shared" si="41"/>
        <v>4410</v>
      </c>
      <c r="BS10" s="415">
        <f t="shared" si="41"/>
        <v>4410</v>
      </c>
      <c r="BT10" s="416">
        <f t="shared" ref="BT10:CE10" si="42">IF($F10&lt;(BT$3+1),$M10/12,0)*IF($G10&gt;(BT$3),1,0)*$I10</f>
        <v>4630.5</v>
      </c>
      <c r="BU10" s="414">
        <f t="shared" si="42"/>
        <v>4630.5</v>
      </c>
      <c r="BV10" s="414">
        <f t="shared" si="42"/>
        <v>4630.5</v>
      </c>
      <c r="BW10" s="414">
        <f t="shared" si="42"/>
        <v>4630.5</v>
      </c>
      <c r="BX10" s="414">
        <f t="shared" si="42"/>
        <v>4630.5</v>
      </c>
      <c r="BY10" s="414">
        <f t="shared" si="42"/>
        <v>4630.5</v>
      </c>
      <c r="BZ10" s="414">
        <f t="shared" si="42"/>
        <v>4630.5</v>
      </c>
      <c r="CA10" s="414">
        <f t="shared" si="42"/>
        <v>4630.5</v>
      </c>
      <c r="CB10" s="414">
        <f t="shared" si="42"/>
        <v>4630.5</v>
      </c>
      <c r="CC10" s="414">
        <f t="shared" si="42"/>
        <v>4630.5</v>
      </c>
      <c r="CD10" s="414">
        <f t="shared" si="42"/>
        <v>4630.5</v>
      </c>
      <c r="CE10" s="415">
        <f t="shared" si="42"/>
        <v>4630.5</v>
      </c>
      <c r="CF10" s="416">
        <f t="shared" ref="CF10:CQ10" si="43">IF($F10&lt;(CF$3+1),$N10/12,0)*IF($G10&gt;(CF$3),1,0)*$I10</f>
        <v>4862.0250000000005</v>
      </c>
      <c r="CG10" s="414">
        <f t="shared" si="43"/>
        <v>4862.0250000000005</v>
      </c>
      <c r="CH10" s="414">
        <f t="shared" si="43"/>
        <v>4862.0250000000005</v>
      </c>
      <c r="CI10" s="414">
        <f t="shared" si="43"/>
        <v>4862.0250000000005</v>
      </c>
      <c r="CJ10" s="414">
        <f t="shared" si="43"/>
        <v>4862.0250000000005</v>
      </c>
      <c r="CK10" s="414">
        <f t="shared" si="43"/>
        <v>4862.0250000000005</v>
      </c>
      <c r="CL10" s="414">
        <f t="shared" si="43"/>
        <v>4862.0250000000005</v>
      </c>
      <c r="CM10" s="414">
        <f t="shared" si="43"/>
        <v>4862.0250000000005</v>
      </c>
      <c r="CN10" s="414">
        <f t="shared" si="43"/>
        <v>4862.0250000000005</v>
      </c>
      <c r="CO10" s="414">
        <f t="shared" si="43"/>
        <v>4862.0250000000005</v>
      </c>
      <c r="CP10" s="414">
        <f t="shared" si="43"/>
        <v>4862.0250000000005</v>
      </c>
      <c r="CQ10" s="415">
        <f t="shared" si="43"/>
        <v>4862.0250000000005</v>
      </c>
      <c r="CR10" s="407"/>
      <c r="CS10" s="407" t="e">
        <f t="shared" ref="CS10:CS17" ca="1" si="44">SUM($Q13:$CQ13)*(1+_xludf.IFS(B10="FR",$C$99,B10="ES",$D$99,B10="CH",$E$99,B10="BE",$F$99,B10="DE",$G$99))</f>
        <v>#NAME?</v>
      </c>
      <c r="CT10" s="407">
        <f t="shared" si="7"/>
        <v>138600</v>
      </c>
      <c r="CU10" s="412">
        <f>'Annexe C  Plan produit'!$H$52</f>
        <v>46082</v>
      </c>
      <c r="CV10" s="412">
        <f>'Annexe C  Plan produit'!$I$54</f>
        <v>47090.5</v>
      </c>
    </row>
    <row r="11" spans="1:100" ht="15">
      <c r="A11" s="400" t="s">
        <v>267</v>
      </c>
      <c r="B11" s="401" t="s">
        <v>83</v>
      </c>
      <c r="C11" s="401" t="s">
        <v>282</v>
      </c>
      <c r="E11" s="402" t="s">
        <v>283</v>
      </c>
      <c r="F11" s="403">
        <v>45684</v>
      </c>
      <c r="G11" s="403">
        <v>51161</v>
      </c>
      <c r="H11" s="404"/>
      <c r="I11" s="405">
        <v>1</v>
      </c>
      <c r="J11" s="406">
        <v>40000</v>
      </c>
      <c r="K11" s="407">
        <f t="shared" ref="K11:O11" si="45">J11*(1+5%)</f>
        <v>42000</v>
      </c>
      <c r="L11" s="407">
        <f t="shared" si="45"/>
        <v>44100</v>
      </c>
      <c r="M11" s="407">
        <f t="shared" si="45"/>
        <v>46305</v>
      </c>
      <c r="N11" s="407">
        <f t="shared" si="45"/>
        <v>48620.25</v>
      </c>
      <c r="O11" s="407">
        <f t="shared" si="45"/>
        <v>51051.262500000004</v>
      </c>
      <c r="P11" s="408">
        <v>0.15</v>
      </c>
      <c r="Q11" s="414">
        <f t="shared" ref="Q11:W11" si="46">IF($F11&lt;(Q$3+1),$J11/12,0)*IF($G11&gt;(Q$3),1,0)*$I11</f>
        <v>3333.3333333333335</v>
      </c>
      <c r="R11" s="414">
        <f t="shared" si="46"/>
        <v>3333.3333333333335</v>
      </c>
      <c r="S11" s="414">
        <f t="shared" si="46"/>
        <v>3333.3333333333335</v>
      </c>
      <c r="T11" s="414">
        <f t="shared" si="46"/>
        <v>3333.3333333333335</v>
      </c>
      <c r="U11" s="414">
        <f t="shared" si="46"/>
        <v>3333.3333333333335</v>
      </c>
      <c r="V11" s="414">
        <f t="shared" si="46"/>
        <v>3333.3333333333335</v>
      </c>
      <c r="W11" s="415">
        <f t="shared" si="46"/>
        <v>3333.3333333333335</v>
      </c>
      <c r="X11" s="416">
        <f t="shared" ref="X11:BG11" si="47">IF($F11&lt;(X$3+1),$K11/12,0)*IF($G11&gt;(X$3),1,0)*$I11</f>
        <v>3500</v>
      </c>
      <c r="Y11" s="414">
        <f t="shared" si="47"/>
        <v>3500</v>
      </c>
      <c r="Z11" s="414">
        <f t="shared" si="47"/>
        <v>3500</v>
      </c>
      <c r="AA11" s="414">
        <f t="shared" si="47"/>
        <v>3500</v>
      </c>
      <c r="AB11" s="414">
        <f t="shared" si="47"/>
        <v>3500</v>
      </c>
      <c r="AC11" s="414">
        <f t="shared" si="47"/>
        <v>3500</v>
      </c>
      <c r="AD11" s="414">
        <f t="shared" si="47"/>
        <v>3500</v>
      </c>
      <c r="AE11" s="414">
        <f t="shared" si="47"/>
        <v>3500</v>
      </c>
      <c r="AF11" s="414">
        <f t="shared" si="47"/>
        <v>3500</v>
      </c>
      <c r="AG11" s="414">
        <f t="shared" si="47"/>
        <v>3500</v>
      </c>
      <c r="AH11" s="414">
        <f t="shared" si="47"/>
        <v>3500</v>
      </c>
      <c r="AI11" s="415">
        <f t="shared" si="47"/>
        <v>3500</v>
      </c>
      <c r="AJ11" s="416">
        <f t="shared" si="47"/>
        <v>3500</v>
      </c>
      <c r="AK11" s="414">
        <f t="shared" si="47"/>
        <v>3500</v>
      </c>
      <c r="AL11" s="414">
        <f t="shared" si="47"/>
        <v>3500</v>
      </c>
      <c r="AM11" s="414">
        <f t="shared" si="47"/>
        <v>3500</v>
      </c>
      <c r="AN11" s="414">
        <f t="shared" si="47"/>
        <v>3500</v>
      </c>
      <c r="AO11" s="414">
        <f t="shared" si="47"/>
        <v>3500</v>
      </c>
      <c r="AP11" s="414">
        <f t="shared" si="47"/>
        <v>3500</v>
      </c>
      <c r="AQ11" s="414">
        <f t="shared" si="47"/>
        <v>3500</v>
      </c>
      <c r="AR11" s="414">
        <f t="shared" si="47"/>
        <v>3500</v>
      </c>
      <c r="AS11" s="414">
        <f t="shared" si="47"/>
        <v>3500</v>
      </c>
      <c r="AT11" s="414">
        <f t="shared" si="47"/>
        <v>3500</v>
      </c>
      <c r="AU11" s="415">
        <f t="shared" si="47"/>
        <v>3500</v>
      </c>
      <c r="AV11" s="416">
        <f t="shared" si="47"/>
        <v>3500</v>
      </c>
      <c r="AW11" s="414">
        <f t="shared" si="47"/>
        <v>3500</v>
      </c>
      <c r="AX11" s="414">
        <f t="shared" si="47"/>
        <v>3500</v>
      </c>
      <c r="AY11" s="414">
        <f t="shared" si="47"/>
        <v>3500</v>
      </c>
      <c r="AZ11" s="414">
        <f t="shared" si="47"/>
        <v>3500</v>
      </c>
      <c r="BA11" s="414">
        <f t="shared" si="47"/>
        <v>3500</v>
      </c>
      <c r="BB11" s="414">
        <f t="shared" si="47"/>
        <v>3500</v>
      </c>
      <c r="BC11" s="414">
        <f t="shared" si="47"/>
        <v>3500</v>
      </c>
      <c r="BD11" s="414">
        <f t="shared" si="47"/>
        <v>3500</v>
      </c>
      <c r="BE11" s="414">
        <f t="shared" si="47"/>
        <v>3500</v>
      </c>
      <c r="BF11" s="414">
        <f t="shared" si="47"/>
        <v>3500</v>
      </c>
      <c r="BG11" s="415">
        <f t="shared" si="47"/>
        <v>3500</v>
      </c>
      <c r="BH11" s="416">
        <f t="shared" ref="BH11:BS11" si="48">IF($F11&lt;(BH$3+1),$L11/12,0)*IF($G11&gt;(BH$3),1,0)*$I11</f>
        <v>3675</v>
      </c>
      <c r="BI11" s="414">
        <f t="shared" si="48"/>
        <v>3675</v>
      </c>
      <c r="BJ11" s="414">
        <f t="shared" si="48"/>
        <v>3675</v>
      </c>
      <c r="BK11" s="414">
        <f t="shared" si="48"/>
        <v>3675</v>
      </c>
      <c r="BL11" s="414">
        <f t="shared" si="48"/>
        <v>3675</v>
      </c>
      <c r="BM11" s="414">
        <f t="shared" si="48"/>
        <v>3675</v>
      </c>
      <c r="BN11" s="414">
        <f t="shared" si="48"/>
        <v>3675</v>
      </c>
      <c r="BO11" s="414">
        <f t="shared" si="48"/>
        <v>3675</v>
      </c>
      <c r="BP11" s="414">
        <f t="shared" si="48"/>
        <v>3675</v>
      </c>
      <c r="BQ11" s="414">
        <f t="shared" si="48"/>
        <v>3675</v>
      </c>
      <c r="BR11" s="414">
        <f t="shared" si="48"/>
        <v>3675</v>
      </c>
      <c r="BS11" s="415">
        <f t="shared" si="48"/>
        <v>3675</v>
      </c>
      <c r="BT11" s="416">
        <f t="shared" ref="BT11:CE11" si="49">IF($F11&lt;(BT$3+1),$M11/12,0)*IF($G11&gt;(BT$3),1,0)*$I11</f>
        <v>3858.75</v>
      </c>
      <c r="BU11" s="414">
        <f t="shared" si="49"/>
        <v>3858.75</v>
      </c>
      <c r="BV11" s="414">
        <f t="shared" si="49"/>
        <v>3858.75</v>
      </c>
      <c r="BW11" s="414">
        <f t="shared" si="49"/>
        <v>3858.75</v>
      </c>
      <c r="BX11" s="414">
        <f t="shared" si="49"/>
        <v>3858.75</v>
      </c>
      <c r="BY11" s="414">
        <f t="shared" si="49"/>
        <v>3858.75</v>
      </c>
      <c r="BZ11" s="414">
        <f t="shared" si="49"/>
        <v>3858.75</v>
      </c>
      <c r="CA11" s="414">
        <f t="shared" si="49"/>
        <v>3858.75</v>
      </c>
      <c r="CB11" s="414">
        <f t="shared" si="49"/>
        <v>3858.75</v>
      </c>
      <c r="CC11" s="414">
        <f t="shared" si="49"/>
        <v>3858.75</v>
      </c>
      <c r="CD11" s="414">
        <f t="shared" si="49"/>
        <v>3858.75</v>
      </c>
      <c r="CE11" s="415">
        <f t="shared" si="49"/>
        <v>3858.75</v>
      </c>
      <c r="CF11" s="416">
        <f t="shared" ref="CF11:CQ11" si="50">IF($F11&lt;(CF$3+1),$N11/12,0)*IF($G11&gt;(CF$3),1,0)*$I11</f>
        <v>4051.6875</v>
      </c>
      <c r="CG11" s="414">
        <f t="shared" si="50"/>
        <v>4051.6875</v>
      </c>
      <c r="CH11" s="414">
        <f t="shared" si="50"/>
        <v>4051.6875</v>
      </c>
      <c r="CI11" s="414">
        <f t="shared" si="50"/>
        <v>4051.6875</v>
      </c>
      <c r="CJ11" s="414">
        <f t="shared" si="50"/>
        <v>4051.6875</v>
      </c>
      <c r="CK11" s="414">
        <f t="shared" si="50"/>
        <v>4051.6875</v>
      </c>
      <c r="CL11" s="414">
        <f t="shared" si="50"/>
        <v>4051.6875</v>
      </c>
      <c r="CM11" s="414">
        <f t="shared" si="50"/>
        <v>4051.6875</v>
      </c>
      <c r="CN11" s="414">
        <f t="shared" si="50"/>
        <v>4051.6875</v>
      </c>
      <c r="CO11" s="414">
        <f t="shared" si="50"/>
        <v>4051.6875</v>
      </c>
      <c r="CP11" s="414">
        <f t="shared" si="50"/>
        <v>4051.6875</v>
      </c>
      <c r="CQ11" s="415">
        <f t="shared" si="50"/>
        <v>4051.6875</v>
      </c>
      <c r="CR11" s="407"/>
      <c r="CS11" s="407" t="e">
        <f t="shared" ca="1" si="44"/>
        <v>#NAME?</v>
      </c>
      <c r="CT11" s="407">
        <f t="shared" si="7"/>
        <v>115500</v>
      </c>
      <c r="CU11" s="412">
        <f>'Annexe C  Plan produit'!$H$52</f>
        <v>46082</v>
      </c>
      <c r="CV11" s="412">
        <f>'Annexe C  Plan produit'!$I$54</f>
        <v>47090.5</v>
      </c>
    </row>
    <row r="12" spans="1:100" ht="15">
      <c r="A12" s="400" t="s">
        <v>267</v>
      </c>
      <c r="B12" s="401" t="s">
        <v>83</v>
      </c>
      <c r="C12" s="401" t="s">
        <v>284</v>
      </c>
      <c r="E12" s="402" t="s">
        <v>285</v>
      </c>
      <c r="F12" s="403">
        <v>45686</v>
      </c>
      <c r="G12" s="403">
        <v>51161</v>
      </c>
      <c r="H12" s="404"/>
      <c r="I12" s="417">
        <v>1</v>
      </c>
      <c r="J12" s="406">
        <v>21200</v>
      </c>
      <c r="K12" s="407">
        <f t="shared" ref="K12:O12" si="51">J12*(1+5%)</f>
        <v>22260</v>
      </c>
      <c r="L12" s="407">
        <f t="shared" si="51"/>
        <v>23373</v>
      </c>
      <c r="M12" s="407">
        <f t="shared" si="51"/>
        <v>24541.65</v>
      </c>
      <c r="N12" s="407">
        <f t="shared" si="51"/>
        <v>25768.732500000002</v>
      </c>
      <c r="O12" s="407">
        <f t="shared" si="51"/>
        <v>27057.169125000004</v>
      </c>
      <c r="P12" s="408">
        <v>0.15</v>
      </c>
      <c r="Q12" s="414">
        <f t="shared" ref="Q12:W12" si="52">IF($F12&lt;(Q$3+1),$J12/12,0)*IF($G12&gt;(Q$3),1,0)*$I12</f>
        <v>1766.6666666666667</v>
      </c>
      <c r="R12" s="414">
        <f t="shared" si="52"/>
        <v>1766.6666666666667</v>
      </c>
      <c r="S12" s="414">
        <f t="shared" si="52"/>
        <v>1766.6666666666667</v>
      </c>
      <c r="T12" s="414">
        <f t="shared" si="52"/>
        <v>1766.6666666666667</v>
      </c>
      <c r="U12" s="414">
        <f t="shared" si="52"/>
        <v>1766.6666666666667</v>
      </c>
      <c r="V12" s="414">
        <f t="shared" si="52"/>
        <v>1766.6666666666667</v>
      </c>
      <c r="W12" s="415">
        <f t="shared" si="52"/>
        <v>1766.6666666666667</v>
      </c>
      <c r="X12" s="416">
        <f t="shared" ref="X12:BG12" si="53">IF($F12&lt;(X$3+1),$K12/12,0)*IF($G12&gt;(X$3),1,0)*$I12</f>
        <v>1855</v>
      </c>
      <c r="Y12" s="414">
        <f t="shared" si="53"/>
        <v>1855</v>
      </c>
      <c r="Z12" s="414">
        <f t="shared" si="53"/>
        <v>1855</v>
      </c>
      <c r="AA12" s="414">
        <f t="shared" si="53"/>
        <v>1855</v>
      </c>
      <c r="AB12" s="414">
        <f t="shared" si="53"/>
        <v>1855</v>
      </c>
      <c r="AC12" s="414">
        <f t="shared" si="53"/>
        <v>1855</v>
      </c>
      <c r="AD12" s="414">
        <f t="shared" si="53"/>
        <v>1855</v>
      </c>
      <c r="AE12" s="414">
        <f t="shared" si="53"/>
        <v>1855</v>
      </c>
      <c r="AF12" s="414">
        <f t="shared" si="53"/>
        <v>1855</v>
      </c>
      <c r="AG12" s="414">
        <f t="shared" si="53"/>
        <v>1855</v>
      </c>
      <c r="AH12" s="414">
        <f t="shared" si="53"/>
        <v>1855</v>
      </c>
      <c r="AI12" s="415">
        <f t="shared" si="53"/>
        <v>1855</v>
      </c>
      <c r="AJ12" s="416">
        <f t="shared" si="53"/>
        <v>1855</v>
      </c>
      <c r="AK12" s="414">
        <f t="shared" si="53"/>
        <v>1855</v>
      </c>
      <c r="AL12" s="414">
        <f t="shared" si="53"/>
        <v>1855</v>
      </c>
      <c r="AM12" s="414">
        <f t="shared" si="53"/>
        <v>1855</v>
      </c>
      <c r="AN12" s="414">
        <f t="shared" si="53"/>
        <v>1855</v>
      </c>
      <c r="AO12" s="414">
        <f t="shared" si="53"/>
        <v>1855</v>
      </c>
      <c r="AP12" s="414">
        <f t="shared" si="53"/>
        <v>1855</v>
      </c>
      <c r="AQ12" s="414">
        <f t="shared" si="53"/>
        <v>1855</v>
      </c>
      <c r="AR12" s="414">
        <f t="shared" si="53"/>
        <v>1855</v>
      </c>
      <c r="AS12" s="414">
        <f t="shared" si="53"/>
        <v>1855</v>
      </c>
      <c r="AT12" s="414">
        <f t="shared" si="53"/>
        <v>1855</v>
      </c>
      <c r="AU12" s="415">
        <f t="shared" si="53"/>
        <v>1855</v>
      </c>
      <c r="AV12" s="416">
        <f t="shared" si="53"/>
        <v>1855</v>
      </c>
      <c r="AW12" s="414">
        <f t="shared" si="53"/>
        <v>1855</v>
      </c>
      <c r="AX12" s="414">
        <f t="shared" si="53"/>
        <v>1855</v>
      </c>
      <c r="AY12" s="414">
        <f t="shared" si="53"/>
        <v>1855</v>
      </c>
      <c r="AZ12" s="414">
        <f t="shared" si="53"/>
        <v>1855</v>
      </c>
      <c r="BA12" s="414">
        <f t="shared" si="53"/>
        <v>1855</v>
      </c>
      <c r="BB12" s="414">
        <f t="shared" si="53"/>
        <v>1855</v>
      </c>
      <c r="BC12" s="414">
        <f t="shared" si="53"/>
        <v>1855</v>
      </c>
      <c r="BD12" s="414">
        <f t="shared" si="53"/>
        <v>1855</v>
      </c>
      <c r="BE12" s="414">
        <f t="shared" si="53"/>
        <v>1855</v>
      </c>
      <c r="BF12" s="414">
        <f t="shared" si="53"/>
        <v>1855</v>
      </c>
      <c r="BG12" s="415">
        <f t="shared" si="53"/>
        <v>1855</v>
      </c>
      <c r="BH12" s="416">
        <f t="shared" ref="BH12:BS12" si="54">IF($F12&lt;(BH$3+1),$L12/12,0)*IF($G12&gt;(BH$3),1,0)*$I12</f>
        <v>1947.75</v>
      </c>
      <c r="BI12" s="414">
        <f t="shared" si="54"/>
        <v>1947.75</v>
      </c>
      <c r="BJ12" s="414">
        <f t="shared" si="54"/>
        <v>1947.75</v>
      </c>
      <c r="BK12" s="414">
        <f t="shared" si="54"/>
        <v>1947.75</v>
      </c>
      <c r="BL12" s="414">
        <f t="shared" si="54"/>
        <v>1947.75</v>
      </c>
      <c r="BM12" s="414">
        <f t="shared" si="54"/>
        <v>1947.75</v>
      </c>
      <c r="BN12" s="414">
        <f t="shared" si="54"/>
        <v>1947.75</v>
      </c>
      <c r="BO12" s="414">
        <f t="shared" si="54"/>
        <v>1947.75</v>
      </c>
      <c r="BP12" s="414">
        <f t="shared" si="54"/>
        <v>1947.75</v>
      </c>
      <c r="BQ12" s="414">
        <f t="shared" si="54"/>
        <v>1947.75</v>
      </c>
      <c r="BR12" s="414">
        <f t="shared" si="54"/>
        <v>1947.75</v>
      </c>
      <c r="BS12" s="415">
        <f t="shared" si="54"/>
        <v>1947.75</v>
      </c>
      <c r="BT12" s="416">
        <f t="shared" ref="BT12:CE12" si="55">IF($F12&lt;(BT$3+1),$M12/12,0)*IF($G12&gt;(BT$3),1,0)*$I12</f>
        <v>2045.1375</v>
      </c>
      <c r="BU12" s="414">
        <f t="shared" si="55"/>
        <v>2045.1375</v>
      </c>
      <c r="BV12" s="414">
        <f t="shared" si="55"/>
        <v>2045.1375</v>
      </c>
      <c r="BW12" s="414">
        <f t="shared" si="55"/>
        <v>2045.1375</v>
      </c>
      <c r="BX12" s="414">
        <f t="shared" si="55"/>
        <v>2045.1375</v>
      </c>
      <c r="BY12" s="414">
        <f t="shared" si="55"/>
        <v>2045.1375</v>
      </c>
      <c r="BZ12" s="414">
        <f t="shared" si="55"/>
        <v>2045.1375</v>
      </c>
      <c r="CA12" s="414">
        <f t="shared" si="55"/>
        <v>2045.1375</v>
      </c>
      <c r="CB12" s="414">
        <f t="shared" si="55"/>
        <v>2045.1375</v>
      </c>
      <c r="CC12" s="414">
        <f t="shared" si="55"/>
        <v>2045.1375</v>
      </c>
      <c r="CD12" s="414">
        <f t="shared" si="55"/>
        <v>2045.1375</v>
      </c>
      <c r="CE12" s="415">
        <f t="shared" si="55"/>
        <v>2045.1375</v>
      </c>
      <c r="CF12" s="416">
        <f t="shared" ref="CF12:CQ12" si="56">IF($F12&lt;(CF$3+1),$N12/12,0)*IF($G12&gt;(CF$3),1,0)*$I12</f>
        <v>2147.3943750000003</v>
      </c>
      <c r="CG12" s="414">
        <f t="shared" si="56"/>
        <v>2147.3943750000003</v>
      </c>
      <c r="CH12" s="414">
        <f t="shared" si="56"/>
        <v>2147.3943750000003</v>
      </c>
      <c r="CI12" s="414">
        <f t="shared" si="56"/>
        <v>2147.3943750000003</v>
      </c>
      <c r="CJ12" s="414">
        <f t="shared" si="56"/>
        <v>2147.3943750000003</v>
      </c>
      <c r="CK12" s="414">
        <f t="shared" si="56"/>
        <v>2147.3943750000003</v>
      </c>
      <c r="CL12" s="414">
        <f t="shared" si="56"/>
        <v>2147.3943750000003</v>
      </c>
      <c r="CM12" s="414">
        <f t="shared" si="56"/>
        <v>2147.3943750000003</v>
      </c>
      <c r="CN12" s="414">
        <f t="shared" si="56"/>
        <v>2147.3943750000003</v>
      </c>
      <c r="CO12" s="414">
        <f t="shared" si="56"/>
        <v>2147.3943750000003</v>
      </c>
      <c r="CP12" s="414">
        <f t="shared" si="56"/>
        <v>2147.3943750000003</v>
      </c>
      <c r="CQ12" s="415">
        <f t="shared" si="56"/>
        <v>2147.3943750000003</v>
      </c>
      <c r="CR12" s="407"/>
      <c r="CS12" s="407" t="e">
        <f t="shared" ca="1" si="44"/>
        <v>#NAME?</v>
      </c>
      <c r="CT12" s="407">
        <f t="shared" si="7"/>
        <v>61215</v>
      </c>
      <c r="CU12" s="412">
        <f>'Annexe C  Plan produit'!$H$52</f>
        <v>46082</v>
      </c>
      <c r="CV12" s="412">
        <f>'Annexe C  Plan produit'!$I$54</f>
        <v>47090.5</v>
      </c>
    </row>
    <row r="13" spans="1:100" ht="15">
      <c r="A13" s="400" t="s">
        <v>267</v>
      </c>
      <c r="B13" s="401" t="s">
        <v>83</v>
      </c>
      <c r="C13" s="401" t="s">
        <v>286</v>
      </c>
      <c r="E13" s="402" t="s">
        <v>287</v>
      </c>
      <c r="F13" s="403">
        <v>45688</v>
      </c>
      <c r="G13" s="403">
        <v>51161</v>
      </c>
      <c r="H13" s="413" t="str">
        <f>'Annexe C  Plan produit'!A52</f>
        <v>R&amp;D1</v>
      </c>
      <c r="I13" s="405">
        <v>1</v>
      </c>
      <c r="J13" s="406">
        <v>42500</v>
      </c>
      <c r="K13" s="407">
        <f t="shared" ref="K13:O13" si="57">J13*(1+5%)</f>
        <v>44625</v>
      </c>
      <c r="L13" s="407">
        <f t="shared" si="57"/>
        <v>46856.25</v>
      </c>
      <c r="M13" s="407">
        <f t="shared" si="57"/>
        <v>49199.0625</v>
      </c>
      <c r="N13" s="407">
        <f t="shared" si="57"/>
        <v>51659.015625</v>
      </c>
      <c r="O13" s="407">
        <f t="shared" si="57"/>
        <v>54241.966406250001</v>
      </c>
      <c r="P13" s="408">
        <v>0.15</v>
      </c>
      <c r="Q13" s="414">
        <f t="shared" ref="Q13:W13" si="58">IF($F13&lt;(Q$3+1),$J13/12,0)*IF($G13&gt;(Q$3),1,0)*$I13</f>
        <v>3541.6666666666665</v>
      </c>
      <c r="R13" s="414">
        <f t="shared" si="58"/>
        <v>3541.6666666666665</v>
      </c>
      <c r="S13" s="414">
        <f t="shared" si="58"/>
        <v>3541.6666666666665</v>
      </c>
      <c r="T13" s="414">
        <f t="shared" si="58"/>
        <v>3541.6666666666665</v>
      </c>
      <c r="U13" s="414">
        <f t="shared" si="58"/>
        <v>3541.6666666666665</v>
      </c>
      <c r="V13" s="414">
        <f t="shared" si="58"/>
        <v>3541.6666666666665</v>
      </c>
      <c r="W13" s="415">
        <f t="shared" si="58"/>
        <v>3541.6666666666665</v>
      </c>
      <c r="X13" s="416">
        <f t="shared" ref="X13:BG13" si="59">IF($F13&lt;(X$3+1),$K13/12,0)*IF($G13&gt;(X$3),1,0)*$I13</f>
        <v>3718.75</v>
      </c>
      <c r="Y13" s="414">
        <f t="shared" si="59"/>
        <v>3718.75</v>
      </c>
      <c r="Z13" s="414">
        <f t="shared" si="59"/>
        <v>3718.75</v>
      </c>
      <c r="AA13" s="414">
        <f t="shared" si="59"/>
        <v>3718.75</v>
      </c>
      <c r="AB13" s="414">
        <f t="shared" si="59"/>
        <v>3718.75</v>
      </c>
      <c r="AC13" s="414">
        <f t="shared" si="59"/>
        <v>3718.75</v>
      </c>
      <c r="AD13" s="414">
        <f t="shared" si="59"/>
        <v>3718.75</v>
      </c>
      <c r="AE13" s="414">
        <f t="shared" si="59"/>
        <v>3718.75</v>
      </c>
      <c r="AF13" s="414">
        <f t="shared" si="59"/>
        <v>3718.75</v>
      </c>
      <c r="AG13" s="414">
        <f t="shared" si="59"/>
        <v>3718.75</v>
      </c>
      <c r="AH13" s="414">
        <f t="shared" si="59"/>
        <v>3718.75</v>
      </c>
      <c r="AI13" s="415">
        <f t="shared" si="59"/>
        <v>3718.75</v>
      </c>
      <c r="AJ13" s="416">
        <f t="shared" si="59"/>
        <v>3718.75</v>
      </c>
      <c r="AK13" s="414">
        <f t="shared" si="59"/>
        <v>3718.75</v>
      </c>
      <c r="AL13" s="414">
        <f t="shared" si="59"/>
        <v>3718.75</v>
      </c>
      <c r="AM13" s="414">
        <f t="shared" si="59"/>
        <v>3718.75</v>
      </c>
      <c r="AN13" s="414">
        <f t="shared" si="59"/>
        <v>3718.75</v>
      </c>
      <c r="AO13" s="414">
        <f t="shared" si="59"/>
        <v>3718.75</v>
      </c>
      <c r="AP13" s="414">
        <f t="shared" si="59"/>
        <v>3718.75</v>
      </c>
      <c r="AQ13" s="414">
        <f t="shared" si="59"/>
        <v>3718.75</v>
      </c>
      <c r="AR13" s="414">
        <f t="shared" si="59"/>
        <v>3718.75</v>
      </c>
      <c r="AS13" s="414">
        <f t="shared" si="59"/>
        <v>3718.75</v>
      </c>
      <c r="AT13" s="414">
        <f t="shared" si="59"/>
        <v>3718.75</v>
      </c>
      <c r="AU13" s="415">
        <f t="shared" si="59"/>
        <v>3718.75</v>
      </c>
      <c r="AV13" s="416">
        <f t="shared" si="59"/>
        <v>3718.75</v>
      </c>
      <c r="AW13" s="414">
        <f t="shared" si="59"/>
        <v>3718.75</v>
      </c>
      <c r="AX13" s="414">
        <f t="shared" si="59"/>
        <v>3718.75</v>
      </c>
      <c r="AY13" s="414">
        <f t="shared" si="59"/>
        <v>3718.75</v>
      </c>
      <c r="AZ13" s="414">
        <f t="shared" si="59"/>
        <v>3718.75</v>
      </c>
      <c r="BA13" s="414">
        <f t="shared" si="59"/>
        <v>3718.75</v>
      </c>
      <c r="BB13" s="414">
        <f t="shared" si="59"/>
        <v>3718.75</v>
      </c>
      <c r="BC13" s="414">
        <f t="shared" si="59"/>
        <v>3718.75</v>
      </c>
      <c r="BD13" s="414">
        <f t="shared" si="59"/>
        <v>3718.75</v>
      </c>
      <c r="BE13" s="414">
        <f t="shared" si="59"/>
        <v>3718.75</v>
      </c>
      <c r="BF13" s="414">
        <f t="shared" si="59"/>
        <v>3718.75</v>
      </c>
      <c r="BG13" s="415">
        <f t="shared" si="59"/>
        <v>3718.75</v>
      </c>
      <c r="BH13" s="416">
        <f t="shared" ref="BH13:BS13" si="60">IF($F13&lt;(BH$3+1),$L13/12,0)*IF($G13&gt;(BH$3),1,0)*$I13</f>
        <v>3904.6875</v>
      </c>
      <c r="BI13" s="414">
        <f t="shared" si="60"/>
        <v>3904.6875</v>
      </c>
      <c r="BJ13" s="414">
        <f t="shared" si="60"/>
        <v>3904.6875</v>
      </c>
      <c r="BK13" s="414">
        <f t="shared" si="60"/>
        <v>3904.6875</v>
      </c>
      <c r="BL13" s="414">
        <f t="shared" si="60"/>
        <v>3904.6875</v>
      </c>
      <c r="BM13" s="414">
        <f t="shared" si="60"/>
        <v>3904.6875</v>
      </c>
      <c r="BN13" s="414">
        <f t="shared" si="60"/>
        <v>3904.6875</v>
      </c>
      <c r="BO13" s="414">
        <f t="shared" si="60"/>
        <v>3904.6875</v>
      </c>
      <c r="BP13" s="414">
        <f t="shared" si="60"/>
        <v>3904.6875</v>
      </c>
      <c r="BQ13" s="414">
        <f t="shared" si="60"/>
        <v>3904.6875</v>
      </c>
      <c r="BR13" s="414">
        <f t="shared" si="60"/>
        <v>3904.6875</v>
      </c>
      <c r="BS13" s="415">
        <f t="shared" si="60"/>
        <v>3904.6875</v>
      </c>
      <c r="BT13" s="416">
        <f t="shared" ref="BT13:CE13" si="61">IF($F13&lt;(BT$3+1),$M13/12,0)*IF($G13&gt;(BT$3),1,0)*$I13</f>
        <v>4099.921875</v>
      </c>
      <c r="BU13" s="414">
        <f t="shared" si="61"/>
        <v>4099.921875</v>
      </c>
      <c r="BV13" s="414">
        <f t="shared" si="61"/>
        <v>4099.921875</v>
      </c>
      <c r="BW13" s="414">
        <f t="shared" si="61"/>
        <v>4099.921875</v>
      </c>
      <c r="BX13" s="414">
        <f t="shared" si="61"/>
        <v>4099.921875</v>
      </c>
      <c r="BY13" s="414">
        <f t="shared" si="61"/>
        <v>4099.921875</v>
      </c>
      <c r="BZ13" s="414">
        <f t="shared" si="61"/>
        <v>4099.921875</v>
      </c>
      <c r="CA13" s="414">
        <f t="shared" si="61"/>
        <v>4099.921875</v>
      </c>
      <c r="CB13" s="414">
        <f t="shared" si="61"/>
        <v>4099.921875</v>
      </c>
      <c r="CC13" s="414">
        <f t="shared" si="61"/>
        <v>4099.921875</v>
      </c>
      <c r="CD13" s="414">
        <f t="shared" si="61"/>
        <v>4099.921875</v>
      </c>
      <c r="CE13" s="415">
        <f t="shared" si="61"/>
        <v>4099.921875</v>
      </c>
      <c r="CF13" s="416">
        <f t="shared" ref="CF13:CQ13" si="62">IF($F13&lt;(CF$3+1),$N13/12,0)*IF($G13&gt;(CF$3),1,0)*$I13</f>
        <v>4304.91796875</v>
      </c>
      <c r="CG13" s="414">
        <f t="shared" si="62"/>
        <v>4304.91796875</v>
      </c>
      <c r="CH13" s="414">
        <f t="shared" si="62"/>
        <v>4304.91796875</v>
      </c>
      <c r="CI13" s="414">
        <f t="shared" si="62"/>
        <v>4304.91796875</v>
      </c>
      <c r="CJ13" s="414">
        <f t="shared" si="62"/>
        <v>4304.91796875</v>
      </c>
      <c r="CK13" s="414">
        <f t="shared" si="62"/>
        <v>4304.91796875</v>
      </c>
      <c r="CL13" s="414">
        <f t="shared" si="62"/>
        <v>4304.91796875</v>
      </c>
      <c r="CM13" s="414">
        <f t="shared" si="62"/>
        <v>4304.91796875</v>
      </c>
      <c r="CN13" s="414">
        <f t="shared" si="62"/>
        <v>4304.91796875</v>
      </c>
      <c r="CO13" s="414">
        <f t="shared" si="62"/>
        <v>4304.91796875</v>
      </c>
      <c r="CP13" s="414">
        <f t="shared" si="62"/>
        <v>4304.91796875</v>
      </c>
      <c r="CQ13" s="415">
        <f t="shared" si="62"/>
        <v>4304.91796875</v>
      </c>
      <c r="CR13" s="407"/>
      <c r="CS13" s="407" t="e">
        <f t="shared" ca="1" si="44"/>
        <v>#NAME?</v>
      </c>
      <c r="CT13" s="407">
        <f t="shared" si="7"/>
        <v>122718.75</v>
      </c>
      <c r="CU13" s="412">
        <f>'Annexe C  Plan produit'!$H$52</f>
        <v>46082</v>
      </c>
      <c r="CV13" s="412">
        <f>'Annexe C  Plan produit'!$I$54</f>
        <v>47090.5</v>
      </c>
    </row>
    <row r="14" spans="1:100" ht="15">
      <c r="A14" s="400" t="s">
        <v>270</v>
      </c>
      <c r="B14" s="401" t="s">
        <v>83</v>
      </c>
      <c r="C14" s="401" t="s">
        <v>288</v>
      </c>
      <c r="E14" s="402" t="s">
        <v>289</v>
      </c>
      <c r="F14" s="403">
        <v>45721</v>
      </c>
      <c r="G14" s="403">
        <v>46048</v>
      </c>
      <c r="H14" s="413" t="s">
        <v>266</v>
      </c>
      <c r="I14" s="405">
        <v>1</v>
      </c>
      <c r="J14" s="406">
        <v>15000</v>
      </c>
      <c r="K14" s="407">
        <f t="shared" ref="K14:O14" si="63">J14*(1+5%)</f>
        <v>15750</v>
      </c>
      <c r="L14" s="407">
        <f t="shared" si="63"/>
        <v>16537.5</v>
      </c>
      <c r="M14" s="407">
        <f t="shared" si="63"/>
        <v>17364.375</v>
      </c>
      <c r="N14" s="407">
        <f t="shared" si="63"/>
        <v>18232.59375</v>
      </c>
      <c r="O14" s="407">
        <f t="shared" si="63"/>
        <v>19144.223437500001</v>
      </c>
      <c r="P14" s="408">
        <v>0.15</v>
      </c>
      <c r="Q14" s="414">
        <f t="shared" ref="Q14:W14" si="64">IF($F14&lt;(Q$3+1),$J14/12,0)*IF($G14&gt;(Q$3),1,0)*$I14</f>
        <v>1250</v>
      </c>
      <c r="R14" s="414">
        <f t="shared" si="64"/>
        <v>1250</v>
      </c>
      <c r="S14" s="414">
        <f t="shared" si="64"/>
        <v>1250</v>
      </c>
      <c r="T14" s="414">
        <f t="shared" si="64"/>
        <v>1250</v>
      </c>
      <c r="U14" s="414">
        <f t="shared" si="64"/>
        <v>1250</v>
      </c>
      <c r="V14" s="414">
        <f t="shared" si="64"/>
        <v>1250</v>
      </c>
      <c r="W14" s="415">
        <f t="shared" si="64"/>
        <v>1250</v>
      </c>
      <c r="X14" s="416">
        <f t="shared" ref="X14:BG14" si="65">IF($F14&lt;(X$3+1),$K14/12,0)*IF($G14&gt;(X$3),1,0)*$I14</f>
        <v>1312.5</v>
      </c>
      <c r="Y14" s="414">
        <f t="shared" si="65"/>
        <v>0</v>
      </c>
      <c r="Z14" s="414">
        <f t="shared" si="65"/>
        <v>0</v>
      </c>
      <c r="AA14" s="414">
        <f t="shared" si="65"/>
        <v>0</v>
      </c>
      <c r="AB14" s="414">
        <f t="shared" si="65"/>
        <v>0</v>
      </c>
      <c r="AC14" s="414">
        <f t="shared" si="65"/>
        <v>0</v>
      </c>
      <c r="AD14" s="414">
        <f t="shared" si="65"/>
        <v>0</v>
      </c>
      <c r="AE14" s="414">
        <f t="shared" si="65"/>
        <v>0</v>
      </c>
      <c r="AF14" s="414">
        <f t="shared" si="65"/>
        <v>0</v>
      </c>
      <c r="AG14" s="414">
        <f t="shared" si="65"/>
        <v>0</v>
      </c>
      <c r="AH14" s="414">
        <f t="shared" si="65"/>
        <v>0</v>
      </c>
      <c r="AI14" s="415">
        <f t="shared" si="65"/>
        <v>0</v>
      </c>
      <c r="AJ14" s="416">
        <f t="shared" si="65"/>
        <v>0</v>
      </c>
      <c r="AK14" s="414">
        <f t="shared" si="65"/>
        <v>0</v>
      </c>
      <c r="AL14" s="414">
        <f t="shared" si="65"/>
        <v>0</v>
      </c>
      <c r="AM14" s="414">
        <f t="shared" si="65"/>
        <v>0</v>
      </c>
      <c r="AN14" s="414">
        <f t="shared" si="65"/>
        <v>0</v>
      </c>
      <c r="AO14" s="414">
        <f t="shared" si="65"/>
        <v>0</v>
      </c>
      <c r="AP14" s="414">
        <f t="shared" si="65"/>
        <v>0</v>
      </c>
      <c r="AQ14" s="414">
        <f t="shared" si="65"/>
        <v>0</v>
      </c>
      <c r="AR14" s="414">
        <f t="shared" si="65"/>
        <v>0</v>
      </c>
      <c r="AS14" s="414">
        <f t="shared" si="65"/>
        <v>0</v>
      </c>
      <c r="AT14" s="414">
        <f t="shared" si="65"/>
        <v>0</v>
      </c>
      <c r="AU14" s="415">
        <f t="shared" si="65"/>
        <v>0</v>
      </c>
      <c r="AV14" s="416">
        <f t="shared" si="65"/>
        <v>0</v>
      </c>
      <c r="AW14" s="414">
        <f t="shared" si="65"/>
        <v>0</v>
      </c>
      <c r="AX14" s="414">
        <f t="shared" si="65"/>
        <v>0</v>
      </c>
      <c r="AY14" s="414">
        <f t="shared" si="65"/>
        <v>0</v>
      </c>
      <c r="AZ14" s="414">
        <f t="shared" si="65"/>
        <v>0</v>
      </c>
      <c r="BA14" s="414">
        <f t="shared" si="65"/>
        <v>0</v>
      </c>
      <c r="BB14" s="414">
        <f t="shared" si="65"/>
        <v>0</v>
      </c>
      <c r="BC14" s="414">
        <f t="shared" si="65"/>
        <v>0</v>
      </c>
      <c r="BD14" s="414">
        <f t="shared" si="65"/>
        <v>0</v>
      </c>
      <c r="BE14" s="414">
        <f t="shared" si="65"/>
        <v>0</v>
      </c>
      <c r="BF14" s="414">
        <f t="shared" si="65"/>
        <v>0</v>
      </c>
      <c r="BG14" s="415">
        <f t="shared" si="65"/>
        <v>0</v>
      </c>
      <c r="BH14" s="416">
        <f t="shared" ref="BH14:BS14" si="66">IF($F14&lt;(BH$3+1),$L14/12,0)*IF($G14&gt;(BH$3),1,0)*$I14</f>
        <v>0</v>
      </c>
      <c r="BI14" s="414">
        <f t="shared" si="66"/>
        <v>0</v>
      </c>
      <c r="BJ14" s="414">
        <f t="shared" si="66"/>
        <v>0</v>
      </c>
      <c r="BK14" s="414">
        <f t="shared" si="66"/>
        <v>0</v>
      </c>
      <c r="BL14" s="414">
        <f t="shared" si="66"/>
        <v>0</v>
      </c>
      <c r="BM14" s="414">
        <f t="shared" si="66"/>
        <v>0</v>
      </c>
      <c r="BN14" s="414">
        <f t="shared" si="66"/>
        <v>0</v>
      </c>
      <c r="BO14" s="414">
        <f t="shared" si="66"/>
        <v>0</v>
      </c>
      <c r="BP14" s="414">
        <f t="shared" si="66"/>
        <v>0</v>
      </c>
      <c r="BQ14" s="414">
        <f t="shared" si="66"/>
        <v>0</v>
      </c>
      <c r="BR14" s="414">
        <f t="shared" si="66"/>
        <v>0</v>
      </c>
      <c r="BS14" s="415">
        <f t="shared" si="66"/>
        <v>0</v>
      </c>
      <c r="BT14" s="416">
        <f t="shared" ref="BT14:CE14" si="67">IF($F14&lt;(BT$3+1),$M14/12,0)*IF($G14&gt;(BT$3),1,0)*$I14</f>
        <v>0</v>
      </c>
      <c r="BU14" s="414">
        <f t="shared" si="67"/>
        <v>0</v>
      </c>
      <c r="BV14" s="414">
        <f t="shared" si="67"/>
        <v>0</v>
      </c>
      <c r="BW14" s="414">
        <f t="shared" si="67"/>
        <v>0</v>
      </c>
      <c r="BX14" s="414">
        <f t="shared" si="67"/>
        <v>0</v>
      </c>
      <c r="BY14" s="414">
        <f t="shared" si="67"/>
        <v>0</v>
      </c>
      <c r="BZ14" s="414">
        <f t="shared" si="67"/>
        <v>0</v>
      </c>
      <c r="CA14" s="414">
        <f t="shared" si="67"/>
        <v>0</v>
      </c>
      <c r="CB14" s="414">
        <f t="shared" si="67"/>
        <v>0</v>
      </c>
      <c r="CC14" s="414">
        <f t="shared" si="67"/>
        <v>0</v>
      </c>
      <c r="CD14" s="414">
        <f t="shared" si="67"/>
        <v>0</v>
      </c>
      <c r="CE14" s="415">
        <f t="shared" si="67"/>
        <v>0</v>
      </c>
      <c r="CF14" s="416">
        <f t="shared" ref="CF14:CQ14" si="68">IF($F14&lt;(CF$3+1),$N14/12,0)*IF($G14&gt;(CF$3),1,0)*$I14</f>
        <v>0</v>
      </c>
      <c r="CG14" s="414">
        <f t="shared" si="68"/>
        <v>0</v>
      </c>
      <c r="CH14" s="414">
        <f t="shared" si="68"/>
        <v>0</v>
      </c>
      <c r="CI14" s="414">
        <f t="shared" si="68"/>
        <v>0</v>
      </c>
      <c r="CJ14" s="414">
        <f t="shared" si="68"/>
        <v>0</v>
      </c>
      <c r="CK14" s="414">
        <f t="shared" si="68"/>
        <v>0</v>
      </c>
      <c r="CL14" s="414">
        <f t="shared" si="68"/>
        <v>0</v>
      </c>
      <c r="CM14" s="414">
        <f t="shared" si="68"/>
        <v>0</v>
      </c>
      <c r="CN14" s="414">
        <f t="shared" si="68"/>
        <v>0</v>
      </c>
      <c r="CO14" s="414">
        <f t="shared" si="68"/>
        <v>0</v>
      </c>
      <c r="CP14" s="414">
        <f t="shared" si="68"/>
        <v>0</v>
      </c>
      <c r="CQ14" s="415">
        <f t="shared" si="68"/>
        <v>0</v>
      </c>
      <c r="CR14" s="407"/>
      <c r="CS14" s="407" t="e">
        <f t="shared" ca="1" si="44"/>
        <v>#NAME?</v>
      </c>
      <c r="CT14" s="407">
        <f t="shared" si="7"/>
        <v>0</v>
      </c>
      <c r="CU14" s="412">
        <f>'Annexe C  Plan produit'!$H$52</f>
        <v>46082</v>
      </c>
      <c r="CV14" s="412">
        <f>'Annexe C  Plan produit'!$I$54</f>
        <v>47090.5</v>
      </c>
    </row>
    <row r="15" spans="1:100" ht="15">
      <c r="A15" s="400" t="s">
        <v>267</v>
      </c>
      <c r="B15" s="401" t="s">
        <v>83</v>
      </c>
      <c r="C15" s="401" t="s">
        <v>284</v>
      </c>
      <c r="E15" s="402" t="s">
        <v>290</v>
      </c>
      <c r="F15" s="403">
        <v>45726</v>
      </c>
      <c r="G15" s="403">
        <v>51161</v>
      </c>
      <c r="H15" s="404"/>
      <c r="I15" s="418">
        <v>1</v>
      </c>
      <c r="J15" s="406">
        <v>35000</v>
      </c>
      <c r="K15" s="407">
        <f t="shared" ref="K15:O15" si="69">J15*(1+5%)</f>
        <v>36750</v>
      </c>
      <c r="L15" s="407">
        <f t="shared" si="69"/>
        <v>38587.5</v>
      </c>
      <c r="M15" s="407">
        <f t="shared" si="69"/>
        <v>40516.875</v>
      </c>
      <c r="N15" s="407">
        <f t="shared" si="69"/>
        <v>42542.71875</v>
      </c>
      <c r="O15" s="407">
        <f t="shared" si="69"/>
        <v>44669.854687500003</v>
      </c>
      <c r="P15" s="408">
        <v>0.15</v>
      </c>
      <c r="Q15" s="414">
        <f t="shared" ref="Q15:W15" si="70">IF($F15&lt;(Q$3+1),$J15/12,0)*IF($G15&gt;(Q$3),1,0)*$I15</f>
        <v>2916.6666666666665</v>
      </c>
      <c r="R15" s="414">
        <f t="shared" si="70"/>
        <v>2916.6666666666665</v>
      </c>
      <c r="S15" s="414">
        <f t="shared" si="70"/>
        <v>2916.6666666666665</v>
      </c>
      <c r="T15" s="414">
        <f t="shared" si="70"/>
        <v>2916.6666666666665</v>
      </c>
      <c r="U15" s="414">
        <f t="shared" si="70"/>
        <v>2916.6666666666665</v>
      </c>
      <c r="V15" s="414">
        <f t="shared" si="70"/>
        <v>2916.6666666666665</v>
      </c>
      <c r="W15" s="415">
        <f t="shared" si="70"/>
        <v>2916.6666666666665</v>
      </c>
      <c r="X15" s="416">
        <f t="shared" ref="X15:BG15" si="71">IF($F15&lt;(X$3+1),$K15/12,0)*IF($G15&gt;(X$3),1,0)*$I15</f>
        <v>3062.5</v>
      </c>
      <c r="Y15" s="414">
        <f t="shared" si="71"/>
        <v>3062.5</v>
      </c>
      <c r="Z15" s="414">
        <f t="shared" si="71"/>
        <v>3062.5</v>
      </c>
      <c r="AA15" s="414">
        <f t="shared" si="71"/>
        <v>3062.5</v>
      </c>
      <c r="AB15" s="414">
        <f t="shared" si="71"/>
        <v>3062.5</v>
      </c>
      <c r="AC15" s="414">
        <f t="shared" si="71"/>
        <v>3062.5</v>
      </c>
      <c r="AD15" s="414">
        <f t="shared" si="71"/>
        <v>3062.5</v>
      </c>
      <c r="AE15" s="414">
        <f t="shared" si="71"/>
        <v>3062.5</v>
      </c>
      <c r="AF15" s="414">
        <f t="shared" si="71"/>
        <v>3062.5</v>
      </c>
      <c r="AG15" s="414">
        <f t="shared" si="71"/>
        <v>3062.5</v>
      </c>
      <c r="AH15" s="414">
        <f t="shared" si="71"/>
        <v>3062.5</v>
      </c>
      <c r="AI15" s="415">
        <f t="shared" si="71"/>
        <v>3062.5</v>
      </c>
      <c r="AJ15" s="416">
        <f t="shared" si="71"/>
        <v>3062.5</v>
      </c>
      <c r="AK15" s="414">
        <f t="shared" si="71"/>
        <v>3062.5</v>
      </c>
      <c r="AL15" s="414">
        <f t="shared" si="71"/>
        <v>3062.5</v>
      </c>
      <c r="AM15" s="414">
        <f t="shared" si="71"/>
        <v>3062.5</v>
      </c>
      <c r="AN15" s="414">
        <f t="shared" si="71"/>
        <v>3062.5</v>
      </c>
      <c r="AO15" s="414">
        <f t="shared" si="71"/>
        <v>3062.5</v>
      </c>
      <c r="AP15" s="414">
        <f t="shared" si="71"/>
        <v>3062.5</v>
      </c>
      <c r="AQ15" s="414">
        <f t="shared" si="71"/>
        <v>3062.5</v>
      </c>
      <c r="AR15" s="414">
        <f t="shared" si="71"/>
        <v>3062.5</v>
      </c>
      <c r="AS15" s="414">
        <f t="shared" si="71"/>
        <v>3062.5</v>
      </c>
      <c r="AT15" s="414">
        <f t="shared" si="71"/>
        <v>3062.5</v>
      </c>
      <c r="AU15" s="415">
        <f t="shared" si="71"/>
        <v>3062.5</v>
      </c>
      <c r="AV15" s="416">
        <f t="shared" si="71"/>
        <v>3062.5</v>
      </c>
      <c r="AW15" s="414">
        <f t="shared" si="71"/>
        <v>3062.5</v>
      </c>
      <c r="AX15" s="414">
        <f t="shared" si="71"/>
        <v>3062.5</v>
      </c>
      <c r="AY15" s="414">
        <f t="shared" si="71"/>
        <v>3062.5</v>
      </c>
      <c r="AZ15" s="414">
        <f t="shared" si="71"/>
        <v>3062.5</v>
      </c>
      <c r="BA15" s="414">
        <f t="shared" si="71"/>
        <v>3062.5</v>
      </c>
      <c r="BB15" s="414">
        <f t="shared" si="71"/>
        <v>3062.5</v>
      </c>
      <c r="BC15" s="414">
        <f t="shared" si="71"/>
        <v>3062.5</v>
      </c>
      <c r="BD15" s="414">
        <f t="shared" si="71"/>
        <v>3062.5</v>
      </c>
      <c r="BE15" s="414">
        <f t="shared" si="71"/>
        <v>3062.5</v>
      </c>
      <c r="BF15" s="414">
        <f t="shared" si="71"/>
        <v>3062.5</v>
      </c>
      <c r="BG15" s="415">
        <f t="shared" si="71"/>
        <v>3062.5</v>
      </c>
      <c r="BH15" s="416">
        <f t="shared" ref="BH15:BS15" si="72">IF($F15&lt;(BH$3+1),$L15/12,0)*IF($G15&gt;(BH$3),1,0)*$I15</f>
        <v>3215.625</v>
      </c>
      <c r="BI15" s="414">
        <f t="shared" si="72"/>
        <v>3215.625</v>
      </c>
      <c r="BJ15" s="414">
        <f t="shared" si="72"/>
        <v>3215.625</v>
      </c>
      <c r="BK15" s="414">
        <f t="shared" si="72"/>
        <v>3215.625</v>
      </c>
      <c r="BL15" s="414">
        <f t="shared" si="72"/>
        <v>3215.625</v>
      </c>
      <c r="BM15" s="414">
        <f t="shared" si="72"/>
        <v>3215.625</v>
      </c>
      <c r="BN15" s="414">
        <f t="shared" si="72"/>
        <v>3215.625</v>
      </c>
      <c r="BO15" s="414">
        <f t="shared" si="72"/>
        <v>3215.625</v>
      </c>
      <c r="BP15" s="414">
        <f t="shared" si="72"/>
        <v>3215.625</v>
      </c>
      <c r="BQ15" s="414">
        <f t="shared" si="72"/>
        <v>3215.625</v>
      </c>
      <c r="BR15" s="414">
        <f t="shared" si="72"/>
        <v>3215.625</v>
      </c>
      <c r="BS15" s="415">
        <f t="shared" si="72"/>
        <v>3215.625</v>
      </c>
      <c r="BT15" s="416">
        <f t="shared" ref="BT15:CE15" si="73">IF($F15&lt;(BT$3+1),$M15/12,0)*IF($G15&gt;(BT$3),1,0)*$I15</f>
        <v>3376.40625</v>
      </c>
      <c r="BU15" s="414">
        <f t="shared" si="73"/>
        <v>3376.40625</v>
      </c>
      <c r="BV15" s="414">
        <f t="shared" si="73"/>
        <v>3376.40625</v>
      </c>
      <c r="BW15" s="414">
        <f t="shared" si="73"/>
        <v>3376.40625</v>
      </c>
      <c r="BX15" s="414">
        <f t="shared" si="73"/>
        <v>3376.40625</v>
      </c>
      <c r="BY15" s="414">
        <f t="shared" si="73"/>
        <v>3376.40625</v>
      </c>
      <c r="BZ15" s="414">
        <f t="shared" si="73"/>
        <v>3376.40625</v>
      </c>
      <c r="CA15" s="414">
        <f t="shared" si="73"/>
        <v>3376.40625</v>
      </c>
      <c r="CB15" s="414">
        <f t="shared" si="73"/>
        <v>3376.40625</v>
      </c>
      <c r="CC15" s="414">
        <f t="shared" si="73"/>
        <v>3376.40625</v>
      </c>
      <c r="CD15" s="414">
        <f t="shared" si="73"/>
        <v>3376.40625</v>
      </c>
      <c r="CE15" s="415">
        <f t="shared" si="73"/>
        <v>3376.40625</v>
      </c>
      <c r="CF15" s="416">
        <f t="shared" ref="CF15:CQ15" si="74">IF($F15&lt;(CF$3+1),$N15/12,0)*IF($G15&gt;(CF$3),1,0)*$I15</f>
        <v>3545.2265625</v>
      </c>
      <c r="CG15" s="414">
        <f t="shared" si="74"/>
        <v>3545.2265625</v>
      </c>
      <c r="CH15" s="414">
        <f t="shared" si="74"/>
        <v>3545.2265625</v>
      </c>
      <c r="CI15" s="414">
        <f t="shared" si="74"/>
        <v>3545.2265625</v>
      </c>
      <c r="CJ15" s="414">
        <f t="shared" si="74"/>
        <v>3545.2265625</v>
      </c>
      <c r="CK15" s="414">
        <f t="shared" si="74"/>
        <v>3545.2265625</v>
      </c>
      <c r="CL15" s="414">
        <f t="shared" si="74"/>
        <v>3545.2265625</v>
      </c>
      <c r="CM15" s="414">
        <f t="shared" si="74"/>
        <v>3545.2265625</v>
      </c>
      <c r="CN15" s="414">
        <f t="shared" si="74"/>
        <v>3545.2265625</v>
      </c>
      <c r="CO15" s="414">
        <f t="shared" si="74"/>
        <v>3545.2265625</v>
      </c>
      <c r="CP15" s="414">
        <f t="shared" si="74"/>
        <v>3545.2265625</v>
      </c>
      <c r="CQ15" s="415">
        <f t="shared" si="74"/>
        <v>3545.2265625</v>
      </c>
      <c r="CR15" s="407"/>
      <c r="CS15" s="407" t="e">
        <f t="shared" ca="1" si="44"/>
        <v>#NAME?</v>
      </c>
      <c r="CT15" s="407">
        <f t="shared" si="7"/>
        <v>101062.5</v>
      </c>
      <c r="CU15" s="412">
        <f>'Annexe C  Plan produit'!$H$52</f>
        <v>46082</v>
      </c>
      <c r="CV15" s="412">
        <f>'Annexe C  Plan produit'!$I$54</f>
        <v>47090.5</v>
      </c>
    </row>
    <row r="16" spans="1:100" ht="15">
      <c r="A16" s="400" t="s">
        <v>279</v>
      </c>
      <c r="B16" s="401" t="s">
        <v>83</v>
      </c>
      <c r="C16" s="401" t="s">
        <v>291</v>
      </c>
      <c r="E16" s="402" t="s">
        <v>292</v>
      </c>
      <c r="F16" s="403">
        <v>45839</v>
      </c>
      <c r="G16" s="403">
        <v>45987</v>
      </c>
      <c r="H16" s="404"/>
      <c r="I16" s="405">
        <v>1</v>
      </c>
      <c r="J16" s="406">
        <v>36000</v>
      </c>
      <c r="K16" s="407">
        <f t="shared" ref="K16:O16" si="75">J16*(1+5%)</f>
        <v>37800</v>
      </c>
      <c r="L16" s="407">
        <f t="shared" si="75"/>
        <v>39690</v>
      </c>
      <c r="M16" s="407">
        <f t="shared" si="75"/>
        <v>41674.5</v>
      </c>
      <c r="N16" s="407">
        <f t="shared" si="75"/>
        <v>43758.224999999999</v>
      </c>
      <c r="O16" s="407">
        <f t="shared" si="75"/>
        <v>45946.136250000003</v>
      </c>
      <c r="P16" s="408">
        <v>0.15</v>
      </c>
      <c r="Q16" s="414">
        <f t="shared" ref="Q16:W16" si="76">IF($F16&lt;(Q$3+1),$J16/12,0)*IF($G16&gt;(Q$3),1,0)*$I16</f>
        <v>0</v>
      </c>
      <c r="R16" s="414">
        <f t="shared" si="76"/>
        <v>3000</v>
      </c>
      <c r="S16" s="414">
        <f t="shared" si="76"/>
        <v>3000</v>
      </c>
      <c r="T16" s="414">
        <f t="shared" si="76"/>
        <v>3000</v>
      </c>
      <c r="U16" s="414">
        <f t="shared" si="76"/>
        <v>3000</v>
      </c>
      <c r="V16" s="414">
        <f t="shared" si="76"/>
        <v>3000</v>
      </c>
      <c r="W16" s="415">
        <f t="shared" si="76"/>
        <v>0</v>
      </c>
      <c r="X16" s="416">
        <f t="shared" ref="X16:BG16" si="77">IF($F16&lt;(X$3+1),$K16/12,0)*IF($G16&gt;(X$3),1,0)*$I16</f>
        <v>0</v>
      </c>
      <c r="Y16" s="414">
        <f t="shared" si="77"/>
        <v>0</v>
      </c>
      <c r="Z16" s="414">
        <f t="shared" si="77"/>
        <v>0</v>
      </c>
      <c r="AA16" s="414">
        <f t="shared" si="77"/>
        <v>0</v>
      </c>
      <c r="AB16" s="414">
        <f t="shared" si="77"/>
        <v>0</v>
      </c>
      <c r="AC16" s="414">
        <f t="shared" si="77"/>
        <v>0</v>
      </c>
      <c r="AD16" s="414">
        <f t="shared" si="77"/>
        <v>0</v>
      </c>
      <c r="AE16" s="414">
        <f t="shared" si="77"/>
        <v>0</v>
      </c>
      <c r="AF16" s="414">
        <f t="shared" si="77"/>
        <v>0</v>
      </c>
      <c r="AG16" s="414">
        <f t="shared" si="77"/>
        <v>0</v>
      </c>
      <c r="AH16" s="414">
        <f t="shared" si="77"/>
        <v>0</v>
      </c>
      <c r="AI16" s="415">
        <f t="shared" si="77"/>
        <v>0</v>
      </c>
      <c r="AJ16" s="416">
        <f t="shared" si="77"/>
        <v>0</v>
      </c>
      <c r="AK16" s="414">
        <f t="shared" si="77"/>
        <v>0</v>
      </c>
      <c r="AL16" s="414">
        <f t="shared" si="77"/>
        <v>0</v>
      </c>
      <c r="AM16" s="414">
        <f t="shared" si="77"/>
        <v>0</v>
      </c>
      <c r="AN16" s="414">
        <f t="shared" si="77"/>
        <v>0</v>
      </c>
      <c r="AO16" s="414">
        <f t="shared" si="77"/>
        <v>0</v>
      </c>
      <c r="AP16" s="414">
        <f t="shared" si="77"/>
        <v>0</v>
      </c>
      <c r="AQ16" s="414">
        <f t="shared" si="77"/>
        <v>0</v>
      </c>
      <c r="AR16" s="414">
        <f t="shared" si="77"/>
        <v>0</v>
      </c>
      <c r="AS16" s="414">
        <f t="shared" si="77"/>
        <v>0</v>
      </c>
      <c r="AT16" s="414">
        <f t="shared" si="77"/>
        <v>0</v>
      </c>
      <c r="AU16" s="415">
        <f t="shared" si="77"/>
        <v>0</v>
      </c>
      <c r="AV16" s="416">
        <f t="shared" si="77"/>
        <v>0</v>
      </c>
      <c r="AW16" s="414">
        <f t="shared" si="77"/>
        <v>0</v>
      </c>
      <c r="AX16" s="414">
        <f t="shared" si="77"/>
        <v>0</v>
      </c>
      <c r="AY16" s="414">
        <f t="shared" si="77"/>
        <v>0</v>
      </c>
      <c r="AZ16" s="414">
        <f t="shared" si="77"/>
        <v>0</v>
      </c>
      <c r="BA16" s="414">
        <f t="shared" si="77"/>
        <v>0</v>
      </c>
      <c r="BB16" s="414">
        <f t="shared" si="77"/>
        <v>0</v>
      </c>
      <c r="BC16" s="414">
        <f t="shared" si="77"/>
        <v>0</v>
      </c>
      <c r="BD16" s="414">
        <f t="shared" si="77"/>
        <v>0</v>
      </c>
      <c r="BE16" s="414">
        <f t="shared" si="77"/>
        <v>0</v>
      </c>
      <c r="BF16" s="414">
        <f t="shared" si="77"/>
        <v>0</v>
      </c>
      <c r="BG16" s="415">
        <f t="shared" si="77"/>
        <v>0</v>
      </c>
      <c r="BH16" s="416">
        <f t="shared" ref="BH16:BS16" si="78">IF($F16&lt;(BH$3+1),$L16/12,0)*IF($G16&gt;(BH$3),1,0)*$I16</f>
        <v>0</v>
      </c>
      <c r="BI16" s="414">
        <f t="shared" si="78"/>
        <v>0</v>
      </c>
      <c r="BJ16" s="414">
        <f t="shared" si="78"/>
        <v>0</v>
      </c>
      <c r="BK16" s="414">
        <f t="shared" si="78"/>
        <v>0</v>
      </c>
      <c r="BL16" s="414">
        <f t="shared" si="78"/>
        <v>0</v>
      </c>
      <c r="BM16" s="414">
        <f t="shared" si="78"/>
        <v>0</v>
      </c>
      <c r="BN16" s="414">
        <f t="shared" si="78"/>
        <v>0</v>
      </c>
      <c r="BO16" s="414">
        <f t="shared" si="78"/>
        <v>0</v>
      </c>
      <c r="BP16" s="414">
        <f t="shared" si="78"/>
        <v>0</v>
      </c>
      <c r="BQ16" s="414">
        <f t="shared" si="78"/>
        <v>0</v>
      </c>
      <c r="BR16" s="414">
        <f t="shared" si="78"/>
        <v>0</v>
      </c>
      <c r="BS16" s="415">
        <f t="shared" si="78"/>
        <v>0</v>
      </c>
      <c r="BT16" s="416">
        <f t="shared" ref="BT16:CE16" si="79">IF($F16&lt;(BT$3+1),$M16/12,0)*IF($G16&gt;(BT$3),1,0)*$I16</f>
        <v>0</v>
      </c>
      <c r="BU16" s="414">
        <f t="shared" si="79"/>
        <v>0</v>
      </c>
      <c r="BV16" s="414">
        <f t="shared" si="79"/>
        <v>0</v>
      </c>
      <c r="BW16" s="414">
        <f t="shared" si="79"/>
        <v>0</v>
      </c>
      <c r="BX16" s="414">
        <f t="shared" si="79"/>
        <v>0</v>
      </c>
      <c r="BY16" s="414">
        <f t="shared" si="79"/>
        <v>0</v>
      </c>
      <c r="BZ16" s="414">
        <f t="shared" si="79"/>
        <v>0</v>
      </c>
      <c r="CA16" s="414">
        <f t="shared" si="79"/>
        <v>0</v>
      </c>
      <c r="CB16" s="414">
        <f t="shared" si="79"/>
        <v>0</v>
      </c>
      <c r="CC16" s="414">
        <f t="shared" si="79"/>
        <v>0</v>
      </c>
      <c r="CD16" s="414">
        <f t="shared" si="79"/>
        <v>0</v>
      </c>
      <c r="CE16" s="415">
        <f t="shared" si="79"/>
        <v>0</v>
      </c>
      <c r="CF16" s="416">
        <f t="shared" ref="CF16:CQ16" si="80">IF($F16&lt;(CF$3+1),$N16/12,0)*IF($G16&gt;(CF$3),1,0)*$I16</f>
        <v>0</v>
      </c>
      <c r="CG16" s="414">
        <f t="shared" si="80"/>
        <v>0</v>
      </c>
      <c r="CH16" s="414">
        <f t="shared" si="80"/>
        <v>0</v>
      </c>
      <c r="CI16" s="414">
        <f t="shared" si="80"/>
        <v>0</v>
      </c>
      <c r="CJ16" s="414">
        <f t="shared" si="80"/>
        <v>0</v>
      </c>
      <c r="CK16" s="414">
        <f t="shared" si="80"/>
        <v>0</v>
      </c>
      <c r="CL16" s="414">
        <f t="shared" si="80"/>
        <v>0</v>
      </c>
      <c r="CM16" s="414">
        <f t="shared" si="80"/>
        <v>0</v>
      </c>
      <c r="CN16" s="414">
        <f t="shared" si="80"/>
        <v>0</v>
      </c>
      <c r="CO16" s="414">
        <f t="shared" si="80"/>
        <v>0</v>
      </c>
      <c r="CP16" s="414">
        <f t="shared" si="80"/>
        <v>0</v>
      </c>
      <c r="CQ16" s="415">
        <f t="shared" si="80"/>
        <v>0</v>
      </c>
      <c r="CR16" s="407"/>
      <c r="CS16" s="407" t="e">
        <f t="shared" ca="1" si="44"/>
        <v>#NAME?</v>
      </c>
      <c r="CT16" s="407">
        <f t="shared" si="7"/>
        <v>0</v>
      </c>
      <c r="CU16" s="412">
        <f>'Annexe C  Plan produit'!$H$52</f>
        <v>46082</v>
      </c>
      <c r="CV16" s="412">
        <f>'Annexe C  Plan produit'!$I$54</f>
        <v>47090.5</v>
      </c>
    </row>
    <row r="17" spans="1:100" ht="15">
      <c r="A17" s="400" t="s">
        <v>267</v>
      </c>
      <c r="B17" s="401" t="s">
        <v>83</v>
      </c>
      <c r="C17" s="401" t="s">
        <v>284</v>
      </c>
      <c r="E17" s="402" t="s">
        <v>293</v>
      </c>
      <c r="F17" s="403">
        <v>45931</v>
      </c>
      <c r="G17" s="403">
        <v>51161</v>
      </c>
      <c r="H17" s="404"/>
      <c r="I17" s="405">
        <v>1</v>
      </c>
      <c r="J17" s="406">
        <v>37000</v>
      </c>
      <c r="K17" s="407">
        <f t="shared" ref="K17:O17" si="81">J17*(1+5%)</f>
        <v>38850</v>
      </c>
      <c r="L17" s="407">
        <f t="shared" si="81"/>
        <v>40792.5</v>
      </c>
      <c r="M17" s="407">
        <f t="shared" si="81"/>
        <v>42832.125</v>
      </c>
      <c r="N17" s="407">
        <f t="shared" si="81"/>
        <v>44973.731250000004</v>
      </c>
      <c r="O17" s="407">
        <f t="shared" si="81"/>
        <v>47222.417812500003</v>
      </c>
      <c r="P17" s="408">
        <v>0.15</v>
      </c>
      <c r="Q17" s="414">
        <f t="shared" ref="Q17:W17" si="82">IF($F17&lt;(Q$3+1),$J17/12,0)*IF($G17&gt;(Q$3),1,0)*$I17</f>
        <v>0</v>
      </c>
      <c r="R17" s="414">
        <f t="shared" si="82"/>
        <v>0</v>
      </c>
      <c r="S17" s="414">
        <f t="shared" si="82"/>
        <v>0</v>
      </c>
      <c r="T17" s="414">
        <f t="shared" si="82"/>
        <v>0</v>
      </c>
      <c r="U17" s="414">
        <f t="shared" si="82"/>
        <v>3083.3333333333335</v>
      </c>
      <c r="V17" s="414">
        <f t="shared" si="82"/>
        <v>3083.3333333333335</v>
      </c>
      <c r="W17" s="415">
        <f t="shared" si="82"/>
        <v>3083.3333333333335</v>
      </c>
      <c r="X17" s="416">
        <f t="shared" ref="X17:BG17" si="83">IF($F17&lt;(X$3+1),$K17/12,0)*IF($G17&gt;(X$3),1,0)*$I17</f>
        <v>3237.5</v>
      </c>
      <c r="Y17" s="414">
        <f t="shared" si="83"/>
        <v>3237.5</v>
      </c>
      <c r="Z17" s="414">
        <f t="shared" si="83"/>
        <v>3237.5</v>
      </c>
      <c r="AA17" s="414">
        <f t="shared" si="83"/>
        <v>3237.5</v>
      </c>
      <c r="AB17" s="414">
        <f t="shared" si="83"/>
        <v>3237.5</v>
      </c>
      <c r="AC17" s="414">
        <f t="shared" si="83"/>
        <v>3237.5</v>
      </c>
      <c r="AD17" s="414">
        <f t="shared" si="83"/>
        <v>3237.5</v>
      </c>
      <c r="AE17" s="414">
        <f t="shared" si="83"/>
        <v>3237.5</v>
      </c>
      <c r="AF17" s="414">
        <f t="shared" si="83"/>
        <v>3237.5</v>
      </c>
      <c r="AG17" s="414">
        <f t="shared" si="83"/>
        <v>3237.5</v>
      </c>
      <c r="AH17" s="414">
        <f t="shared" si="83"/>
        <v>3237.5</v>
      </c>
      <c r="AI17" s="415">
        <f t="shared" si="83"/>
        <v>3237.5</v>
      </c>
      <c r="AJ17" s="416">
        <f t="shared" si="83"/>
        <v>3237.5</v>
      </c>
      <c r="AK17" s="414">
        <f t="shared" si="83"/>
        <v>3237.5</v>
      </c>
      <c r="AL17" s="414">
        <f t="shared" si="83"/>
        <v>3237.5</v>
      </c>
      <c r="AM17" s="414">
        <f t="shared" si="83"/>
        <v>3237.5</v>
      </c>
      <c r="AN17" s="414">
        <f t="shared" si="83"/>
        <v>3237.5</v>
      </c>
      <c r="AO17" s="414">
        <f t="shared" si="83"/>
        <v>3237.5</v>
      </c>
      <c r="AP17" s="414">
        <f t="shared" si="83"/>
        <v>3237.5</v>
      </c>
      <c r="AQ17" s="414">
        <f t="shared" si="83"/>
        <v>3237.5</v>
      </c>
      <c r="AR17" s="414">
        <f t="shared" si="83"/>
        <v>3237.5</v>
      </c>
      <c r="AS17" s="414">
        <f t="shared" si="83"/>
        <v>3237.5</v>
      </c>
      <c r="AT17" s="414">
        <f t="shared" si="83"/>
        <v>3237.5</v>
      </c>
      <c r="AU17" s="415">
        <f t="shared" si="83"/>
        <v>3237.5</v>
      </c>
      <c r="AV17" s="416">
        <f t="shared" si="83"/>
        <v>3237.5</v>
      </c>
      <c r="AW17" s="414">
        <f t="shared" si="83"/>
        <v>3237.5</v>
      </c>
      <c r="AX17" s="414">
        <f t="shared" si="83"/>
        <v>3237.5</v>
      </c>
      <c r="AY17" s="414">
        <f t="shared" si="83"/>
        <v>3237.5</v>
      </c>
      <c r="AZ17" s="414">
        <f t="shared" si="83"/>
        <v>3237.5</v>
      </c>
      <c r="BA17" s="414">
        <f t="shared" si="83"/>
        <v>3237.5</v>
      </c>
      <c r="BB17" s="414">
        <f t="shared" si="83"/>
        <v>3237.5</v>
      </c>
      <c r="BC17" s="414">
        <f t="shared" si="83"/>
        <v>3237.5</v>
      </c>
      <c r="BD17" s="414">
        <f t="shared" si="83"/>
        <v>3237.5</v>
      </c>
      <c r="BE17" s="414">
        <f t="shared" si="83"/>
        <v>3237.5</v>
      </c>
      <c r="BF17" s="414">
        <f t="shared" si="83"/>
        <v>3237.5</v>
      </c>
      <c r="BG17" s="415">
        <f t="shared" si="83"/>
        <v>3237.5</v>
      </c>
      <c r="BH17" s="416">
        <f t="shared" ref="BH17:BS17" si="84">IF($F17&lt;(BH$3+1),$L17/12,0)*IF($G17&gt;(BH$3),1,0)*$I17</f>
        <v>3399.375</v>
      </c>
      <c r="BI17" s="414">
        <f t="shared" si="84"/>
        <v>3399.375</v>
      </c>
      <c r="BJ17" s="414">
        <f t="shared" si="84"/>
        <v>3399.375</v>
      </c>
      <c r="BK17" s="414">
        <f t="shared" si="84"/>
        <v>3399.375</v>
      </c>
      <c r="BL17" s="414">
        <f t="shared" si="84"/>
        <v>3399.375</v>
      </c>
      <c r="BM17" s="414">
        <f t="shared" si="84"/>
        <v>3399.375</v>
      </c>
      <c r="BN17" s="414">
        <f t="shared" si="84"/>
        <v>3399.375</v>
      </c>
      <c r="BO17" s="414">
        <f t="shared" si="84"/>
        <v>3399.375</v>
      </c>
      <c r="BP17" s="414">
        <f t="shared" si="84"/>
        <v>3399.375</v>
      </c>
      <c r="BQ17" s="414">
        <f t="shared" si="84"/>
        <v>3399.375</v>
      </c>
      <c r="BR17" s="414">
        <f t="shared" si="84"/>
        <v>3399.375</v>
      </c>
      <c r="BS17" s="415">
        <f t="shared" si="84"/>
        <v>3399.375</v>
      </c>
      <c r="BT17" s="416">
        <f t="shared" ref="BT17:CE17" si="85">IF($F17&lt;(BT$3+1),$M17/12,0)*IF($G17&gt;(BT$3),1,0)*$I17</f>
        <v>3569.34375</v>
      </c>
      <c r="BU17" s="414">
        <f t="shared" si="85"/>
        <v>3569.34375</v>
      </c>
      <c r="BV17" s="414">
        <f t="shared" si="85"/>
        <v>3569.34375</v>
      </c>
      <c r="BW17" s="414">
        <f t="shared" si="85"/>
        <v>3569.34375</v>
      </c>
      <c r="BX17" s="414">
        <f t="shared" si="85"/>
        <v>3569.34375</v>
      </c>
      <c r="BY17" s="414">
        <f t="shared" si="85"/>
        <v>3569.34375</v>
      </c>
      <c r="BZ17" s="414">
        <f t="shared" si="85"/>
        <v>3569.34375</v>
      </c>
      <c r="CA17" s="414">
        <f t="shared" si="85"/>
        <v>3569.34375</v>
      </c>
      <c r="CB17" s="414">
        <f t="shared" si="85"/>
        <v>3569.34375</v>
      </c>
      <c r="CC17" s="414">
        <f t="shared" si="85"/>
        <v>3569.34375</v>
      </c>
      <c r="CD17" s="414">
        <f t="shared" si="85"/>
        <v>3569.34375</v>
      </c>
      <c r="CE17" s="415">
        <f t="shared" si="85"/>
        <v>3569.34375</v>
      </c>
      <c r="CF17" s="416">
        <f t="shared" ref="CF17:CQ17" si="86">IF($F17&lt;(CF$3+1),$N17/12,0)*IF($G17&gt;(CF$3),1,0)*$I17</f>
        <v>3747.8109375000004</v>
      </c>
      <c r="CG17" s="414">
        <f t="shared" si="86"/>
        <v>3747.8109375000004</v>
      </c>
      <c r="CH17" s="414">
        <f t="shared" si="86"/>
        <v>3747.8109375000004</v>
      </c>
      <c r="CI17" s="414">
        <f t="shared" si="86"/>
        <v>3747.8109375000004</v>
      </c>
      <c r="CJ17" s="414">
        <f t="shared" si="86"/>
        <v>3747.8109375000004</v>
      </c>
      <c r="CK17" s="414">
        <f t="shared" si="86"/>
        <v>3747.8109375000004</v>
      </c>
      <c r="CL17" s="414">
        <f t="shared" si="86"/>
        <v>3747.8109375000004</v>
      </c>
      <c r="CM17" s="414">
        <f t="shared" si="86"/>
        <v>3747.8109375000004</v>
      </c>
      <c r="CN17" s="414">
        <f t="shared" si="86"/>
        <v>3747.8109375000004</v>
      </c>
      <c r="CO17" s="414">
        <f t="shared" si="86"/>
        <v>3747.8109375000004</v>
      </c>
      <c r="CP17" s="414">
        <f t="shared" si="86"/>
        <v>3747.8109375000004</v>
      </c>
      <c r="CQ17" s="415">
        <f t="shared" si="86"/>
        <v>3747.8109375000004</v>
      </c>
      <c r="CR17" s="407"/>
      <c r="CS17" s="407" t="e">
        <f t="shared" ca="1" si="44"/>
        <v>#NAME?</v>
      </c>
      <c r="CT17" s="407">
        <f t="shared" si="7"/>
        <v>106837.5</v>
      </c>
      <c r="CU17" s="412">
        <f>'Annexe C  Plan produit'!$H$52</f>
        <v>46082</v>
      </c>
      <c r="CV17" s="412">
        <f>'Annexe C  Plan produit'!$I$54</f>
        <v>47090.5</v>
      </c>
    </row>
    <row r="18" spans="1:100" ht="15">
      <c r="A18" s="400" t="s">
        <v>276</v>
      </c>
      <c r="B18" s="401" t="s">
        <v>83</v>
      </c>
      <c r="C18" s="11" t="s">
        <v>277</v>
      </c>
      <c r="D18" s="4"/>
      <c r="E18" s="419"/>
      <c r="F18" s="403">
        <v>46023</v>
      </c>
      <c r="G18" s="403">
        <v>51161</v>
      </c>
      <c r="H18" s="404"/>
      <c r="I18" s="405">
        <v>1</v>
      </c>
      <c r="J18" s="406">
        <v>35000</v>
      </c>
      <c r="K18" s="407">
        <f t="shared" ref="K18:O18" si="87">J18*(1+5%)</f>
        <v>36750</v>
      </c>
      <c r="L18" s="407">
        <f t="shared" si="87"/>
        <v>38587.5</v>
      </c>
      <c r="M18" s="407">
        <f t="shared" si="87"/>
        <v>40516.875</v>
      </c>
      <c r="N18" s="407">
        <f t="shared" si="87"/>
        <v>42542.71875</v>
      </c>
      <c r="O18" s="407">
        <f t="shared" si="87"/>
        <v>44669.854687500003</v>
      </c>
      <c r="P18" s="408">
        <v>0.15</v>
      </c>
      <c r="Q18" s="414">
        <f t="shared" ref="Q18:W18" si="88">IF($F18&lt;(Q$3+1),$J18/12,0)*IF($G18&gt;(Q$3),1,0)*$I18</f>
        <v>0</v>
      </c>
      <c r="R18" s="414">
        <f t="shared" si="88"/>
        <v>0</v>
      </c>
      <c r="S18" s="414">
        <f t="shared" si="88"/>
        <v>0</v>
      </c>
      <c r="T18" s="414">
        <f t="shared" si="88"/>
        <v>0</v>
      </c>
      <c r="U18" s="414">
        <f t="shared" si="88"/>
        <v>0</v>
      </c>
      <c r="V18" s="414">
        <f t="shared" si="88"/>
        <v>0</v>
      </c>
      <c r="W18" s="415">
        <f t="shared" si="88"/>
        <v>0</v>
      </c>
      <c r="X18" s="416">
        <f t="shared" ref="X18:BG18" si="89">IF($F18&lt;(X$3+1),$K18/12,0)*IF($G18&gt;(X$3),1,0)*$I18</f>
        <v>3062.5</v>
      </c>
      <c r="Y18" s="414">
        <f t="shared" si="89"/>
        <v>3062.5</v>
      </c>
      <c r="Z18" s="414">
        <f t="shared" si="89"/>
        <v>3062.5</v>
      </c>
      <c r="AA18" s="414">
        <f t="shared" si="89"/>
        <v>3062.5</v>
      </c>
      <c r="AB18" s="414">
        <f t="shared" si="89"/>
        <v>3062.5</v>
      </c>
      <c r="AC18" s="414">
        <f t="shared" si="89"/>
        <v>3062.5</v>
      </c>
      <c r="AD18" s="414">
        <f t="shared" si="89"/>
        <v>3062.5</v>
      </c>
      <c r="AE18" s="414">
        <f t="shared" si="89"/>
        <v>3062.5</v>
      </c>
      <c r="AF18" s="414">
        <f t="shared" si="89"/>
        <v>3062.5</v>
      </c>
      <c r="AG18" s="414">
        <f t="shared" si="89"/>
        <v>3062.5</v>
      </c>
      <c r="AH18" s="414">
        <f t="shared" si="89"/>
        <v>3062.5</v>
      </c>
      <c r="AI18" s="415">
        <f t="shared" si="89"/>
        <v>3062.5</v>
      </c>
      <c r="AJ18" s="416">
        <f t="shared" si="89"/>
        <v>3062.5</v>
      </c>
      <c r="AK18" s="414">
        <f t="shared" si="89"/>
        <v>3062.5</v>
      </c>
      <c r="AL18" s="414">
        <f t="shared" si="89"/>
        <v>3062.5</v>
      </c>
      <c r="AM18" s="414">
        <f t="shared" si="89"/>
        <v>3062.5</v>
      </c>
      <c r="AN18" s="414">
        <f t="shared" si="89"/>
        <v>3062.5</v>
      </c>
      <c r="AO18" s="414">
        <f t="shared" si="89"/>
        <v>3062.5</v>
      </c>
      <c r="AP18" s="414">
        <f t="shared" si="89"/>
        <v>3062.5</v>
      </c>
      <c r="AQ18" s="414">
        <f t="shared" si="89"/>
        <v>3062.5</v>
      </c>
      <c r="AR18" s="414">
        <f t="shared" si="89"/>
        <v>3062.5</v>
      </c>
      <c r="AS18" s="414">
        <f t="shared" si="89"/>
        <v>3062.5</v>
      </c>
      <c r="AT18" s="414">
        <f t="shared" si="89"/>
        <v>3062.5</v>
      </c>
      <c r="AU18" s="415">
        <f t="shared" si="89"/>
        <v>3062.5</v>
      </c>
      <c r="AV18" s="416">
        <f t="shared" si="89"/>
        <v>3062.5</v>
      </c>
      <c r="AW18" s="414">
        <f t="shared" si="89"/>
        <v>3062.5</v>
      </c>
      <c r="AX18" s="414">
        <f t="shared" si="89"/>
        <v>3062.5</v>
      </c>
      <c r="AY18" s="414">
        <f t="shared" si="89"/>
        <v>3062.5</v>
      </c>
      <c r="AZ18" s="414">
        <f t="shared" si="89"/>
        <v>3062.5</v>
      </c>
      <c r="BA18" s="414">
        <f t="shared" si="89"/>
        <v>3062.5</v>
      </c>
      <c r="BB18" s="414">
        <f t="shared" si="89"/>
        <v>3062.5</v>
      </c>
      <c r="BC18" s="414">
        <f t="shared" si="89"/>
        <v>3062.5</v>
      </c>
      <c r="BD18" s="414">
        <f t="shared" si="89"/>
        <v>3062.5</v>
      </c>
      <c r="BE18" s="414">
        <f t="shared" si="89"/>
        <v>3062.5</v>
      </c>
      <c r="BF18" s="414">
        <f t="shared" si="89"/>
        <v>3062.5</v>
      </c>
      <c r="BG18" s="415">
        <f t="shared" si="89"/>
        <v>3062.5</v>
      </c>
      <c r="BH18" s="416">
        <f t="shared" ref="BH18:BS18" si="90">IF($F18&lt;(BH$3+1),$L18/12,0)*IF($G18&gt;(BH$3),1,0)*$I18</f>
        <v>3215.625</v>
      </c>
      <c r="BI18" s="414">
        <f t="shared" si="90"/>
        <v>3215.625</v>
      </c>
      <c r="BJ18" s="414">
        <f t="shared" si="90"/>
        <v>3215.625</v>
      </c>
      <c r="BK18" s="414">
        <f t="shared" si="90"/>
        <v>3215.625</v>
      </c>
      <c r="BL18" s="414">
        <f t="shared" si="90"/>
        <v>3215.625</v>
      </c>
      <c r="BM18" s="414">
        <f t="shared" si="90"/>
        <v>3215.625</v>
      </c>
      <c r="BN18" s="414">
        <f t="shared" si="90"/>
        <v>3215.625</v>
      </c>
      <c r="BO18" s="414">
        <f t="shared" si="90"/>
        <v>3215.625</v>
      </c>
      <c r="BP18" s="414">
        <f t="shared" si="90"/>
        <v>3215.625</v>
      </c>
      <c r="BQ18" s="414">
        <f t="shared" si="90"/>
        <v>3215.625</v>
      </c>
      <c r="BR18" s="414">
        <f t="shared" si="90"/>
        <v>3215.625</v>
      </c>
      <c r="BS18" s="415">
        <f t="shared" si="90"/>
        <v>3215.625</v>
      </c>
      <c r="BT18" s="416">
        <f t="shared" ref="BT18:CE18" si="91">IF($F18&lt;(BT$3+1),$M18/12,0)*IF($G18&gt;(BT$3),1,0)*$I18</f>
        <v>3376.40625</v>
      </c>
      <c r="BU18" s="414">
        <f t="shared" si="91"/>
        <v>3376.40625</v>
      </c>
      <c r="BV18" s="414">
        <f t="shared" si="91"/>
        <v>3376.40625</v>
      </c>
      <c r="BW18" s="414">
        <f t="shared" si="91"/>
        <v>3376.40625</v>
      </c>
      <c r="BX18" s="414">
        <f t="shared" si="91"/>
        <v>3376.40625</v>
      </c>
      <c r="BY18" s="414">
        <f t="shared" si="91"/>
        <v>3376.40625</v>
      </c>
      <c r="BZ18" s="414">
        <f t="shared" si="91"/>
        <v>3376.40625</v>
      </c>
      <c r="CA18" s="414">
        <f t="shared" si="91"/>
        <v>3376.40625</v>
      </c>
      <c r="CB18" s="414">
        <f t="shared" si="91"/>
        <v>3376.40625</v>
      </c>
      <c r="CC18" s="414">
        <f t="shared" si="91"/>
        <v>3376.40625</v>
      </c>
      <c r="CD18" s="414">
        <f t="shared" si="91"/>
        <v>3376.40625</v>
      </c>
      <c r="CE18" s="415">
        <f t="shared" si="91"/>
        <v>3376.40625</v>
      </c>
      <c r="CF18" s="416">
        <f t="shared" ref="CF18:CQ18" si="92">IF($F18&lt;(CF$3+1),$N18/12,0)*IF($G18&gt;(CF$3),1,0)*$I18</f>
        <v>3545.2265625</v>
      </c>
      <c r="CG18" s="414">
        <f t="shared" si="92"/>
        <v>3545.2265625</v>
      </c>
      <c r="CH18" s="414">
        <f t="shared" si="92"/>
        <v>3545.2265625</v>
      </c>
      <c r="CI18" s="414">
        <f t="shared" si="92"/>
        <v>3545.2265625</v>
      </c>
      <c r="CJ18" s="414">
        <f t="shared" si="92"/>
        <v>3545.2265625</v>
      </c>
      <c r="CK18" s="414">
        <f t="shared" si="92"/>
        <v>3545.2265625</v>
      </c>
      <c r="CL18" s="414">
        <f t="shared" si="92"/>
        <v>3545.2265625</v>
      </c>
      <c r="CM18" s="414">
        <f t="shared" si="92"/>
        <v>3545.2265625</v>
      </c>
      <c r="CN18" s="414">
        <f t="shared" si="92"/>
        <v>3545.2265625</v>
      </c>
      <c r="CO18" s="414">
        <f t="shared" si="92"/>
        <v>3545.2265625</v>
      </c>
      <c r="CP18" s="414">
        <f t="shared" si="92"/>
        <v>3545.2265625</v>
      </c>
      <c r="CQ18" s="415">
        <f t="shared" si="92"/>
        <v>3545.2265625</v>
      </c>
      <c r="CR18" s="407"/>
      <c r="CS18" s="407"/>
      <c r="CT18" s="407">
        <f t="shared" si="7"/>
        <v>101062.5</v>
      </c>
      <c r="CU18" s="412">
        <f>'Annexe C  Plan produit'!$H$52</f>
        <v>46082</v>
      </c>
      <c r="CV18" s="412">
        <f>'Annexe C  Plan produit'!$I$54</f>
        <v>47090.5</v>
      </c>
    </row>
    <row r="19" spans="1:100" ht="15">
      <c r="A19" s="400" t="s">
        <v>270</v>
      </c>
      <c r="B19" s="401" t="s">
        <v>83</v>
      </c>
      <c r="C19" s="401" t="s">
        <v>294</v>
      </c>
      <c r="D19" s="4"/>
      <c r="E19" s="420"/>
      <c r="F19" s="421">
        <f>'Annexe E  Financement'!$B$20</f>
        <v>46082</v>
      </c>
      <c r="G19" s="403">
        <v>51161</v>
      </c>
      <c r="H19" s="404"/>
      <c r="I19" s="405">
        <v>1</v>
      </c>
      <c r="J19" s="406">
        <v>50000</v>
      </c>
      <c r="K19" s="407">
        <f t="shared" ref="K19:O19" si="93">J19*(1+5%)</f>
        <v>52500</v>
      </c>
      <c r="L19" s="407">
        <f t="shared" si="93"/>
        <v>55125</v>
      </c>
      <c r="M19" s="407">
        <f t="shared" si="93"/>
        <v>57881.25</v>
      </c>
      <c r="N19" s="407">
        <f t="shared" si="93"/>
        <v>60775.3125</v>
      </c>
      <c r="O19" s="407">
        <f t="shared" si="93"/>
        <v>63814.078125</v>
      </c>
      <c r="P19" s="408">
        <v>0.15</v>
      </c>
      <c r="Q19" s="414">
        <f t="shared" ref="Q19:W19" si="94">IF($F19&lt;(Q$3+1),$J19/12,0)*IF($G19&gt;(Q$3),1,0)*$I19</f>
        <v>0</v>
      </c>
      <c r="R19" s="414">
        <f t="shared" si="94"/>
        <v>0</v>
      </c>
      <c r="S19" s="414">
        <f t="shared" si="94"/>
        <v>0</v>
      </c>
      <c r="T19" s="414">
        <f t="shared" si="94"/>
        <v>0</v>
      </c>
      <c r="U19" s="414">
        <f t="shared" si="94"/>
        <v>0</v>
      </c>
      <c r="V19" s="414">
        <f t="shared" si="94"/>
        <v>0</v>
      </c>
      <c r="W19" s="415">
        <f t="shared" si="94"/>
        <v>0</v>
      </c>
      <c r="X19" s="416">
        <f t="shared" ref="X19:BG19" si="95">IF($F19&lt;(X$3+1),$K19/12,0)*IF($G19&gt;(X$3),1,0)*$I19</f>
        <v>0</v>
      </c>
      <c r="Y19" s="414">
        <f t="shared" si="95"/>
        <v>0</v>
      </c>
      <c r="Z19" s="414">
        <f t="shared" si="95"/>
        <v>4375</v>
      </c>
      <c r="AA19" s="414">
        <f t="shared" si="95"/>
        <v>4375</v>
      </c>
      <c r="AB19" s="414">
        <f t="shared" si="95"/>
        <v>4375</v>
      </c>
      <c r="AC19" s="414">
        <f t="shared" si="95"/>
        <v>4375</v>
      </c>
      <c r="AD19" s="414">
        <f t="shared" si="95"/>
        <v>4375</v>
      </c>
      <c r="AE19" s="414">
        <f t="shared" si="95"/>
        <v>4375</v>
      </c>
      <c r="AF19" s="414">
        <f t="shared" si="95"/>
        <v>4375</v>
      </c>
      <c r="AG19" s="414">
        <f t="shared" si="95"/>
        <v>4375</v>
      </c>
      <c r="AH19" s="414">
        <f t="shared" si="95"/>
        <v>4375</v>
      </c>
      <c r="AI19" s="415">
        <f t="shared" si="95"/>
        <v>4375</v>
      </c>
      <c r="AJ19" s="416">
        <f t="shared" si="95"/>
        <v>4375</v>
      </c>
      <c r="AK19" s="414">
        <f t="shared" si="95"/>
        <v>4375</v>
      </c>
      <c r="AL19" s="414">
        <f t="shared" si="95"/>
        <v>4375</v>
      </c>
      <c r="AM19" s="414">
        <f t="shared" si="95"/>
        <v>4375</v>
      </c>
      <c r="AN19" s="414">
        <f t="shared" si="95"/>
        <v>4375</v>
      </c>
      <c r="AO19" s="414">
        <f t="shared" si="95"/>
        <v>4375</v>
      </c>
      <c r="AP19" s="414">
        <f t="shared" si="95"/>
        <v>4375</v>
      </c>
      <c r="AQ19" s="414">
        <f t="shared" si="95"/>
        <v>4375</v>
      </c>
      <c r="AR19" s="414">
        <f t="shared" si="95"/>
        <v>4375</v>
      </c>
      <c r="AS19" s="414">
        <f t="shared" si="95"/>
        <v>4375</v>
      </c>
      <c r="AT19" s="414">
        <f t="shared" si="95"/>
        <v>4375</v>
      </c>
      <c r="AU19" s="415">
        <f t="shared" si="95"/>
        <v>4375</v>
      </c>
      <c r="AV19" s="416">
        <f t="shared" si="95"/>
        <v>4375</v>
      </c>
      <c r="AW19" s="414">
        <f t="shared" si="95"/>
        <v>4375</v>
      </c>
      <c r="AX19" s="414">
        <f t="shared" si="95"/>
        <v>4375</v>
      </c>
      <c r="AY19" s="414">
        <f t="shared" si="95"/>
        <v>4375</v>
      </c>
      <c r="AZ19" s="414">
        <f t="shared" si="95"/>
        <v>4375</v>
      </c>
      <c r="BA19" s="414">
        <f t="shared" si="95"/>
        <v>4375</v>
      </c>
      <c r="BB19" s="414">
        <f t="shared" si="95"/>
        <v>4375</v>
      </c>
      <c r="BC19" s="414">
        <f t="shared" si="95"/>
        <v>4375</v>
      </c>
      <c r="BD19" s="414">
        <f t="shared" si="95"/>
        <v>4375</v>
      </c>
      <c r="BE19" s="414">
        <f t="shared" si="95"/>
        <v>4375</v>
      </c>
      <c r="BF19" s="414">
        <f t="shared" si="95"/>
        <v>4375</v>
      </c>
      <c r="BG19" s="415">
        <f t="shared" si="95"/>
        <v>4375</v>
      </c>
      <c r="BH19" s="416">
        <f t="shared" ref="BH19:BS19" si="96">IF($F19&lt;(BH$3+1),$L19/12,0)*IF($G19&gt;(BH$3),1,0)*$I19</f>
        <v>4593.75</v>
      </c>
      <c r="BI19" s="414">
        <f t="shared" si="96"/>
        <v>4593.75</v>
      </c>
      <c r="BJ19" s="414">
        <f t="shared" si="96"/>
        <v>4593.75</v>
      </c>
      <c r="BK19" s="414">
        <f t="shared" si="96"/>
        <v>4593.75</v>
      </c>
      <c r="BL19" s="414">
        <f t="shared" si="96"/>
        <v>4593.75</v>
      </c>
      <c r="BM19" s="414">
        <f t="shared" si="96"/>
        <v>4593.75</v>
      </c>
      <c r="BN19" s="414">
        <f t="shared" si="96"/>
        <v>4593.75</v>
      </c>
      <c r="BO19" s="414">
        <f t="shared" si="96"/>
        <v>4593.75</v>
      </c>
      <c r="BP19" s="414">
        <f t="shared" si="96"/>
        <v>4593.75</v>
      </c>
      <c r="BQ19" s="414">
        <f t="shared" si="96"/>
        <v>4593.75</v>
      </c>
      <c r="BR19" s="414">
        <f t="shared" si="96"/>
        <v>4593.75</v>
      </c>
      <c r="BS19" s="415">
        <f t="shared" si="96"/>
        <v>4593.75</v>
      </c>
      <c r="BT19" s="416">
        <f t="shared" ref="BT19:CE19" si="97">IF($F19&lt;(BT$3+1),$M19/12,0)*IF($G19&gt;(BT$3),1,0)*$I19</f>
        <v>4823.4375</v>
      </c>
      <c r="BU19" s="414">
        <f t="shared" si="97"/>
        <v>4823.4375</v>
      </c>
      <c r="BV19" s="414">
        <f t="shared" si="97"/>
        <v>4823.4375</v>
      </c>
      <c r="BW19" s="414">
        <f t="shared" si="97"/>
        <v>4823.4375</v>
      </c>
      <c r="BX19" s="414">
        <f t="shared" si="97"/>
        <v>4823.4375</v>
      </c>
      <c r="BY19" s="414">
        <f t="shared" si="97"/>
        <v>4823.4375</v>
      </c>
      <c r="BZ19" s="414">
        <f t="shared" si="97"/>
        <v>4823.4375</v>
      </c>
      <c r="CA19" s="414">
        <f t="shared" si="97"/>
        <v>4823.4375</v>
      </c>
      <c r="CB19" s="414">
        <f t="shared" si="97"/>
        <v>4823.4375</v>
      </c>
      <c r="CC19" s="414">
        <f t="shared" si="97"/>
        <v>4823.4375</v>
      </c>
      <c r="CD19" s="414">
        <f t="shared" si="97"/>
        <v>4823.4375</v>
      </c>
      <c r="CE19" s="415">
        <f t="shared" si="97"/>
        <v>4823.4375</v>
      </c>
      <c r="CF19" s="416">
        <f t="shared" ref="CF19:CQ19" si="98">IF($F19&lt;(CF$3+1),$N19/12,0)*IF($G19&gt;(CF$3),1,0)*$I19</f>
        <v>5064.609375</v>
      </c>
      <c r="CG19" s="414">
        <f t="shared" si="98"/>
        <v>5064.609375</v>
      </c>
      <c r="CH19" s="414">
        <f t="shared" si="98"/>
        <v>5064.609375</v>
      </c>
      <c r="CI19" s="414">
        <f t="shared" si="98"/>
        <v>5064.609375</v>
      </c>
      <c r="CJ19" s="414">
        <f t="shared" si="98"/>
        <v>5064.609375</v>
      </c>
      <c r="CK19" s="414">
        <f t="shared" si="98"/>
        <v>5064.609375</v>
      </c>
      <c r="CL19" s="414">
        <f t="shared" si="98"/>
        <v>5064.609375</v>
      </c>
      <c r="CM19" s="414">
        <f t="shared" si="98"/>
        <v>5064.609375</v>
      </c>
      <c r="CN19" s="414">
        <f t="shared" si="98"/>
        <v>5064.609375</v>
      </c>
      <c r="CO19" s="414">
        <f t="shared" si="98"/>
        <v>5064.609375</v>
      </c>
      <c r="CP19" s="414">
        <f t="shared" si="98"/>
        <v>5064.609375</v>
      </c>
      <c r="CQ19" s="415">
        <f t="shared" si="98"/>
        <v>5064.609375</v>
      </c>
      <c r="CR19" s="407"/>
      <c r="CS19" s="407" t="e">
        <f t="shared" ref="CS19:CS24" ca="1" si="99">SUM($Q22:$CQ22)*(1+_xludf.IFS(B19="FR",$C$99,B19="ES",$D$99,B19="CH",$E$99,B19="BE",$F$99,B19="DE",$G$99))</f>
        <v>#NAME?</v>
      </c>
      <c r="CT19" s="407">
        <f t="shared" si="7"/>
        <v>144375</v>
      </c>
      <c r="CU19" s="412">
        <f>'Annexe C  Plan produit'!$H$52</f>
        <v>46082</v>
      </c>
      <c r="CV19" s="412">
        <f>'Annexe C  Plan produit'!$I$54</f>
        <v>47090.5</v>
      </c>
    </row>
    <row r="20" spans="1:100" ht="15">
      <c r="A20" s="400" t="s">
        <v>267</v>
      </c>
      <c r="B20" s="401" t="s">
        <v>83</v>
      </c>
      <c r="C20" s="401" t="s">
        <v>295</v>
      </c>
      <c r="D20" s="4"/>
      <c r="E20" s="420"/>
      <c r="F20" s="421">
        <f>'Plan stratégique  likewatt'!$G$38+120</f>
        <v>46202</v>
      </c>
      <c r="G20" s="403">
        <v>51161</v>
      </c>
      <c r="H20" s="413" t="str">
        <f>'Annexe C  Plan produit'!A52</f>
        <v>R&amp;D1</v>
      </c>
      <c r="I20" s="417">
        <v>2</v>
      </c>
      <c r="J20" s="406">
        <v>40000</v>
      </c>
      <c r="K20" s="407">
        <f t="shared" ref="K20:O20" si="100">J20*(1+5%)</f>
        <v>42000</v>
      </c>
      <c r="L20" s="407">
        <f t="shared" si="100"/>
        <v>44100</v>
      </c>
      <c r="M20" s="407">
        <f t="shared" si="100"/>
        <v>46305</v>
      </c>
      <c r="N20" s="407">
        <f t="shared" si="100"/>
        <v>48620.25</v>
      </c>
      <c r="O20" s="407">
        <f t="shared" si="100"/>
        <v>51051.262500000004</v>
      </c>
      <c r="P20" s="408">
        <v>0.15</v>
      </c>
      <c r="Q20" s="414">
        <f t="shared" ref="Q20:W20" si="101">IF($F20&lt;(Q$3+1),$J20/12,0)*IF($G20&gt;(Q$3),1,0)*$I20</f>
        <v>0</v>
      </c>
      <c r="R20" s="414">
        <f t="shared" si="101"/>
        <v>0</v>
      </c>
      <c r="S20" s="414">
        <f t="shared" si="101"/>
        <v>0</v>
      </c>
      <c r="T20" s="414">
        <f t="shared" si="101"/>
        <v>0</v>
      </c>
      <c r="U20" s="414">
        <f t="shared" si="101"/>
        <v>0</v>
      </c>
      <c r="V20" s="414">
        <f t="shared" si="101"/>
        <v>0</v>
      </c>
      <c r="W20" s="415">
        <f t="shared" si="101"/>
        <v>0</v>
      </c>
      <c r="X20" s="416">
        <f t="shared" ref="X20:BG20" si="102">IF($F20&lt;(X$3+1),$K20/12,0)*IF($G20&gt;(X$3),1,0)*$I20</f>
        <v>0</v>
      </c>
      <c r="Y20" s="414">
        <f t="shared" si="102"/>
        <v>0</v>
      </c>
      <c r="Z20" s="414">
        <f t="shared" si="102"/>
        <v>0</v>
      </c>
      <c r="AA20" s="414">
        <f t="shared" si="102"/>
        <v>0</v>
      </c>
      <c r="AB20" s="414">
        <f t="shared" si="102"/>
        <v>0</v>
      </c>
      <c r="AC20" s="414">
        <f t="shared" si="102"/>
        <v>0</v>
      </c>
      <c r="AD20" s="414">
        <f t="shared" si="102"/>
        <v>7000</v>
      </c>
      <c r="AE20" s="414">
        <f t="shared" si="102"/>
        <v>7000</v>
      </c>
      <c r="AF20" s="414">
        <f t="shared" si="102"/>
        <v>7000</v>
      </c>
      <c r="AG20" s="414">
        <f t="shared" si="102"/>
        <v>7000</v>
      </c>
      <c r="AH20" s="414">
        <f t="shared" si="102"/>
        <v>7000</v>
      </c>
      <c r="AI20" s="415">
        <f t="shared" si="102"/>
        <v>7000</v>
      </c>
      <c r="AJ20" s="416">
        <f t="shared" si="102"/>
        <v>7000</v>
      </c>
      <c r="AK20" s="414">
        <f t="shared" si="102"/>
        <v>7000</v>
      </c>
      <c r="AL20" s="414">
        <f t="shared" si="102"/>
        <v>7000</v>
      </c>
      <c r="AM20" s="414">
        <f t="shared" si="102"/>
        <v>7000</v>
      </c>
      <c r="AN20" s="414">
        <f t="shared" si="102"/>
        <v>7000</v>
      </c>
      <c r="AO20" s="414">
        <f t="shared" si="102"/>
        <v>7000</v>
      </c>
      <c r="AP20" s="414">
        <f t="shared" si="102"/>
        <v>7000</v>
      </c>
      <c r="AQ20" s="414">
        <f t="shared" si="102"/>
        <v>7000</v>
      </c>
      <c r="AR20" s="414">
        <f t="shared" si="102"/>
        <v>7000</v>
      </c>
      <c r="AS20" s="414">
        <f t="shared" si="102"/>
        <v>7000</v>
      </c>
      <c r="AT20" s="414">
        <f t="shared" si="102"/>
        <v>7000</v>
      </c>
      <c r="AU20" s="415">
        <f t="shared" si="102"/>
        <v>7000</v>
      </c>
      <c r="AV20" s="416">
        <f t="shared" si="102"/>
        <v>7000</v>
      </c>
      <c r="AW20" s="414">
        <f t="shared" si="102"/>
        <v>7000</v>
      </c>
      <c r="AX20" s="414">
        <f t="shared" si="102"/>
        <v>7000</v>
      </c>
      <c r="AY20" s="414">
        <f t="shared" si="102"/>
        <v>7000</v>
      </c>
      <c r="AZ20" s="414">
        <f t="shared" si="102"/>
        <v>7000</v>
      </c>
      <c r="BA20" s="414">
        <f t="shared" si="102"/>
        <v>7000</v>
      </c>
      <c r="BB20" s="414">
        <f t="shared" si="102"/>
        <v>7000</v>
      </c>
      <c r="BC20" s="414">
        <f t="shared" si="102"/>
        <v>7000</v>
      </c>
      <c r="BD20" s="414">
        <f t="shared" si="102"/>
        <v>7000</v>
      </c>
      <c r="BE20" s="414">
        <f t="shared" si="102"/>
        <v>7000</v>
      </c>
      <c r="BF20" s="414">
        <f t="shared" si="102"/>
        <v>7000</v>
      </c>
      <c r="BG20" s="415">
        <f t="shared" si="102"/>
        <v>7000</v>
      </c>
      <c r="BH20" s="416">
        <f t="shared" ref="BH20:BS20" si="103">IF($F20&lt;(BH$3+1),$L20/12,0)*IF($G20&gt;(BH$3),1,0)*$I20</f>
        <v>7350</v>
      </c>
      <c r="BI20" s="414">
        <f t="shared" si="103"/>
        <v>7350</v>
      </c>
      <c r="BJ20" s="414">
        <f t="shared" si="103"/>
        <v>7350</v>
      </c>
      <c r="BK20" s="414">
        <f t="shared" si="103"/>
        <v>7350</v>
      </c>
      <c r="BL20" s="414">
        <f t="shared" si="103"/>
        <v>7350</v>
      </c>
      <c r="BM20" s="414">
        <f t="shared" si="103"/>
        <v>7350</v>
      </c>
      <c r="BN20" s="414">
        <f t="shared" si="103"/>
        <v>7350</v>
      </c>
      <c r="BO20" s="414">
        <f t="shared" si="103"/>
        <v>7350</v>
      </c>
      <c r="BP20" s="414">
        <f t="shared" si="103"/>
        <v>7350</v>
      </c>
      <c r="BQ20" s="414">
        <f t="shared" si="103"/>
        <v>7350</v>
      </c>
      <c r="BR20" s="414">
        <f t="shared" si="103"/>
        <v>7350</v>
      </c>
      <c r="BS20" s="415">
        <f t="shared" si="103"/>
        <v>7350</v>
      </c>
      <c r="BT20" s="416">
        <f t="shared" ref="BT20:CE20" si="104">IF($F20&lt;(BT$3+1),$M20/12,0)*IF($G20&gt;(BT$3),1,0)*$I20</f>
        <v>7717.5</v>
      </c>
      <c r="BU20" s="414">
        <f t="shared" si="104"/>
        <v>7717.5</v>
      </c>
      <c r="BV20" s="414">
        <f t="shared" si="104"/>
        <v>7717.5</v>
      </c>
      <c r="BW20" s="414">
        <f t="shared" si="104"/>
        <v>7717.5</v>
      </c>
      <c r="BX20" s="414">
        <f t="shared" si="104"/>
        <v>7717.5</v>
      </c>
      <c r="BY20" s="414">
        <f t="shared" si="104"/>
        <v>7717.5</v>
      </c>
      <c r="BZ20" s="414">
        <f t="shared" si="104"/>
        <v>7717.5</v>
      </c>
      <c r="CA20" s="414">
        <f t="shared" si="104"/>
        <v>7717.5</v>
      </c>
      <c r="CB20" s="414">
        <f t="shared" si="104"/>
        <v>7717.5</v>
      </c>
      <c r="CC20" s="414">
        <f t="shared" si="104"/>
        <v>7717.5</v>
      </c>
      <c r="CD20" s="414">
        <f t="shared" si="104"/>
        <v>7717.5</v>
      </c>
      <c r="CE20" s="415">
        <f t="shared" si="104"/>
        <v>7717.5</v>
      </c>
      <c r="CF20" s="416">
        <f t="shared" ref="CF20:CQ20" si="105">IF($F20&lt;(CF$3+1),$N20/12,0)*IF($G20&gt;(CF$3),1,0)*$I20</f>
        <v>8103.375</v>
      </c>
      <c r="CG20" s="414">
        <f t="shared" si="105"/>
        <v>8103.375</v>
      </c>
      <c r="CH20" s="414">
        <f t="shared" si="105"/>
        <v>8103.375</v>
      </c>
      <c r="CI20" s="414">
        <f t="shared" si="105"/>
        <v>8103.375</v>
      </c>
      <c r="CJ20" s="414">
        <f t="shared" si="105"/>
        <v>8103.375</v>
      </c>
      <c r="CK20" s="414">
        <f t="shared" si="105"/>
        <v>8103.375</v>
      </c>
      <c r="CL20" s="414">
        <f t="shared" si="105"/>
        <v>8103.375</v>
      </c>
      <c r="CM20" s="414">
        <f t="shared" si="105"/>
        <v>8103.375</v>
      </c>
      <c r="CN20" s="414">
        <f t="shared" si="105"/>
        <v>8103.375</v>
      </c>
      <c r="CO20" s="414">
        <f t="shared" si="105"/>
        <v>8103.375</v>
      </c>
      <c r="CP20" s="414">
        <f t="shared" si="105"/>
        <v>8103.375</v>
      </c>
      <c r="CQ20" s="415">
        <f t="shared" si="105"/>
        <v>8103.375</v>
      </c>
      <c r="CR20" s="407"/>
      <c r="CS20" s="407" t="e">
        <f t="shared" ca="1" si="99"/>
        <v>#NAME?</v>
      </c>
      <c r="CT20" s="407">
        <f t="shared" si="7"/>
        <v>210000</v>
      </c>
      <c r="CU20" s="412">
        <f>'Annexe C  Plan produit'!$H$52</f>
        <v>46082</v>
      </c>
      <c r="CV20" s="412">
        <f>'Annexe C  Plan produit'!$I$54</f>
        <v>47090.5</v>
      </c>
    </row>
    <row r="21" spans="1:100" ht="15">
      <c r="A21" s="400" t="s">
        <v>267</v>
      </c>
      <c r="B21" s="401" t="s">
        <v>83</v>
      </c>
      <c r="C21" s="401" t="s">
        <v>296</v>
      </c>
      <c r="D21" s="4"/>
      <c r="E21" s="420"/>
      <c r="F21" s="421">
        <f>'Plan stratégique  likewatt'!$G$38+120</f>
        <v>46202</v>
      </c>
      <c r="G21" s="403">
        <v>51161</v>
      </c>
      <c r="H21" s="413" t="str">
        <f>'Annexe C  Plan produit'!A52</f>
        <v>R&amp;D1</v>
      </c>
      <c r="I21" s="405">
        <v>1</v>
      </c>
      <c r="J21" s="406">
        <v>50000</v>
      </c>
      <c r="K21" s="407">
        <f t="shared" ref="K21:O21" si="106">J21*(1+5%)</f>
        <v>52500</v>
      </c>
      <c r="L21" s="407">
        <f t="shared" si="106"/>
        <v>55125</v>
      </c>
      <c r="M21" s="407">
        <f t="shared" si="106"/>
        <v>57881.25</v>
      </c>
      <c r="N21" s="407">
        <f t="shared" si="106"/>
        <v>60775.3125</v>
      </c>
      <c r="O21" s="407">
        <f t="shared" si="106"/>
        <v>63814.078125</v>
      </c>
      <c r="P21" s="408">
        <v>0.15</v>
      </c>
      <c r="Q21" s="414">
        <f t="shared" ref="Q21:W21" si="107">IF($F21&lt;(Q$3+1),$J21/12,0)*IF($G21&gt;(Q$3),1,0)*$I21</f>
        <v>0</v>
      </c>
      <c r="R21" s="414">
        <f t="shared" si="107"/>
        <v>0</v>
      </c>
      <c r="S21" s="414">
        <f t="shared" si="107"/>
        <v>0</v>
      </c>
      <c r="T21" s="414">
        <f t="shared" si="107"/>
        <v>0</v>
      </c>
      <c r="U21" s="414">
        <f t="shared" si="107"/>
        <v>0</v>
      </c>
      <c r="V21" s="414">
        <f t="shared" si="107"/>
        <v>0</v>
      </c>
      <c r="W21" s="415">
        <f t="shared" si="107"/>
        <v>0</v>
      </c>
      <c r="X21" s="416">
        <f t="shared" ref="X21:BG21" si="108">IF($F21&lt;(X$3+1),$K21/12,0)*IF($G21&gt;(X$3),1,0)*$I21</f>
        <v>0</v>
      </c>
      <c r="Y21" s="414">
        <f t="shared" si="108"/>
        <v>0</v>
      </c>
      <c r="Z21" s="414">
        <f t="shared" si="108"/>
        <v>0</v>
      </c>
      <c r="AA21" s="414">
        <f t="shared" si="108"/>
        <v>0</v>
      </c>
      <c r="AB21" s="414">
        <f t="shared" si="108"/>
        <v>0</v>
      </c>
      <c r="AC21" s="414">
        <f t="shared" si="108"/>
        <v>0</v>
      </c>
      <c r="AD21" s="414">
        <f t="shared" si="108"/>
        <v>4375</v>
      </c>
      <c r="AE21" s="414">
        <f t="shared" si="108"/>
        <v>4375</v>
      </c>
      <c r="AF21" s="414">
        <f t="shared" si="108"/>
        <v>4375</v>
      </c>
      <c r="AG21" s="414">
        <f t="shared" si="108"/>
        <v>4375</v>
      </c>
      <c r="AH21" s="414">
        <f t="shared" si="108"/>
        <v>4375</v>
      </c>
      <c r="AI21" s="415">
        <f t="shared" si="108"/>
        <v>4375</v>
      </c>
      <c r="AJ21" s="416">
        <f t="shared" si="108"/>
        <v>4375</v>
      </c>
      <c r="AK21" s="414">
        <f t="shared" si="108"/>
        <v>4375</v>
      </c>
      <c r="AL21" s="414">
        <f t="shared" si="108"/>
        <v>4375</v>
      </c>
      <c r="AM21" s="414">
        <f t="shared" si="108"/>
        <v>4375</v>
      </c>
      <c r="AN21" s="414">
        <f t="shared" si="108"/>
        <v>4375</v>
      </c>
      <c r="AO21" s="414">
        <f t="shared" si="108"/>
        <v>4375</v>
      </c>
      <c r="AP21" s="414">
        <f t="shared" si="108"/>
        <v>4375</v>
      </c>
      <c r="AQ21" s="414">
        <f t="shared" si="108"/>
        <v>4375</v>
      </c>
      <c r="AR21" s="414">
        <f t="shared" si="108"/>
        <v>4375</v>
      </c>
      <c r="AS21" s="414">
        <f t="shared" si="108"/>
        <v>4375</v>
      </c>
      <c r="AT21" s="414">
        <f t="shared" si="108"/>
        <v>4375</v>
      </c>
      <c r="AU21" s="415">
        <f t="shared" si="108"/>
        <v>4375</v>
      </c>
      <c r="AV21" s="416">
        <f t="shared" si="108"/>
        <v>4375</v>
      </c>
      <c r="AW21" s="414">
        <f t="shared" si="108"/>
        <v>4375</v>
      </c>
      <c r="AX21" s="414">
        <f t="shared" si="108"/>
        <v>4375</v>
      </c>
      <c r="AY21" s="414">
        <f t="shared" si="108"/>
        <v>4375</v>
      </c>
      <c r="AZ21" s="414">
        <f t="shared" si="108"/>
        <v>4375</v>
      </c>
      <c r="BA21" s="414">
        <f t="shared" si="108"/>
        <v>4375</v>
      </c>
      <c r="BB21" s="414">
        <f t="shared" si="108"/>
        <v>4375</v>
      </c>
      <c r="BC21" s="414">
        <f t="shared" si="108"/>
        <v>4375</v>
      </c>
      <c r="BD21" s="414">
        <f t="shared" si="108"/>
        <v>4375</v>
      </c>
      <c r="BE21" s="414">
        <f t="shared" si="108"/>
        <v>4375</v>
      </c>
      <c r="BF21" s="414">
        <f t="shared" si="108"/>
        <v>4375</v>
      </c>
      <c r="BG21" s="415">
        <f t="shared" si="108"/>
        <v>4375</v>
      </c>
      <c r="BH21" s="416">
        <f t="shared" ref="BH21:BS21" si="109">IF($F21&lt;(BH$3+1),$L21/12,0)*IF($G21&gt;(BH$3),1,0)*$I21</f>
        <v>4593.75</v>
      </c>
      <c r="BI21" s="414">
        <f t="shared" si="109"/>
        <v>4593.75</v>
      </c>
      <c r="BJ21" s="414">
        <f t="shared" si="109"/>
        <v>4593.75</v>
      </c>
      <c r="BK21" s="414">
        <f t="shared" si="109"/>
        <v>4593.75</v>
      </c>
      <c r="BL21" s="414">
        <f t="shared" si="109"/>
        <v>4593.75</v>
      </c>
      <c r="BM21" s="414">
        <f t="shared" si="109"/>
        <v>4593.75</v>
      </c>
      <c r="BN21" s="414">
        <f t="shared" si="109"/>
        <v>4593.75</v>
      </c>
      <c r="BO21" s="414">
        <f t="shared" si="109"/>
        <v>4593.75</v>
      </c>
      <c r="BP21" s="414">
        <f t="shared" si="109"/>
        <v>4593.75</v>
      </c>
      <c r="BQ21" s="414">
        <f t="shared" si="109"/>
        <v>4593.75</v>
      </c>
      <c r="BR21" s="414">
        <f t="shared" si="109"/>
        <v>4593.75</v>
      </c>
      <c r="BS21" s="415">
        <f t="shared" si="109"/>
        <v>4593.75</v>
      </c>
      <c r="BT21" s="416">
        <f t="shared" ref="BT21:CE21" si="110">IF($F21&lt;(BT$3+1),$M21/12,0)*IF($G21&gt;(BT$3),1,0)*$I21</f>
        <v>4823.4375</v>
      </c>
      <c r="BU21" s="414">
        <f t="shared" si="110"/>
        <v>4823.4375</v>
      </c>
      <c r="BV21" s="414">
        <f t="shared" si="110"/>
        <v>4823.4375</v>
      </c>
      <c r="BW21" s="414">
        <f t="shared" si="110"/>
        <v>4823.4375</v>
      </c>
      <c r="BX21" s="414">
        <f t="shared" si="110"/>
        <v>4823.4375</v>
      </c>
      <c r="BY21" s="414">
        <f t="shared" si="110"/>
        <v>4823.4375</v>
      </c>
      <c r="BZ21" s="414">
        <f t="shared" si="110"/>
        <v>4823.4375</v>
      </c>
      <c r="CA21" s="414">
        <f t="shared" si="110"/>
        <v>4823.4375</v>
      </c>
      <c r="CB21" s="414">
        <f t="shared" si="110"/>
        <v>4823.4375</v>
      </c>
      <c r="CC21" s="414">
        <f t="shared" si="110"/>
        <v>4823.4375</v>
      </c>
      <c r="CD21" s="414">
        <f t="shared" si="110"/>
        <v>4823.4375</v>
      </c>
      <c r="CE21" s="415">
        <f t="shared" si="110"/>
        <v>4823.4375</v>
      </c>
      <c r="CF21" s="416">
        <f t="shared" ref="CF21:CQ21" si="111">IF($F21&lt;(CF$3+1),$N21/12,0)*IF($G21&gt;(CF$3),1,0)*$I21</f>
        <v>5064.609375</v>
      </c>
      <c r="CG21" s="414">
        <f t="shared" si="111"/>
        <v>5064.609375</v>
      </c>
      <c r="CH21" s="414">
        <f t="shared" si="111"/>
        <v>5064.609375</v>
      </c>
      <c r="CI21" s="414">
        <f t="shared" si="111"/>
        <v>5064.609375</v>
      </c>
      <c r="CJ21" s="414">
        <f t="shared" si="111"/>
        <v>5064.609375</v>
      </c>
      <c r="CK21" s="414">
        <f t="shared" si="111"/>
        <v>5064.609375</v>
      </c>
      <c r="CL21" s="414">
        <f t="shared" si="111"/>
        <v>5064.609375</v>
      </c>
      <c r="CM21" s="414">
        <f t="shared" si="111"/>
        <v>5064.609375</v>
      </c>
      <c r="CN21" s="414">
        <f t="shared" si="111"/>
        <v>5064.609375</v>
      </c>
      <c r="CO21" s="414">
        <f t="shared" si="111"/>
        <v>5064.609375</v>
      </c>
      <c r="CP21" s="414">
        <f t="shared" si="111"/>
        <v>5064.609375</v>
      </c>
      <c r="CQ21" s="415">
        <f t="shared" si="111"/>
        <v>5064.609375</v>
      </c>
      <c r="CR21" s="407"/>
      <c r="CS21" s="407" t="e">
        <f t="shared" ca="1" si="99"/>
        <v>#NAME?</v>
      </c>
      <c r="CT21" s="407">
        <f t="shared" si="7"/>
        <v>131250</v>
      </c>
      <c r="CU21" s="412">
        <f>'Annexe C  Plan produit'!$H$52</f>
        <v>46082</v>
      </c>
      <c r="CV21" s="412">
        <f>'Annexe C  Plan produit'!$I$54</f>
        <v>47090.5</v>
      </c>
    </row>
    <row r="22" spans="1:100" ht="15">
      <c r="A22" s="400" t="s">
        <v>267</v>
      </c>
      <c r="B22" s="401" t="s">
        <v>83</v>
      </c>
      <c r="C22" s="401" t="s">
        <v>297</v>
      </c>
      <c r="D22" s="4"/>
      <c r="E22" s="420"/>
      <c r="F22" s="421">
        <f>'Plan stratégique  likewatt'!G39-180</f>
        <v>47335</v>
      </c>
      <c r="G22" s="403">
        <v>51161</v>
      </c>
      <c r="H22" s="404"/>
      <c r="I22" s="405">
        <v>1</v>
      </c>
      <c r="J22" s="406">
        <v>50000</v>
      </c>
      <c r="K22" s="407">
        <f t="shared" ref="K22:O22" si="112">J22*(1+5%)</f>
        <v>52500</v>
      </c>
      <c r="L22" s="407">
        <f t="shared" si="112"/>
        <v>55125</v>
      </c>
      <c r="M22" s="407">
        <f t="shared" si="112"/>
        <v>57881.25</v>
      </c>
      <c r="N22" s="407">
        <f t="shared" si="112"/>
        <v>60775.3125</v>
      </c>
      <c r="O22" s="407">
        <f t="shared" si="112"/>
        <v>63814.078125</v>
      </c>
      <c r="P22" s="408">
        <v>0.15</v>
      </c>
      <c r="Q22" s="414">
        <f t="shared" ref="Q22:W22" si="113">IF($F22&lt;(Q$3+1),$J22/12,0)*IF($G22&gt;(Q$3),1,0)*$I22</f>
        <v>0</v>
      </c>
      <c r="R22" s="414">
        <f t="shared" si="113"/>
        <v>0</v>
      </c>
      <c r="S22" s="414">
        <f t="shared" si="113"/>
        <v>0</v>
      </c>
      <c r="T22" s="414">
        <f t="shared" si="113"/>
        <v>0</v>
      </c>
      <c r="U22" s="414">
        <f t="shared" si="113"/>
        <v>0</v>
      </c>
      <c r="V22" s="414">
        <f t="shared" si="113"/>
        <v>0</v>
      </c>
      <c r="W22" s="415">
        <f t="shared" si="113"/>
        <v>0</v>
      </c>
      <c r="X22" s="416">
        <f t="shared" ref="X22:BG22" si="114">IF($F22&lt;(X$3+1),$K22/12,0)*IF($G22&gt;(X$3),1,0)*$I22</f>
        <v>0</v>
      </c>
      <c r="Y22" s="414">
        <f t="shared" si="114"/>
        <v>0</v>
      </c>
      <c r="Z22" s="414">
        <f t="shared" si="114"/>
        <v>0</v>
      </c>
      <c r="AA22" s="414">
        <f t="shared" si="114"/>
        <v>0</v>
      </c>
      <c r="AB22" s="414">
        <f t="shared" si="114"/>
        <v>0</v>
      </c>
      <c r="AC22" s="414">
        <f t="shared" si="114"/>
        <v>0</v>
      </c>
      <c r="AD22" s="414">
        <f t="shared" si="114"/>
        <v>0</v>
      </c>
      <c r="AE22" s="414">
        <f t="shared" si="114"/>
        <v>0</v>
      </c>
      <c r="AF22" s="414">
        <f t="shared" si="114"/>
        <v>0</v>
      </c>
      <c r="AG22" s="414">
        <f t="shared" si="114"/>
        <v>0</v>
      </c>
      <c r="AH22" s="414">
        <f t="shared" si="114"/>
        <v>0</v>
      </c>
      <c r="AI22" s="415">
        <f t="shared" si="114"/>
        <v>0</v>
      </c>
      <c r="AJ22" s="416">
        <f t="shared" si="114"/>
        <v>0</v>
      </c>
      <c r="AK22" s="414">
        <f t="shared" si="114"/>
        <v>0</v>
      </c>
      <c r="AL22" s="414">
        <f t="shared" si="114"/>
        <v>0</v>
      </c>
      <c r="AM22" s="414">
        <f t="shared" si="114"/>
        <v>0</v>
      </c>
      <c r="AN22" s="414">
        <f t="shared" si="114"/>
        <v>0</v>
      </c>
      <c r="AO22" s="414">
        <f t="shared" si="114"/>
        <v>0</v>
      </c>
      <c r="AP22" s="414">
        <f t="shared" si="114"/>
        <v>0</v>
      </c>
      <c r="AQ22" s="414">
        <f t="shared" si="114"/>
        <v>0</v>
      </c>
      <c r="AR22" s="414">
        <f t="shared" si="114"/>
        <v>0</v>
      </c>
      <c r="AS22" s="414">
        <f t="shared" si="114"/>
        <v>0</v>
      </c>
      <c r="AT22" s="414">
        <f t="shared" si="114"/>
        <v>0</v>
      </c>
      <c r="AU22" s="415">
        <f t="shared" si="114"/>
        <v>0</v>
      </c>
      <c r="AV22" s="416">
        <f t="shared" si="114"/>
        <v>0</v>
      </c>
      <c r="AW22" s="414">
        <f t="shared" si="114"/>
        <v>0</v>
      </c>
      <c r="AX22" s="414">
        <f t="shared" si="114"/>
        <v>0</v>
      </c>
      <c r="AY22" s="414">
        <f t="shared" si="114"/>
        <v>0</v>
      </c>
      <c r="AZ22" s="414">
        <f t="shared" si="114"/>
        <v>0</v>
      </c>
      <c r="BA22" s="414">
        <f t="shared" si="114"/>
        <v>0</v>
      </c>
      <c r="BB22" s="414">
        <f t="shared" si="114"/>
        <v>0</v>
      </c>
      <c r="BC22" s="414">
        <f t="shared" si="114"/>
        <v>0</v>
      </c>
      <c r="BD22" s="414">
        <f t="shared" si="114"/>
        <v>0</v>
      </c>
      <c r="BE22" s="414">
        <f t="shared" si="114"/>
        <v>0</v>
      </c>
      <c r="BF22" s="414">
        <f t="shared" si="114"/>
        <v>0</v>
      </c>
      <c r="BG22" s="415">
        <f t="shared" si="114"/>
        <v>0</v>
      </c>
      <c r="BH22" s="416">
        <f t="shared" ref="BH22:BS22" si="115">IF($F22&lt;(BH$3+1),$L22/12,0)*IF($G22&gt;(BH$3),1,0)*$I22</f>
        <v>0</v>
      </c>
      <c r="BI22" s="414">
        <f t="shared" si="115"/>
        <v>0</v>
      </c>
      <c r="BJ22" s="414">
        <f t="shared" si="115"/>
        <v>0</v>
      </c>
      <c r="BK22" s="414">
        <f t="shared" si="115"/>
        <v>0</v>
      </c>
      <c r="BL22" s="414">
        <f t="shared" si="115"/>
        <v>0</v>
      </c>
      <c r="BM22" s="414">
        <f t="shared" si="115"/>
        <v>0</v>
      </c>
      <c r="BN22" s="414">
        <f t="shared" si="115"/>
        <v>0</v>
      </c>
      <c r="BO22" s="414">
        <f t="shared" si="115"/>
        <v>0</v>
      </c>
      <c r="BP22" s="414">
        <f t="shared" si="115"/>
        <v>4593.75</v>
      </c>
      <c r="BQ22" s="414">
        <f t="shared" si="115"/>
        <v>4593.75</v>
      </c>
      <c r="BR22" s="414">
        <f t="shared" si="115"/>
        <v>4593.75</v>
      </c>
      <c r="BS22" s="415">
        <f t="shared" si="115"/>
        <v>4593.75</v>
      </c>
      <c r="BT22" s="416">
        <f t="shared" ref="BT22:CE22" si="116">IF($F22&lt;(BT$3+1),$M22/12,0)*IF($G22&gt;(BT$3),1,0)*$I22</f>
        <v>4823.4375</v>
      </c>
      <c r="BU22" s="414">
        <f t="shared" si="116"/>
        <v>4823.4375</v>
      </c>
      <c r="BV22" s="414">
        <f t="shared" si="116"/>
        <v>4823.4375</v>
      </c>
      <c r="BW22" s="414">
        <f t="shared" si="116"/>
        <v>4823.4375</v>
      </c>
      <c r="BX22" s="414">
        <f t="shared" si="116"/>
        <v>4823.4375</v>
      </c>
      <c r="BY22" s="414">
        <f t="shared" si="116"/>
        <v>4823.4375</v>
      </c>
      <c r="BZ22" s="414">
        <f t="shared" si="116"/>
        <v>4823.4375</v>
      </c>
      <c r="CA22" s="414">
        <f t="shared" si="116"/>
        <v>4823.4375</v>
      </c>
      <c r="CB22" s="414">
        <f t="shared" si="116"/>
        <v>4823.4375</v>
      </c>
      <c r="CC22" s="414">
        <f t="shared" si="116"/>
        <v>4823.4375</v>
      </c>
      <c r="CD22" s="414">
        <f t="shared" si="116"/>
        <v>4823.4375</v>
      </c>
      <c r="CE22" s="415">
        <f t="shared" si="116"/>
        <v>4823.4375</v>
      </c>
      <c r="CF22" s="416">
        <f t="shared" ref="CF22:CQ22" si="117">IF($F22&lt;(CF$3+1),$N22/12,0)*IF($G22&gt;(CF$3),1,0)*$I22</f>
        <v>5064.609375</v>
      </c>
      <c r="CG22" s="414">
        <f t="shared" si="117"/>
        <v>5064.609375</v>
      </c>
      <c r="CH22" s="414">
        <f t="shared" si="117"/>
        <v>5064.609375</v>
      </c>
      <c r="CI22" s="414">
        <f t="shared" si="117"/>
        <v>5064.609375</v>
      </c>
      <c r="CJ22" s="414">
        <f t="shared" si="117"/>
        <v>5064.609375</v>
      </c>
      <c r="CK22" s="414">
        <f t="shared" si="117"/>
        <v>5064.609375</v>
      </c>
      <c r="CL22" s="414">
        <f t="shared" si="117"/>
        <v>5064.609375</v>
      </c>
      <c r="CM22" s="414">
        <f t="shared" si="117"/>
        <v>5064.609375</v>
      </c>
      <c r="CN22" s="414">
        <f t="shared" si="117"/>
        <v>5064.609375</v>
      </c>
      <c r="CO22" s="414">
        <f t="shared" si="117"/>
        <v>5064.609375</v>
      </c>
      <c r="CP22" s="414">
        <f t="shared" si="117"/>
        <v>5064.609375</v>
      </c>
      <c r="CQ22" s="415">
        <f t="shared" si="117"/>
        <v>5064.609375</v>
      </c>
      <c r="CR22" s="407"/>
      <c r="CS22" s="407" t="e">
        <f t="shared" ca="1" si="99"/>
        <v>#NAME?</v>
      </c>
      <c r="CT22" s="407">
        <f t="shared" si="7"/>
        <v>0</v>
      </c>
      <c r="CU22" s="412">
        <f>'Annexe C  Plan produit'!$H$52</f>
        <v>46082</v>
      </c>
      <c r="CV22" s="412">
        <f>'Annexe C  Plan produit'!$I$54</f>
        <v>47090.5</v>
      </c>
    </row>
    <row r="23" spans="1:100" ht="15">
      <c r="A23" s="400" t="s">
        <v>267</v>
      </c>
      <c r="B23" s="401" t="s">
        <v>83</v>
      </c>
      <c r="C23" s="401" t="s">
        <v>297</v>
      </c>
      <c r="D23" s="4"/>
      <c r="E23" s="420"/>
      <c r="F23" s="421">
        <f>'Plan stratégique  likewatt'!G39-150</f>
        <v>47365</v>
      </c>
      <c r="G23" s="403">
        <v>51161</v>
      </c>
      <c r="H23" s="404"/>
      <c r="I23" s="405">
        <v>1</v>
      </c>
      <c r="J23" s="406">
        <v>50000</v>
      </c>
      <c r="K23" s="407">
        <f t="shared" ref="K23:O23" si="118">J23*(1+5%)</f>
        <v>52500</v>
      </c>
      <c r="L23" s="407">
        <f t="shared" si="118"/>
        <v>55125</v>
      </c>
      <c r="M23" s="407">
        <f t="shared" si="118"/>
        <v>57881.25</v>
      </c>
      <c r="N23" s="407">
        <f t="shared" si="118"/>
        <v>60775.3125</v>
      </c>
      <c r="O23" s="407">
        <f t="shared" si="118"/>
        <v>63814.078125</v>
      </c>
      <c r="P23" s="408">
        <v>0.15</v>
      </c>
      <c r="Q23" s="414">
        <f t="shared" ref="Q23:W23" si="119">IF($F23&lt;(Q$3+1),$J23/12,0)*IF($G23&gt;(Q$3),1,0)*$I23</f>
        <v>0</v>
      </c>
      <c r="R23" s="414">
        <f t="shared" si="119"/>
        <v>0</v>
      </c>
      <c r="S23" s="414">
        <f t="shared" si="119"/>
        <v>0</v>
      </c>
      <c r="T23" s="414">
        <f t="shared" si="119"/>
        <v>0</v>
      </c>
      <c r="U23" s="414">
        <f t="shared" si="119"/>
        <v>0</v>
      </c>
      <c r="V23" s="414">
        <f t="shared" si="119"/>
        <v>0</v>
      </c>
      <c r="W23" s="415">
        <f t="shared" si="119"/>
        <v>0</v>
      </c>
      <c r="X23" s="416">
        <f t="shared" ref="X23:BG23" si="120">IF($F23&lt;(X$3+1),$K23/12,0)*IF($G23&gt;(X$3),1,0)*$I23</f>
        <v>0</v>
      </c>
      <c r="Y23" s="414">
        <f t="shared" si="120"/>
        <v>0</v>
      </c>
      <c r="Z23" s="414">
        <f t="shared" si="120"/>
        <v>0</v>
      </c>
      <c r="AA23" s="414">
        <f t="shared" si="120"/>
        <v>0</v>
      </c>
      <c r="AB23" s="414">
        <f t="shared" si="120"/>
        <v>0</v>
      </c>
      <c r="AC23" s="414">
        <f t="shared" si="120"/>
        <v>0</v>
      </c>
      <c r="AD23" s="414">
        <f t="shared" si="120"/>
        <v>0</v>
      </c>
      <c r="AE23" s="414">
        <f t="shared" si="120"/>
        <v>0</v>
      </c>
      <c r="AF23" s="414">
        <f t="shared" si="120"/>
        <v>0</v>
      </c>
      <c r="AG23" s="414">
        <f t="shared" si="120"/>
        <v>0</v>
      </c>
      <c r="AH23" s="414">
        <f t="shared" si="120"/>
        <v>0</v>
      </c>
      <c r="AI23" s="415">
        <f t="shared" si="120"/>
        <v>0</v>
      </c>
      <c r="AJ23" s="416">
        <f t="shared" si="120"/>
        <v>0</v>
      </c>
      <c r="AK23" s="414">
        <f t="shared" si="120"/>
        <v>0</v>
      </c>
      <c r="AL23" s="414">
        <f t="shared" si="120"/>
        <v>0</v>
      </c>
      <c r="AM23" s="414">
        <f t="shared" si="120"/>
        <v>0</v>
      </c>
      <c r="AN23" s="414">
        <f t="shared" si="120"/>
        <v>0</v>
      </c>
      <c r="AO23" s="414">
        <f t="shared" si="120"/>
        <v>0</v>
      </c>
      <c r="AP23" s="414">
        <f t="shared" si="120"/>
        <v>0</v>
      </c>
      <c r="AQ23" s="414">
        <f t="shared" si="120"/>
        <v>0</v>
      </c>
      <c r="AR23" s="414">
        <f t="shared" si="120"/>
        <v>0</v>
      </c>
      <c r="AS23" s="414">
        <f t="shared" si="120"/>
        <v>0</v>
      </c>
      <c r="AT23" s="414">
        <f t="shared" si="120"/>
        <v>0</v>
      </c>
      <c r="AU23" s="415">
        <f t="shared" si="120"/>
        <v>0</v>
      </c>
      <c r="AV23" s="416">
        <f t="shared" si="120"/>
        <v>0</v>
      </c>
      <c r="AW23" s="414">
        <f t="shared" si="120"/>
        <v>0</v>
      </c>
      <c r="AX23" s="414">
        <f t="shared" si="120"/>
        <v>0</v>
      </c>
      <c r="AY23" s="414">
        <f t="shared" si="120"/>
        <v>0</v>
      </c>
      <c r="AZ23" s="414">
        <f t="shared" si="120"/>
        <v>0</v>
      </c>
      <c r="BA23" s="414">
        <f t="shared" si="120"/>
        <v>0</v>
      </c>
      <c r="BB23" s="414">
        <f t="shared" si="120"/>
        <v>0</v>
      </c>
      <c r="BC23" s="414">
        <f t="shared" si="120"/>
        <v>0</v>
      </c>
      <c r="BD23" s="414">
        <f t="shared" si="120"/>
        <v>0</v>
      </c>
      <c r="BE23" s="414">
        <f t="shared" si="120"/>
        <v>0</v>
      </c>
      <c r="BF23" s="414">
        <f t="shared" si="120"/>
        <v>0</v>
      </c>
      <c r="BG23" s="415">
        <f t="shared" si="120"/>
        <v>0</v>
      </c>
      <c r="BH23" s="416">
        <f t="shared" ref="BH23:BS23" si="121">IF($F23&lt;(BH$3+1),$L23/12,0)*IF($G23&gt;(BH$3),1,0)*$I23</f>
        <v>0</v>
      </c>
      <c r="BI23" s="414">
        <f t="shared" si="121"/>
        <v>0</v>
      </c>
      <c r="BJ23" s="414">
        <f t="shared" si="121"/>
        <v>0</v>
      </c>
      <c r="BK23" s="414">
        <f t="shared" si="121"/>
        <v>0</v>
      </c>
      <c r="BL23" s="414">
        <f t="shared" si="121"/>
        <v>0</v>
      </c>
      <c r="BM23" s="414">
        <f t="shared" si="121"/>
        <v>0</v>
      </c>
      <c r="BN23" s="414">
        <f t="shared" si="121"/>
        <v>0</v>
      </c>
      <c r="BO23" s="414">
        <f t="shared" si="121"/>
        <v>0</v>
      </c>
      <c r="BP23" s="414">
        <f t="shared" si="121"/>
        <v>0</v>
      </c>
      <c r="BQ23" s="414">
        <f t="shared" si="121"/>
        <v>4593.75</v>
      </c>
      <c r="BR23" s="414">
        <f t="shared" si="121"/>
        <v>4593.75</v>
      </c>
      <c r="BS23" s="415">
        <f t="shared" si="121"/>
        <v>4593.75</v>
      </c>
      <c r="BT23" s="416">
        <f t="shared" ref="BT23:CE23" si="122">IF($F23&lt;(BT$3+1),$M23/12,0)*IF($G23&gt;(BT$3),1,0)*$I23</f>
        <v>4823.4375</v>
      </c>
      <c r="BU23" s="414">
        <f t="shared" si="122"/>
        <v>4823.4375</v>
      </c>
      <c r="BV23" s="414">
        <f t="shared" si="122"/>
        <v>4823.4375</v>
      </c>
      <c r="BW23" s="414">
        <f t="shared" si="122"/>
        <v>4823.4375</v>
      </c>
      <c r="BX23" s="414">
        <f t="shared" si="122"/>
        <v>4823.4375</v>
      </c>
      <c r="BY23" s="414">
        <f t="shared" si="122"/>
        <v>4823.4375</v>
      </c>
      <c r="BZ23" s="414">
        <f t="shared" si="122"/>
        <v>4823.4375</v>
      </c>
      <c r="CA23" s="414">
        <f t="shared" si="122"/>
        <v>4823.4375</v>
      </c>
      <c r="CB23" s="414">
        <f t="shared" si="122"/>
        <v>4823.4375</v>
      </c>
      <c r="CC23" s="414">
        <f t="shared" si="122"/>
        <v>4823.4375</v>
      </c>
      <c r="CD23" s="414">
        <f t="shared" si="122"/>
        <v>4823.4375</v>
      </c>
      <c r="CE23" s="415">
        <f t="shared" si="122"/>
        <v>4823.4375</v>
      </c>
      <c r="CF23" s="416">
        <f t="shared" ref="CF23:CQ23" si="123">IF($F23&lt;(CF$3+1),$N23/12,0)*IF($G23&gt;(CF$3),1,0)*$I23</f>
        <v>5064.609375</v>
      </c>
      <c r="CG23" s="414">
        <f t="shared" si="123"/>
        <v>5064.609375</v>
      </c>
      <c r="CH23" s="414">
        <f t="shared" si="123"/>
        <v>5064.609375</v>
      </c>
      <c r="CI23" s="414">
        <f t="shared" si="123"/>
        <v>5064.609375</v>
      </c>
      <c r="CJ23" s="414">
        <f t="shared" si="123"/>
        <v>5064.609375</v>
      </c>
      <c r="CK23" s="414">
        <f t="shared" si="123"/>
        <v>5064.609375</v>
      </c>
      <c r="CL23" s="414">
        <f t="shared" si="123"/>
        <v>5064.609375</v>
      </c>
      <c r="CM23" s="414">
        <f t="shared" si="123"/>
        <v>5064.609375</v>
      </c>
      <c r="CN23" s="414">
        <f t="shared" si="123"/>
        <v>5064.609375</v>
      </c>
      <c r="CO23" s="414">
        <f t="shared" si="123"/>
        <v>5064.609375</v>
      </c>
      <c r="CP23" s="414">
        <f t="shared" si="123"/>
        <v>5064.609375</v>
      </c>
      <c r="CQ23" s="415">
        <f t="shared" si="123"/>
        <v>5064.609375</v>
      </c>
      <c r="CR23" s="407"/>
      <c r="CS23" s="407" t="e">
        <f t="shared" ca="1" si="99"/>
        <v>#NAME?</v>
      </c>
      <c r="CT23" s="407">
        <f t="shared" si="7"/>
        <v>0</v>
      </c>
      <c r="CU23" s="412">
        <f>'Annexe C  Plan produit'!$H$52</f>
        <v>46082</v>
      </c>
      <c r="CV23" s="412">
        <f>'Annexe C  Plan produit'!$I$54</f>
        <v>47090.5</v>
      </c>
    </row>
    <row r="24" spans="1:100" ht="15">
      <c r="A24" s="400" t="s">
        <v>267</v>
      </c>
      <c r="B24" s="401" t="s">
        <v>83</v>
      </c>
      <c r="C24" s="401" t="s">
        <v>297</v>
      </c>
      <c r="D24" s="4"/>
      <c r="E24" s="420"/>
      <c r="F24" s="421">
        <f>'Plan stratégique  likewatt'!G39-120</f>
        <v>47395</v>
      </c>
      <c r="G24" s="403">
        <v>51161</v>
      </c>
      <c r="H24" s="404"/>
      <c r="I24" s="417">
        <v>1</v>
      </c>
      <c r="J24" s="406">
        <v>50000</v>
      </c>
      <c r="K24" s="407">
        <f t="shared" ref="K24:O24" si="124">J24*(1+5%)</f>
        <v>52500</v>
      </c>
      <c r="L24" s="407">
        <f t="shared" si="124"/>
        <v>55125</v>
      </c>
      <c r="M24" s="407">
        <f t="shared" si="124"/>
        <v>57881.25</v>
      </c>
      <c r="N24" s="407">
        <f t="shared" si="124"/>
        <v>60775.3125</v>
      </c>
      <c r="O24" s="407">
        <f t="shared" si="124"/>
        <v>63814.078125</v>
      </c>
      <c r="P24" s="408">
        <v>0.15</v>
      </c>
      <c r="Q24" s="414">
        <f t="shared" ref="Q24:W24" si="125">IF($F24&lt;(Q$3+1),$J24/12,0)*IF($G24&gt;(Q$3),1,0)*$I24</f>
        <v>0</v>
      </c>
      <c r="R24" s="414">
        <f t="shared" si="125"/>
        <v>0</v>
      </c>
      <c r="S24" s="414">
        <f t="shared" si="125"/>
        <v>0</v>
      </c>
      <c r="T24" s="414">
        <f t="shared" si="125"/>
        <v>0</v>
      </c>
      <c r="U24" s="414">
        <f t="shared" si="125"/>
        <v>0</v>
      </c>
      <c r="V24" s="414">
        <f t="shared" si="125"/>
        <v>0</v>
      </c>
      <c r="W24" s="415">
        <f t="shared" si="125"/>
        <v>0</v>
      </c>
      <c r="X24" s="416">
        <f t="shared" ref="X24:BG24" si="126">IF($F24&lt;(X$3+1),$K24/12,0)*IF($G24&gt;(X$3),1,0)*$I24</f>
        <v>0</v>
      </c>
      <c r="Y24" s="414">
        <f t="shared" si="126"/>
        <v>0</v>
      </c>
      <c r="Z24" s="414">
        <f t="shared" si="126"/>
        <v>0</v>
      </c>
      <c r="AA24" s="414">
        <f t="shared" si="126"/>
        <v>0</v>
      </c>
      <c r="AB24" s="414">
        <f t="shared" si="126"/>
        <v>0</v>
      </c>
      <c r="AC24" s="414">
        <f t="shared" si="126"/>
        <v>0</v>
      </c>
      <c r="AD24" s="414">
        <f t="shared" si="126"/>
        <v>0</v>
      </c>
      <c r="AE24" s="414">
        <f t="shared" si="126"/>
        <v>0</v>
      </c>
      <c r="AF24" s="414">
        <f t="shared" si="126"/>
        <v>0</v>
      </c>
      <c r="AG24" s="414">
        <f t="shared" si="126"/>
        <v>0</v>
      </c>
      <c r="AH24" s="414">
        <f t="shared" si="126"/>
        <v>0</v>
      </c>
      <c r="AI24" s="415">
        <f t="shared" si="126"/>
        <v>0</v>
      </c>
      <c r="AJ24" s="416">
        <f t="shared" si="126"/>
        <v>0</v>
      </c>
      <c r="AK24" s="414">
        <f t="shared" si="126"/>
        <v>0</v>
      </c>
      <c r="AL24" s="414">
        <f t="shared" si="126"/>
        <v>0</v>
      </c>
      <c r="AM24" s="414">
        <f t="shared" si="126"/>
        <v>0</v>
      </c>
      <c r="AN24" s="414">
        <f t="shared" si="126"/>
        <v>0</v>
      </c>
      <c r="AO24" s="414">
        <f t="shared" si="126"/>
        <v>0</v>
      </c>
      <c r="AP24" s="414">
        <f t="shared" si="126"/>
        <v>0</v>
      </c>
      <c r="AQ24" s="414">
        <f t="shared" si="126"/>
        <v>0</v>
      </c>
      <c r="AR24" s="414">
        <f t="shared" si="126"/>
        <v>0</v>
      </c>
      <c r="AS24" s="414">
        <f t="shared" si="126"/>
        <v>0</v>
      </c>
      <c r="AT24" s="414">
        <f t="shared" si="126"/>
        <v>0</v>
      </c>
      <c r="AU24" s="415">
        <f t="shared" si="126"/>
        <v>0</v>
      </c>
      <c r="AV24" s="416">
        <f t="shared" si="126"/>
        <v>0</v>
      </c>
      <c r="AW24" s="414">
        <f t="shared" si="126"/>
        <v>0</v>
      </c>
      <c r="AX24" s="414">
        <f t="shared" si="126"/>
        <v>0</v>
      </c>
      <c r="AY24" s="414">
        <f t="shared" si="126"/>
        <v>0</v>
      </c>
      <c r="AZ24" s="414">
        <f t="shared" si="126"/>
        <v>0</v>
      </c>
      <c r="BA24" s="414">
        <f t="shared" si="126"/>
        <v>0</v>
      </c>
      <c r="BB24" s="414">
        <f t="shared" si="126"/>
        <v>0</v>
      </c>
      <c r="BC24" s="414">
        <f t="shared" si="126"/>
        <v>0</v>
      </c>
      <c r="BD24" s="414">
        <f t="shared" si="126"/>
        <v>0</v>
      </c>
      <c r="BE24" s="414">
        <f t="shared" si="126"/>
        <v>0</v>
      </c>
      <c r="BF24" s="414">
        <f t="shared" si="126"/>
        <v>0</v>
      </c>
      <c r="BG24" s="415">
        <f t="shared" si="126"/>
        <v>0</v>
      </c>
      <c r="BH24" s="416">
        <f t="shared" ref="BH24:BS24" si="127">IF($F24&lt;(BH$3+1),$L24/12,0)*IF($G24&gt;(BH$3),1,0)*$I24</f>
        <v>0</v>
      </c>
      <c r="BI24" s="414">
        <f t="shared" si="127"/>
        <v>0</v>
      </c>
      <c r="BJ24" s="414">
        <f t="shared" si="127"/>
        <v>0</v>
      </c>
      <c r="BK24" s="414">
        <f t="shared" si="127"/>
        <v>0</v>
      </c>
      <c r="BL24" s="414">
        <f t="shared" si="127"/>
        <v>0</v>
      </c>
      <c r="BM24" s="414">
        <f t="shared" si="127"/>
        <v>0</v>
      </c>
      <c r="BN24" s="414">
        <f t="shared" si="127"/>
        <v>0</v>
      </c>
      <c r="BO24" s="414">
        <f t="shared" si="127"/>
        <v>0</v>
      </c>
      <c r="BP24" s="414">
        <f t="shared" si="127"/>
        <v>0</v>
      </c>
      <c r="BQ24" s="414">
        <f t="shared" si="127"/>
        <v>0</v>
      </c>
      <c r="BR24" s="414">
        <f t="shared" si="127"/>
        <v>4593.75</v>
      </c>
      <c r="BS24" s="415">
        <f t="shared" si="127"/>
        <v>4593.75</v>
      </c>
      <c r="BT24" s="416">
        <f t="shared" ref="BT24:CE24" si="128">IF($F24&lt;(BT$3+1),$M24/12,0)*IF($G24&gt;(BT$3),1,0)*$I24</f>
        <v>4823.4375</v>
      </c>
      <c r="BU24" s="414">
        <f t="shared" si="128"/>
        <v>4823.4375</v>
      </c>
      <c r="BV24" s="414">
        <f t="shared" si="128"/>
        <v>4823.4375</v>
      </c>
      <c r="BW24" s="414">
        <f t="shared" si="128"/>
        <v>4823.4375</v>
      </c>
      <c r="BX24" s="414">
        <f t="shared" si="128"/>
        <v>4823.4375</v>
      </c>
      <c r="BY24" s="414">
        <f t="shared" si="128"/>
        <v>4823.4375</v>
      </c>
      <c r="BZ24" s="414">
        <f t="shared" si="128"/>
        <v>4823.4375</v>
      </c>
      <c r="CA24" s="414">
        <f t="shared" si="128"/>
        <v>4823.4375</v>
      </c>
      <c r="CB24" s="414">
        <f t="shared" si="128"/>
        <v>4823.4375</v>
      </c>
      <c r="CC24" s="414">
        <f t="shared" si="128"/>
        <v>4823.4375</v>
      </c>
      <c r="CD24" s="414">
        <f t="shared" si="128"/>
        <v>4823.4375</v>
      </c>
      <c r="CE24" s="415">
        <f t="shared" si="128"/>
        <v>4823.4375</v>
      </c>
      <c r="CF24" s="416">
        <f t="shared" ref="CF24:CQ24" si="129">IF($F24&lt;(CF$3+1),$N24/12,0)*IF($G24&gt;(CF$3),1,0)*$I24</f>
        <v>5064.609375</v>
      </c>
      <c r="CG24" s="414">
        <f t="shared" si="129"/>
        <v>5064.609375</v>
      </c>
      <c r="CH24" s="414">
        <f t="shared" si="129"/>
        <v>5064.609375</v>
      </c>
      <c r="CI24" s="414">
        <f t="shared" si="129"/>
        <v>5064.609375</v>
      </c>
      <c r="CJ24" s="414">
        <f t="shared" si="129"/>
        <v>5064.609375</v>
      </c>
      <c r="CK24" s="414">
        <f t="shared" si="129"/>
        <v>5064.609375</v>
      </c>
      <c r="CL24" s="414">
        <f t="shared" si="129"/>
        <v>5064.609375</v>
      </c>
      <c r="CM24" s="414">
        <f t="shared" si="129"/>
        <v>5064.609375</v>
      </c>
      <c r="CN24" s="414">
        <f t="shared" si="129"/>
        <v>5064.609375</v>
      </c>
      <c r="CO24" s="414">
        <f t="shared" si="129"/>
        <v>5064.609375</v>
      </c>
      <c r="CP24" s="414">
        <f t="shared" si="129"/>
        <v>5064.609375</v>
      </c>
      <c r="CQ24" s="415">
        <f t="shared" si="129"/>
        <v>5064.609375</v>
      </c>
      <c r="CR24" s="407"/>
      <c r="CS24" s="407" t="e">
        <f t="shared" ca="1" si="99"/>
        <v>#NAME?</v>
      </c>
      <c r="CT24" s="407">
        <f t="shared" si="7"/>
        <v>0</v>
      </c>
      <c r="CU24" s="412">
        <f>'Annexe C  Plan produit'!$H$52</f>
        <v>46082</v>
      </c>
      <c r="CV24" s="412">
        <f>'Annexe C  Plan produit'!$I$54</f>
        <v>47090.5</v>
      </c>
    </row>
    <row r="25" spans="1:100" ht="15">
      <c r="A25" s="400" t="s">
        <v>276</v>
      </c>
      <c r="B25" s="401" t="s">
        <v>83</v>
      </c>
      <c r="C25" s="11" t="s">
        <v>277</v>
      </c>
      <c r="D25" s="4"/>
      <c r="E25" s="420"/>
      <c r="F25" s="421">
        <f>'Plan stratégique  likewatt'!C$43+120</f>
        <v>47635</v>
      </c>
      <c r="G25" s="403">
        <v>51161</v>
      </c>
      <c r="H25" s="404"/>
      <c r="I25" s="417">
        <v>1</v>
      </c>
      <c r="J25" s="406">
        <v>35000</v>
      </c>
      <c r="K25" s="407">
        <f t="shared" ref="K25:O25" si="130">J25*(1+5%)</f>
        <v>36750</v>
      </c>
      <c r="L25" s="407">
        <f t="shared" si="130"/>
        <v>38587.5</v>
      </c>
      <c r="M25" s="407">
        <f t="shared" si="130"/>
        <v>40516.875</v>
      </c>
      <c r="N25" s="407">
        <f t="shared" si="130"/>
        <v>42542.71875</v>
      </c>
      <c r="O25" s="407">
        <f t="shared" si="130"/>
        <v>44669.854687500003</v>
      </c>
      <c r="P25" s="408">
        <v>0.15</v>
      </c>
      <c r="Q25" s="414">
        <f t="shared" ref="Q25:W25" si="131">IF($F25&lt;(Q$3+1),$J25/12,0)*IF($G25&gt;(Q$3),1,0)*$I25</f>
        <v>0</v>
      </c>
      <c r="R25" s="414">
        <f t="shared" si="131"/>
        <v>0</v>
      </c>
      <c r="S25" s="414">
        <f t="shared" si="131"/>
        <v>0</v>
      </c>
      <c r="T25" s="414">
        <f t="shared" si="131"/>
        <v>0</v>
      </c>
      <c r="U25" s="414">
        <f t="shared" si="131"/>
        <v>0</v>
      </c>
      <c r="V25" s="414">
        <f t="shared" si="131"/>
        <v>0</v>
      </c>
      <c r="W25" s="415">
        <f t="shared" si="131"/>
        <v>0</v>
      </c>
      <c r="X25" s="416">
        <f t="shared" ref="X25:BG25" si="132">IF($F25&lt;(X$3+1),$K25/12,0)*IF($G25&gt;(X$3),1,0)*$I25</f>
        <v>0</v>
      </c>
      <c r="Y25" s="414">
        <f t="shared" si="132"/>
        <v>0</v>
      </c>
      <c r="Z25" s="414">
        <f t="shared" si="132"/>
        <v>0</v>
      </c>
      <c r="AA25" s="414">
        <f t="shared" si="132"/>
        <v>0</v>
      </c>
      <c r="AB25" s="414">
        <f t="shared" si="132"/>
        <v>0</v>
      </c>
      <c r="AC25" s="414">
        <f t="shared" si="132"/>
        <v>0</v>
      </c>
      <c r="AD25" s="414">
        <f t="shared" si="132"/>
        <v>0</v>
      </c>
      <c r="AE25" s="414">
        <f t="shared" si="132"/>
        <v>0</v>
      </c>
      <c r="AF25" s="414">
        <f t="shared" si="132"/>
        <v>0</v>
      </c>
      <c r="AG25" s="414">
        <f t="shared" si="132"/>
        <v>0</v>
      </c>
      <c r="AH25" s="414">
        <f t="shared" si="132"/>
        <v>0</v>
      </c>
      <c r="AI25" s="415">
        <f t="shared" si="132"/>
        <v>0</v>
      </c>
      <c r="AJ25" s="416">
        <f t="shared" si="132"/>
        <v>0</v>
      </c>
      <c r="AK25" s="414">
        <f t="shared" si="132"/>
        <v>0</v>
      </c>
      <c r="AL25" s="414">
        <f t="shared" si="132"/>
        <v>0</v>
      </c>
      <c r="AM25" s="414">
        <f t="shared" si="132"/>
        <v>0</v>
      </c>
      <c r="AN25" s="414">
        <f t="shared" si="132"/>
        <v>0</v>
      </c>
      <c r="AO25" s="414">
        <f t="shared" si="132"/>
        <v>0</v>
      </c>
      <c r="AP25" s="414">
        <f t="shared" si="132"/>
        <v>0</v>
      </c>
      <c r="AQ25" s="414">
        <f t="shared" si="132"/>
        <v>0</v>
      </c>
      <c r="AR25" s="414">
        <f t="shared" si="132"/>
        <v>0</v>
      </c>
      <c r="AS25" s="414">
        <f t="shared" si="132"/>
        <v>0</v>
      </c>
      <c r="AT25" s="414">
        <f t="shared" si="132"/>
        <v>0</v>
      </c>
      <c r="AU25" s="415">
        <f t="shared" si="132"/>
        <v>0</v>
      </c>
      <c r="AV25" s="416">
        <f t="shared" si="132"/>
        <v>0</v>
      </c>
      <c r="AW25" s="414">
        <f t="shared" si="132"/>
        <v>0</v>
      </c>
      <c r="AX25" s="414">
        <f t="shared" si="132"/>
        <v>0</v>
      </c>
      <c r="AY25" s="414">
        <f t="shared" si="132"/>
        <v>0</v>
      </c>
      <c r="AZ25" s="414">
        <f t="shared" si="132"/>
        <v>0</v>
      </c>
      <c r="BA25" s="414">
        <f t="shared" si="132"/>
        <v>0</v>
      </c>
      <c r="BB25" s="414">
        <f t="shared" si="132"/>
        <v>0</v>
      </c>
      <c r="BC25" s="414">
        <f t="shared" si="132"/>
        <v>0</v>
      </c>
      <c r="BD25" s="414">
        <f t="shared" si="132"/>
        <v>0</v>
      </c>
      <c r="BE25" s="414">
        <f t="shared" si="132"/>
        <v>0</v>
      </c>
      <c r="BF25" s="414">
        <f t="shared" si="132"/>
        <v>0</v>
      </c>
      <c r="BG25" s="415">
        <f t="shared" si="132"/>
        <v>0</v>
      </c>
      <c r="BH25" s="416">
        <f t="shared" ref="BH25:BS25" si="133">IF($F25&lt;(BH$3+1),$L25/12,0)*IF($G25&gt;(BH$3),1,0)*$I25</f>
        <v>0</v>
      </c>
      <c r="BI25" s="414">
        <f t="shared" si="133"/>
        <v>0</v>
      </c>
      <c r="BJ25" s="414">
        <f t="shared" si="133"/>
        <v>0</v>
      </c>
      <c r="BK25" s="414">
        <f t="shared" si="133"/>
        <v>0</v>
      </c>
      <c r="BL25" s="414">
        <f t="shared" si="133"/>
        <v>0</v>
      </c>
      <c r="BM25" s="414">
        <f t="shared" si="133"/>
        <v>0</v>
      </c>
      <c r="BN25" s="414">
        <f t="shared" si="133"/>
        <v>0</v>
      </c>
      <c r="BO25" s="414">
        <f t="shared" si="133"/>
        <v>0</v>
      </c>
      <c r="BP25" s="414">
        <f t="shared" si="133"/>
        <v>0</v>
      </c>
      <c r="BQ25" s="414">
        <f t="shared" si="133"/>
        <v>0</v>
      </c>
      <c r="BR25" s="414">
        <f t="shared" si="133"/>
        <v>0</v>
      </c>
      <c r="BS25" s="415">
        <f t="shared" si="133"/>
        <v>0</v>
      </c>
      <c r="BT25" s="416">
        <f t="shared" ref="BT25:CE25" si="134">IF($F25&lt;(BT$3+1),$M25/12,0)*IF($G25&gt;(BT$3),1,0)*$I25</f>
        <v>0</v>
      </c>
      <c r="BU25" s="414">
        <f t="shared" si="134"/>
        <v>0</v>
      </c>
      <c r="BV25" s="414">
        <f t="shared" si="134"/>
        <v>0</v>
      </c>
      <c r="BW25" s="414">
        <f t="shared" si="134"/>
        <v>0</v>
      </c>
      <c r="BX25" s="414">
        <f t="shared" si="134"/>
        <v>0</v>
      </c>
      <c r="BY25" s="414">
        <f t="shared" si="134"/>
        <v>3376.40625</v>
      </c>
      <c r="BZ25" s="414">
        <f t="shared" si="134"/>
        <v>3376.40625</v>
      </c>
      <c r="CA25" s="414">
        <f t="shared" si="134"/>
        <v>3376.40625</v>
      </c>
      <c r="CB25" s="414">
        <f t="shared" si="134"/>
        <v>3376.40625</v>
      </c>
      <c r="CC25" s="414">
        <f t="shared" si="134"/>
        <v>3376.40625</v>
      </c>
      <c r="CD25" s="414">
        <f t="shared" si="134"/>
        <v>3376.40625</v>
      </c>
      <c r="CE25" s="415">
        <f t="shared" si="134"/>
        <v>3376.40625</v>
      </c>
      <c r="CF25" s="416">
        <f t="shared" ref="CF25:CQ25" si="135">IF($F25&lt;(CF$3+1),$N25/12,0)*IF($G25&gt;(CF$3),1,0)*$I25</f>
        <v>3545.2265625</v>
      </c>
      <c r="CG25" s="414">
        <f t="shared" si="135"/>
        <v>3545.2265625</v>
      </c>
      <c r="CH25" s="414">
        <f t="shared" si="135"/>
        <v>3545.2265625</v>
      </c>
      <c r="CI25" s="414">
        <f t="shared" si="135"/>
        <v>3545.2265625</v>
      </c>
      <c r="CJ25" s="414">
        <f t="shared" si="135"/>
        <v>3545.2265625</v>
      </c>
      <c r="CK25" s="414">
        <f t="shared" si="135"/>
        <v>3545.2265625</v>
      </c>
      <c r="CL25" s="414">
        <f t="shared" si="135"/>
        <v>3545.2265625</v>
      </c>
      <c r="CM25" s="414">
        <f t="shared" si="135"/>
        <v>3545.2265625</v>
      </c>
      <c r="CN25" s="414">
        <f t="shared" si="135"/>
        <v>3545.2265625</v>
      </c>
      <c r="CO25" s="414">
        <f t="shared" si="135"/>
        <v>3545.2265625</v>
      </c>
      <c r="CP25" s="414">
        <f t="shared" si="135"/>
        <v>3545.2265625</v>
      </c>
      <c r="CQ25" s="415">
        <f t="shared" si="135"/>
        <v>3545.2265625</v>
      </c>
      <c r="CR25" s="407"/>
      <c r="CS25" s="407"/>
      <c r="CT25" s="407">
        <f t="shared" si="7"/>
        <v>0</v>
      </c>
      <c r="CU25" s="412">
        <f>'Annexe C  Plan produit'!$H$52</f>
        <v>46082</v>
      </c>
      <c r="CV25" s="412">
        <f>'Annexe C  Plan produit'!$I$54</f>
        <v>47090.5</v>
      </c>
    </row>
    <row r="26" spans="1:100" ht="15">
      <c r="A26" s="400" t="s">
        <v>270</v>
      </c>
      <c r="B26" s="401" t="s">
        <v>83</v>
      </c>
      <c r="C26" s="401" t="s">
        <v>298</v>
      </c>
      <c r="D26" s="4"/>
      <c r="E26" s="420"/>
      <c r="F26" s="421">
        <f>'Plan stratégique  likewatt'!C$43</f>
        <v>47515</v>
      </c>
      <c r="G26" s="403">
        <v>51161</v>
      </c>
      <c r="H26" s="404"/>
      <c r="I26" s="405">
        <v>1</v>
      </c>
      <c r="J26" s="406">
        <v>100000</v>
      </c>
      <c r="K26" s="407">
        <f t="shared" ref="K26:O26" si="136">J26*(1+5%)</f>
        <v>105000</v>
      </c>
      <c r="L26" s="407">
        <f t="shared" si="136"/>
        <v>110250</v>
      </c>
      <c r="M26" s="407">
        <f t="shared" si="136"/>
        <v>115762.5</v>
      </c>
      <c r="N26" s="407">
        <f t="shared" si="136"/>
        <v>121550.625</v>
      </c>
      <c r="O26" s="407">
        <f t="shared" si="136"/>
        <v>127628.15625</v>
      </c>
      <c r="P26" s="408">
        <v>0.15</v>
      </c>
      <c r="Q26" s="414">
        <f t="shared" ref="Q26:W26" si="137">IF($F26&lt;(Q$3+1),$J26/12,0)*IF($G26&gt;(Q$3),1,0)*$I26</f>
        <v>0</v>
      </c>
      <c r="R26" s="414">
        <f t="shared" si="137"/>
        <v>0</v>
      </c>
      <c r="S26" s="414">
        <f t="shared" si="137"/>
        <v>0</v>
      </c>
      <c r="T26" s="414">
        <f t="shared" si="137"/>
        <v>0</v>
      </c>
      <c r="U26" s="414">
        <f t="shared" si="137"/>
        <v>0</v>
      </c>
      <c r="V26" s="414">
        <f t="shared" si="137"/>
        <v>0</v>
      </c>
      <c r="W26" s="415">
        <f t="shared" si="137"/>
        <v>0</v>
      </c>
      <c r="X26" s="416">
        <f t="shared" ref="X26:BG26" si="138">IF($F26&lt;(X$3+1),$K26/12,0)*IF($G26&gt;(X$3),1,0)*$I26</f>
        <v>0</v>
      </c>
      <c r="Y26" s="414">
        <f t="shared" si="138"/>
        <v>0</v>
      </c>
      <c r="Z26" s="414">
        <f t="shared" si="138"/>
        <v>0</v>
      </c>
      <c r="AA26" s="414">
        <f t="shared" si="138"/>
        <v>0</v>
      </c>
      <c r="AB26" s="414">
        <f t="shared" si="138"/>
        <v>0</v>
      </c>
      <c r="AC26" s="414">
        <f t="shared" si="138"/>
        <v>0</v>
      </c>
      <c r="AD26" s="414">
        <f t="shared" si="138"/>
        <v>0</v>
      </c>
      <c r="AE26" s="414">
        <f t="shared" si="138"/>
        <v>0</v>
      </c>
      <c r="AF26" s="414">
        <f t="shared" si="138"/>
        <v>0</v>
      </c>
      <c r="AG26" s="414">
        <f t="shared" si="138"/>
        <v>0</v>
      </c>
      <c r="AH26" s="414">
        <f t="shared" si="138"/>
        <v>0</v>
      </c>
      <c r="AI26" s="415">
        <f t="shared" si="138"/>
        <v>0</v>
      </c>
      <c r="AJ26" s="416">
        <f t="shared" si="138"/>
        <v>0</v>
      </c>
      <c r="AK26" s="414">
        <f t="shared" si="138"/>
        <v>0</v>
      </c>
      <c r="AL26" s="414">
        <f t="shared" si="138"/>
        <v>0</v>
      </c>
      <c r="AM26" s="414">
        <f t="shared" si="138"/>
        <v>0</v>
      </c>
      <c r="AN26" s="414">
        <f t="shared" si="138"/>
        <v>0</v>
      </c>
      <c r="AO26" s="414">
        <f t="shared" si="138"/>
        <v>0</v>
      </c>
      <c r="AP26" s="414">
        <f t="shared" si="138"/>
        <v>0</v>
      </c>
      <c r="AQ26" s="414">
        <f t="shared" si="138"/>
        <v>0</v>
      </c>
      <c r="AR26" s="414">
        <f t="shared" si="138"/>
        <v>0</v>
      </c>
      <c r="AS26" s="414">
        <f t="shared" si="138"/>
        <v>0</v>
      </c>
      <c r="AT26" s="414">
        <f t="shared" si="138"/>
        <v>0</v>
      </c>
      <c r="AU26" s="415">
        <f t="shared" si="138"/>
        <v>0</v>
      </c>
      <c r="AV26" s="416">
        <f t="shared" si="138"/>
        <v>0</v>
      </c>
      <c r="AW26" s="414">
        <f t="shared" si="138"/>
        <v>0</v>
      </c>
      <c r="AX26" s="414">
        <f t="shared" si="138"/>
        <v>0</v>
      </c>
      <c r="AY26" s="414">
        <f t="shared" si="138"/>
        <v>0</v>
      </c>
      <c r="AZ26" s="414">
        <f t="shared" si="138"/>
        <v>0</v>
      </c>
      <c r="BA26" s="414">
        <f t="shared" si="138"/>
        <v>0</v>
      </c>
      <c r="BB26" s="414">
        <f t="shared" si="138"/>
        <v>0</v>
      </c>
      <c r="BC26" s="414">
        <f t="shared" si="138"/>
        <v>0</v>
      </c>
      <c r="BD26" s="414">
        <f t="shared" si="138"/>
        <v>0</v>
      </c>
      <c r="BE26" s="414">
        <f t="shared" si="138"/>
        <v>0</v>
      </c>
      <c r="BF26" s="414">
        <f t="shared" si="138"/>
        <v>0</v>
      </c>
      <c r="BG26" s="415">
        <f t="shared" si="138"/>
        <v>0</v>
      </c>
      <c r="BH26" s="416">
        <f t="shared" ref="BH26:BS26" si="139">IF($F26&lt;(BH$3+1),$L26/12,0)*IF($G26&gt;(BH$3),1,0)*$I26</f>
        <v>0</v>
      </c>
      <c r="BI26" s="414">
        <f t="shared" si="139"/>
        <v>0</v>
      </c>
      <c r="BJ26" s="414">
        <f t="shared" si="139"/>
        <v>0</v>
      </c>
      <c r="BK26" s="414">
        <f t="shared" si="139"/>
        <v>0</v>
      </c>
      <c r="BL26" s="414">
        <f t="shared" si="139"/>
        <v>0</v>
      </c>
      <c r="BM26" s="414">
        <f t="shared" si="139"/>
        <v>0</v>
      </c>
      <c r="BN26" s="414">
        <f t="shared" si="139"/>
        <v>0</v>
      </c>
      <c r="BO26" s="414">
        <f t="shared" si="139"/>
        <v>0</v>
      </c>
      <c r="BP26" s="414">
        <f t="shared" si="139"/>
        <v>0</v>
      </c>
      <c r="BQ26" s="414">
        <f t="shared" si="139"/>
        <v>0</v>
      </c>
      <c r="BR26" s="414">
        <f t="shared" si="139"/>
        <v>0</v>
      </c>
      <c r="BS26" s="415">
        <f t="shared" si="139"/>
        <v>0</v>
      </c>
      <c r="BT26" s="416">
        <f t="shared" ref="BT26:CE26" si="140">IF($F26&lt;(BT$3+1),$M26/12,0)*IF($G26&gt;(BT$3),1,0)*$I26</f>
        <v>0</v>
      </c>
      <c r="BU26" s="414">
        <f t="shared" si="140"/>
        <v>9646.875</v>
      </c>
      <c r="BV26" s="414">
        <f t="shared" si="140"/>
        <v>9646.875</v>
      </c>
      <c r="BW26" s="414">
        <f t="shared" si="140"/>
        <v>9646.875</v>
      </c>
      <c r="BX26" s="414">
        <f t="shared" si="140"/>
        <v>9646.875</v>
      </c>
      <c r="BY26" s="414">
        <f t="shared" si="140"/>
        <v>9646.875</v>
      </c>
      <c r="BZ26" s="414">
        <f t="shared" si="140"/>
        <v>9646.875</v>
      </c>
      <c r="CA26" s="414">
        <f t="shared" si="140"/>
        <v>9646.875</v>
      </c>
      <c r="CB26" s="414">
        <f t="shared" si="140"/>
        <v>9646.875</v>
      </c>
      <c r="CC26" s="414">
        <f t="shared" si="140"/>
        <v>9646.875</v>
      </c>
      <c r="CD26" s="414">
        <f t="shared" si="140"/>
        <v>9646.875</v>
      </c>
      <c r="CE26" s="415">
        <f t="shared" si="140"/>
        <v>9646.875</v>
      </c>
      <c r="CF26" s="416">
        <f t="shared" ref="CF26:CQ26" si="141">IF($F26&lt;(CF$3+1),$N26/12,0)*IF($G26&gt;(CF$3),1,0)*$I26</f>
        <v>10129.21875</v>
      </c>
      <c r="CG26" s="414">
        <f t="shared" si="141"/>
        <v>10129.21875</v>
      </c>
      <c r="CH26" s="414">
        <f t="shared" si="141"/>
        <v>10129.21875</v>
      </c>
      <c r="CI26" s="414">
        <f t="shared" si="141"/>
        <v>10129.21875</v>
      </c>
      <c r="CJ26" s="414">
        <f t="shared" si="141"/>
        <v>10129.21875</v>
      </c>
      <c r="CK26" s="414">
        <f t="shared" si="141"/>
        <v>10129.21875</v>
      </c>
      <c r="CL26" s="414">
        <f t="shared" si="141"/>
        <v>10129.21875</v>
      </c>
      <c r="CM26" s="414">
        <f t="shared" si="141"/>
        <v>10129.21875</v>
      </c>
      <c r="CN26" s="414">
        <f t="shared" si="141"/>
        <v>10129.21875</v>
      </c>
      <c r="CO26" s="414">
        <f t="shared" si="141"/>
        <v>10129.21875</v>
      </c>
      <c r="CP26" s="414">
        <f t="shared" si="141"/>
        <v>10129.21875</v>
      </c>
      <c r="CQ26" s="415">
        <f t="shared" si="141"/>
        <v>10129.21875</v>
      </c>
      <c r="CR26" s="407"/>
      <c r="CS26" s="407" t="e">
        <f t="shared" ref="CS26:CS27" ca="1" si="142">SUM($Q29:$CQ29)*(1+_xludf.IFS(B26="FR",$C$99,B26="ES",$D$99,B26="CH",$E$99,B26="BE",$F$99,B26="DE",$G$99))</f>
        <v>#NAME?</v>
      </c>
      <c r="CT26" s="407">
        <f t="shared" si="7"/>
        <v>0</v>
      </c>
      <c r="CU26" s="412">
        <f>'Annexe C  Plan produit'!$H$52</f>
        <v>46082</v>
      </c>
      <c r="CV26" s="412">
        <f>'Annexe C  Plan produit'!$I$54</f>
        <v>47090.5</v>
      </c>
    </row>
    <row r="27" spans="1:100" ht="15">
      <c r="A27" s="400" t="s">
        <v>270</v>
      </c>
      <c r="B27" s="401" t="s">
        <v>83</v>
      </c>
      <c r="C27" s="401" t="s">
        <v>294</v>
      </c>
      <c r="D27" s="4"/>
      <c r="E27" s="422"/>
      <c r="F27" s="421">
        <f>'Plan stratégique  likewatt'!C$43+62</f>
        <v>47577</v>
      </c>
      <c r="G27" s="403">
        <v>51161</v>
      </c>
      <c r="H27" s="404"/>
      <c r="I27" s="417">
        <v>2</v>
      </c>
      <c r="J27" s="406">
        <v>50000</v>
      </c>
      <c r="K27" s="407">
        <f t="shared" ref="K27:O27" si="143">J27*(1+5%)</f>
        <v>52500</v>
      </c>
      <c r="L27" s="407">
        <f t="shared" si="143"/>
        <v>55125</v>
      </c>
      <c r="M27" s="407">
        <f t="shared" si="143"/>
        <v>57881.25</v>
      </c>
      <c r="N27" s="407">
        <f t="shared" si="143"/>
        <v>60775.3125</v>
      </c>
      <c r="O27" s="407">
        <f t="shared" si="143"/>
        <v>63814.078125</v>
      </c>
      <c r="P27" s="408">
        <v>0.15</v>
      </c>
      <c r="Q27" s="414">
        <f t="shared" ref="Q27:W27" si="144">IF($F27&lt;(Q$3+1),$J27/12,0)*IF($G27&gt;(Q$3),1,0)*$I27</f>
        <v>0</v>
      </c>
      <c r="R27" s="414">
        <f t="shared" si="144"/>
        <v>0</v>
      </c>
      <c r="S27" s="414">
        <f t="shared" si="144"/>
        <v>0</v>
      </c>
      <c r="T27" s="414">
        <f t="shared" si="144"/>
        <v>0</v>
      </c>
      <c r="U27" s="414">
        <f t="shared" si="144"/>
        <v>0</v>
      </c>
      <c r="V27" s="414">
        <f t="shared" si="144"/>
        <v>0</v>
      </c>
      <c r="W27" s="415">
        <f t="shared" si="144"/>
        <v>0</v>
      </c>
      <c r="X27" s="416">
        <f t="shared" ref="X27:BG27" si="145">IF($F27&lt;(X$3+1),$K27/12,0)*IF($G27&gt;(X$3),1,0)*$I27</f>
        <v>0</v>
      </c>
      <c r="Y27" s="414">
        <f t="shared" si="145"/>
        <v>0</v>
      </c>
      <c r="Z27" s="414">
        <f t="shared" si="145"/>
        <v>0</v>
      </c>
      <c r="AA27" s="414">
        <f t="shared" si="145"/>
        <v>0</v>
      </c>
      <c r="AB27" s="414">
        <f t="shared" si="145"/>
        <v>0</v>
      </c>
      <c r="AC27" s="414">
        <f t="shared" si="145"/>
        <v>0</v>
      </c>
      <c r="AD27" s="414">
        <f t="shared" si="145"/>
        <v>0</v>
      </c>
      <c r="AE27" s="414">
        <f t="shared" si="145"/>
        <v>0</v>
      </c>
      <c r="AF27" s="414">
        <f t="shared" si="145"/>
        <v>0</v>
      </c>
      <c r="AG27" s="414">
        <f t="shared" si="145"/>
        <v>0</v>
      </c>
      <c r="AH27" s="414">
        <f t="shared" si="145"/>
        <v>0</v>
      </c>
      <c r="AI27" s="415">
        <f t="shared" si="145"/>
        <v>0</v>
      </c>
      <c r="AJ27" s="416">
        <f t="shared" si="145"/>
        <v>0</v>
      </c>
      <c r="AK27" s="414">
        <f t="shared" si="145"/>
        <v>0</v>
      </c>
      <c r="AL27" s="414">
        <f t="shared" si="145"/>
        <v>0</v>
      </c>
      <c r="AM27" s="414">
        <f t="shared" si="145"/>
        <v>0</v>
      </c>
      <c r="AN27" s="414">
        <f t="shared" si="145"/>
        <v>0</v>
      </c>
      <c r="AO27" s="414">
        <f t="shared" si="145"/>
        <v>0</v>
      </c>
      <c r="AP27" s="414">
        <f t="shared" si="145"/>
        <v>0</v>
      </c>
      <c r="AQ27" s="414">
        <f t="shared" si="145"/>
        <v>0</v>
      </c>
      <c r="AR27" s="414">
        <f t="shared" si="145"/>
        <v>0</v>
      </c>
      <c r="AS27" s="414">
        <f t="shared" si="145"/>
        <v>0</v>
      </c>
      <c r="AT27" s="414">
        <f t="shared" si="145"/>
        <v>0</v>
      </c>
      <c r="AU27" s="415">
        <f t="shared" si="145"/>
        <v>0</v>
      </c>
      <c r="AV27" s="416">
        <f t="shared" si="145"/>
        <v>0</v>
      </c>
      <c r="AW27" s="414">
        <f t="shared" si="145"/>
        <v>0</v>
      </c>
      <c r="AX27" s="414">
        <f t="shared" si="145"/>
        <v>0</v>
      </c>
      <c r="AY27" s="414">
        <f t="shared" si="145"/>
        <v>0</v>
      </c>
      <c r="AZ27" s="414">
        <f t="shared" si="145"/>
        <v>0</v>
      </c>
      <c r="BA27" s="414">
        <f t="shared" si="145"/>
        <v>0</v>
      </c>
      <c r="BB27" s="414">
        <f t="shared" si="145"/>
        <v>0</v>
      </c>
      <c r="BC27" s="414">
        <f t="shared" si="145"/>
        <v>0</v>
      </c>
      <c r="BD27" s="414">
        <f t="shared" si="145"/>
        <v>0</v>
      </c>
      <c r="BE27" s="414">
        <f t="shared" si="145"/>
        <v>0</v>
      </c>
      <c r="BF27" s="414">
        <f t="shared" si="145"/>
        <v>0</v>
      </c>
      <c r="BG27" s="415">
        <f t="shared" si="145"/>
        <v>0</v>
      </c>
      <c r="BH27" s="416">
        <f t="shared" ref="BH27:BS27" si="146">IF($F27&lt;(BH$3+1),$L27/12,0)*IF($G27&gt;(BH$3),1,0)*$I27</f>
        <v>0</v>
      </c>
      <c r="BI27" s="414">
        <f t="shared" si="146"/>
        <v>0</v>
      </c>
      <c r="BJ27" s="414">
        <f t="shared" si="146"/>
        <v>0</v>
      </c>
      <c r="BK27" s="414">
        <f t="shared" si="146"/>
        <v>0</v>
      </c>
      <c r="BL27" s="414">
        <f t="shared" si="146"/>
        <v>0</v>
      </c>
      <c r="BM27" s="414">
        <f t="shared" si="146"/>
        <v>0</v>
      </c>
      <c r="BN27" s="414">
        <f t="shared" si="146"/>
        <v>0</v>
      </c>
      <c r="BO27" s="414">
        <f t="shared" si="146"/>
        <v>0</v>
      </c>
      <c r="BP27" s="414">
        <f t="shared" si="146"/>
        <v>0</v>
      </c>
      <c r="BQ27" s="414">
        <f t="shared" si="146"/>
        <v>0</v>
      </c>
      <c r="BR27" s="414">
        <f t="shared" si="146"/>
        <v>0</v>
      </c>
      <c r="BS27" s="415">
        <f t="shared" si="146"/>
        <v>0</v>
      </c>
      <c r="BT27" s="416">
        <f t="shared" ref="BT27:CE27" si="147">IF($F27&lt;(BT$3+1),$M27/12,0)*IF($G27&gt;(BT$3),1,0)*$I27</f>
        <v>0</v>
      </c>
      <c r="BU27" s="414">
        <f t="shared" si="147"/>
        <v>0</v>
      </c>
      <c r="BV27" s="414">
        <f t="shared" si="147"/>
        <v>0</v>
      </c>
      <c r="BW27" s="414">
        <f t="shared" si="147"/>
        <v>0</v>
      </c>
      <c r="BX27" s="414">
        <f t="shared" si="147"/>
        <v>9646.875</v>
      </c>
      <c r="BY27" s="414">
        <f t="shared" si="147"/>
        <v>9646.875</v>
      </c>
      <c r="BZ27" s="414">
        <f t="shared" si="147"/>
        <v>9646.875</v>
      </c>
      <c r="CA27" s="414">
        <f t="shared" si="147"/>
        <v>9646.875</v>
      </c>
      <c r="CB27" s="414">
        <f t="shared" si="147"/>
        <v>9646.875</v>
      </c>
      <c r="CC27" s="414">
        <f t="shared" si="147"/>
        <v>9646.875</v>
      </c>
      <c r="CD27" s="414">
        <f t="shared" si="147"/>
        <v>9646.875</v>
      </c>
      <c r="CE27" s="415">
        <f t="shared" si="147"/>
        <v>9646.875</v>
      </c>
      <c r="CF27" s="416">
        <f t="shared" ref="CF27:CQ27" si="148">IF($F27&lt;(CF$3+1),$N27/12,0)*IF($G27&gt;(CF$3),1,0)*$I27</f>
        <v>10129.21875</v>
      </c>
      <c r="CG27" s="414">
        <f t="shared" si="148"/>
        <v>10129.21875</v>
      </c>
      <c r="CH27" s="414">
        <f t="shared" si="148"/>
        <v>10129.21875</v>
      </c>
      <c r="CI27" s="414">
        <f t="shared" si="148"/>
        <v>10129.21875</v>
      </c>
      <c r="CJ27" s="414">
        <f t="shared" si="148"/>
        <v>10129.21875</v>
      </c>
      <c r="CK27" s="414">
        <f t="shared" si="148"/>
        <v>10129.21875</v>
      </c>
      <c r="CL27" s="414">
        <f t="shared" si="148"/>
        <v>10129.21875</v>
      </c>
      <c r="CM27" s="414">
        <f t="shared" si="148"/>
        <v>10129.21875</v>
      </c>
      <c r="CN27" s="414">
        <f t="shared" si="148"/>
        <v>10129.21875</v>
      </c>
      <c r="CO27" s="414">
        <f t="shared" si="148"/>
        <v>10129.21875</v>
      </c>
      <c r="CP27" s="414">
        <f t="shared" si="148"/>
        <v>10129.21875</v>
      </c>
      <c r="CQ27" s="415">
        <f t="shared" si="148"/>
        <v>10129.21875</v>
      </c>
      <c r="CR27" s="407"/>
      <c r="CS27" s="407" t="e">
        <f t="shared" ca="1" si="142"/>
        <v>#NAME?</v>
      </c>
      <c r="CT27" s="407">
        <f t="shared" si="7"/>
        <v>0</v>
      </c>
      <c r="CU27" s="412">
        <f>'Annexe C  Plan produit'!$H$52</f>
        <v>46082</v>
      </c>
      <c r="CV27" s="412">
        <f>'Annexe C  Plan produit'!$I$54</f>
        <v>47090.5</v>
      </c>
    </row>
    <row r="28" spans="1:100" ht="15">
      <c r="A28" s="400" t="s">
        <v>276</v>
      </c>
      <c r="B28" s="401" t="s">
        <v>83</v>
      </c>
      <c r="C28" s="11" t="s">
        <v>277</v>
      </c>
      <c r="D28" s="4"/>
      <c r="E28" s="420"/>
      <c r="F28" s="421">
        <f>'Plan stratégique  likewatt'!$C$43</f>
        <v>47515</v>
      </c>
      <c r="G28" s="403">
        <v>51161</v>
      </c>
      <c r="H28" s="404"/>
      <c r="I28" s="405">
        <v>1</v>
      </c>
      <c r="J28" s="406">
        <v>35000</v>
      </c>
      <c r="K28" s="407">
        <f t="shared" ref="K28:O28" si="149">J28*(1+5%)</f>
        <v>36750</v>
      </c>
      <c r="L28" s="407">
        <f t="shared" si="149"/>
        <v>38587.5</v>
      </c>
      <c r="M28" s="407">
        <f t="shared" si="149"/>
        <v>40516.875</v>
      </c>
      <c r="N28" s="407">
        <f t="shared" si="149"/>
        <v>42542.71875</v>
      </c>
      <c r="O28" s="407">
        <f t="shared" si="149"/>
        <v>44669.854687500003</v>
      </c>
      <c r="P28" s="408">
        <v>0.15</v>
      </c>
      <c r="Q28" s="414">
        <f t="shared" ref="Q28:W28" si="150">IF($F28&lt;(Q$3+1),$J28/12,0)*IF($G28&gt;(Q$3),1,0)*$I28</f>
        <v>0</v>
      </c>
      <c r="R28" s="414">
        <f t="shared" si="150"/>
        <v>0</v>
      </c>
      <c r="S28" s="414">
        <f t="shared" si="150"/>
        <v>0</v>
      </c>
      <c r="T28" s="414">
        <f t="shared" si="150"/>
        <v>0</v>
      </c>
      <c r="U28" s="414">
        <f t="shared" si="150"/>
        <v>0</v>
      </c>
      <c r="V28" s="414">
        <f t="shared" si="150"/>
        <v>0</v>
      </c>
      <c r="W28" s="415">
        <f t="shared" si="150"/>
        <v>0</v>
      </c>
      <c r="X28" s="416">
        <f t="shared" ref="X28:BG28" si="151">IF($F28&lt;(X$3+1),$K28/12,0)*IF($G28&gt;(X$3),1,0)*$I28</f>
        <v>0</v>
      </c>
      <c r="Y28" s="414">
        <f t="shared" si="151"/>
        <v>0</v>
      </c>
      <c r="Z28" s="414">
        <f t="shared" si="151"/>
        <v>0</v>
      </c>
      <c r="AA28" s="414">
        <f t="shared" si="151"/>
        <v>0</v>
      </c>
      <c r="AB28" s="414">
        <f t="shared" si="151"/>
        <v>0</v>
      </c>
      <c r="AC28" s="414">
        <f t="shared" si="151"/>
        <v>0</v>
      </c>
      <c r="AD28" s="414">
        <f t="shared" si="151"/>
        <v>0</v>
      </c>
      <c r="AE28" s="414">
        <f t="shared" si="151"/>
        <v>0</v>
      </c>
      <c r="AF28" s="414">
        <f t="shared" si="151"/>
        <v>0</v>
      </c>
      <c r="AG28" s="414">
        <f t="shared" si="151"/>
        <v>0</v>
      </c>
      <c r="AH28" s="414">
        <f t="shared" si="151"/>
        <v>0</v>
      </c>
      <c r="AI28" s="415">
        <f t="shared" si="151"/>
        <v>0</v>
      </c>
      <c r="AJ28" s="416">
        <f t="shared" si="151"/>
        <v>0</v>
      </c>
      <c r="AK28" s="414">
        <f t="shared" si="151"/>
        <v>0</v>
      </c>
      <c r="AL28" s="414">
        <f t="shared" si="151"/>
        <v>0</v>
      </c>
      <c r="AM28" s="414">
        <f t="shared" si="151"/>
        <v>0</v>
      </c>
      <c r="AN28" s="414">
        <f t="shared" si="151"/>
        <v>0</v>
      </c>
      <c r="AO28" s="414">
        <f t="shared" si="151"/>
        <v>0</v>
      </c>
      <c r="AP28" s="414">
        <f t="shared" si="151"/>
        <v>0</v>
      </c>
      <c r="AQ28" s="414">
        <f t="shared" si="151"/>
        <v>0</v>
      </c>
      <c r="AR28" s="414">
        <f t="shared" si="151"/>
        <v>0</v>
      </c>
      <c r="AS28" s="414">
        <f t="shared" si="151"/>
        <v>0</v>
      </c>
      <c r="AT28" s="414">
        <f t="shared" si="151"/>
        <v>0</v>
      </c>
      <c r="AU28" s="415">
        <f t="shared" si="151"/>
        <v>0</v>
      </c>
      <c r="AV28" s="416">
        <f t="shared" si="151"/>
        <v>0</v>
      </c>
      <c r="AW28" s="414">
        <f t="shared" si="151"/>
        <v>0</v>
      </c>
      <c r="AX28" s="414">
        <f t="shared" si="151"/>
        <v>0</v>
      </c>
      <c r="AY28" s="414">
        <f t="shared" si="151"/>
        <v>0</v>
      </c>
      <c r="AZ28" s="414">
        <f t="shared" si="151"/>
        <v>0</v>
      </c>
      <c r="BA28" s="414">
        <f t="shared" si="151"/>
        <v>0</v>
      </c>
      <c r="BB28" s="414">
        <f t="shared" si="151"/>
        <v>0</v>
      </c>
      <c r="BC28" s="414">
        <f t="shared" si="151"/>
        <v>0</v>
      </c>
      <c r="BD28" s="414">
        <f t="shared" si="151"/>
        <v>0</v>
      </c>
      <c r="BE28" s="414">
        <f t="shared" si="151"/>
        <v>0</v>
      </c>
      <c r="BF28" s="414">
        <f t="shared" si="151"/>
        <v>0</v>
      </c>
      <c r="BG28" s="415">
        <f t="shared" si="151"/>
        <v>0</v>
      </c>
      <c r="BH28" s="416">
        <f t="shared" ref="BH28:BS28" si="152">IF($F28&lt;(BH$3+1),$L28/12,0)*IF($G28&gt;(BH$3),1,0)*$I28</f>
        <v>0</v>
      </c>
      <c r="BI28" s="414">
        <f t="shared" si="152"/>
        <v>0</v>
      </c>
      <c r="BJ28" s="414">
        <f t="shared" si="152"/>
        <v>0</v>
      </c>
      <c r="BK28" s="414">
        <f t="shared" si="152"/>
        <v>0</v>
      </c>
      <c r="BL28" s="414">
        <f t="shared" si="152"/>
        <v>0</v>
      </c>
      <c r="BM28" s="414">
        <f t="shared" si="152"/>
        <v>0</v>
      </c>
      <c r="BN28" s="414">
        <f t="shared" si="152"/>
        <v>0</v>
      </c>
      <c r="BO28" s="414">
        <f t="shared" si="152"/>
        <v>0</v>
      </c>
      <c r="BP28" s="414">
        <f t="shared" si="152"/>
        <v>0</v>
      </c>
      <c r="BQ28" s="414">
        <f t="shared" si="152"/>
        <v>0</v>
      </c>
      <c r="BR28" s="414">
        <f t="shared" si="152"/>
        <v>0</v>
      </c>
      <c r="BS28" s="415">
        <f t="shared" si="152"/>
        <v>0</v>
      </c>
      <c r="BT28" s="416">
        <f t="shared" ref="BT28:CE28" si="153">IF($F28&lt;(BT$3+1),$M28/12,0)*IF($G28&gt;(BT$3),1,0)*$I28</f>
        <v>0</v>
      </c>
      <c r="BU28" s="414">
        <f t="shared" si="153"/>
        <v>3376.40625</v>
      </c>
      <c r="BV28" s="414">
        <f t="shared" si="153"/>
        <v>3376.40625</v>
      </c>
      <c r="BW28" s="414">
        <f t="shared" si="153"/>
        <v>3376.40625</v>
      </c>
      <c r="BX28" s="414">
        <f t="shared" si="153"/>
        <v>3376.40625</v>
      </c>
      <c r="BY28" s="414">
        <f t="shared" si="153"/>
        <v>3376.40625</v>
      </c>
      <c r="BZ28" s="414">
        <f t="shared" si="153"/>
        <v>3376.40625</v>
      </c>
      <c r="CA28" s="414">
        <f t="shared" si="153"/>
        <v>3376.40625</v>
      </c>
      <c r="CB28" s="414">
        <f t="shared" si="153"/>
        <v>3376.40625</v>
      </c>
      <c r="CC28" s="414">
        <f t="shared" si="153"/>
        <v>3376.40625</v>
      </c>
      <c r="CD28" s="414">
        <f t="shared" si="153"/>
        <v>3376.40625</v>
      </c>
      <c r="CE28" s="415">
        <f t="shared" si="153"/>
        <v>3376.40625</v>
      </c>
      <c r="CF28" s="416">
        <f t="shared" ref="CF28:CQ28" si="154">IF($F28&lt;(CF$3+1),$N28/12,0)*IF($G28&gt;(CF$3),1,0)*$I28</f>
        <v>3545.2265625</v>
      </c>
      <c r="CG28" s="414">
        <f t="shared" si="154"/>
        <v>3545.2265625</v>
      </c>
      <c r="CH28" s="414">
        <f t="shared" si="154"/>
        <v>3545.2265625</v>
      </c>
      <c r="CI28" s="414">
        <f t="shared" si="154"/>
        <v>3545.2265625</v>
      </c>
      <c r="CJ28" s="414">
        <f t="shared" si="154"/>
        <v>3545.2265625</v>
      </c>
      <c r="CK28" s="414">
        <f t="shared" si="154"/>
        <v>3545.2265625</v>
      </c>
      <c r="CL28" s="414">
        <f t="shared" si="154"/>
        <v>3545.2265625</v>
      </c>
      <c r="CM28" s="414">
        <f t="shared" si="154"/>
        <v>3545.2265625</v>
      </c>
      <c r="CN28" s="414">
        <f t="shared" si="154"/>
        <v>3545.2265625</v>
      </c>
      <c r="CO28" s="414">
        <f t="shared" si="154"/>
        <v>3545.2265625</v>
      </c>
      <c r="CP28" s="414">
        <f t="shared" si="154"/>
        <v>3545.2265625</v>
      </c>
      <c r="CQ28" s="415">
        <f t="shared" si="154"/>
        <v>3545.2265625</v>
      </c>
      <c r="CR28" s="407"/>
      <c r="CS28" s="407"/>
      <c r="CT28" s="407">
        <f t="shared" si="7"/>
        <v>0</v>
      </c>
      <c r="CU28" s="412">
        <f>'Annexe C  Plan produit'!$H$52</f>
        <v>46082</v>
      </c>
      <c r="CV28" s="412">
        <f>'Annexe C  Plan produit'!$I$54</f>
        <v>47090.5</v>
      </c>
    </row>
    <row r="29" spans="1:100" ht="15">
      <c r="A29" s="400" t="s">
        <v>279</v>
      </c>
      <c r="B29" s="401" t="s">
        <v>83</v>
      </c>
      <c r="C29" s="401" t="s">
        <v>299</v>
      </c>
      <c r="D29" s="4"/>
      <c r="E29" s="420"/>
      <c r="F29" s="421">
        <f>'Plan stratégique  likewatt'!C43</f>
        <v>47515</v>
      </c>
      <c r="G29" s="403">
        <v>51161</v>
      </c>
      <c r="H29" s="404"/>
      <c r="I29" s="405">
        <v>1</v>
      </c>
      <c r="J29" s="406">
        <v>100000</v>
      </c>
      <c r="K29" s="407">
        <f t="shared" ref="K29:O29" si="155">J29*(1+5%)</f>
        <v>105000</v>
      </c>
      <c r="L29" s="407">
        <f t="shared" si="155"/>
        <v>110250</v>
      </c>
      <c r="M29" s="407">
        <f t="shared" si="155"/>
        <v>115762.5</v>
      </c>
      <c r="N29" s="407">
        <f t="shared" si="155"/>
        <v>121550.625</v>
      </c>
      <c r="O29" s="407">
        <f t="shared" si="155"/>
        <v>127628.15625</v>
      </c>
      <c r="P29" s="408">
        <v>0.15</v>
      </c>
      <c r="Q29" s="414">
        <f t="shared" ref="Q29:W29" si="156">IF($F29&lt;(Q$3+1),$J29/12,0)*IF($G29&gt;(Q$3),1,0)*$I29</f>
        <v>0</v>
      </c>
      <c r="R29" s="414">
        <f t="shared" si="156"/>
        <v>0</v>
      </c>
      <c r="S29" s="414">
        <f t="shared" si="156"/>
        <v>0</v>
      </c>
      <c r="T29" s="414">
        <f t="shared" si="156"/>
        <v>0</v>
      </c>
      <c r="U29" s="414">
        <f t="shared" si="156"/>
        <v>0</v>
      </c>
      <c r="V29" s="414">
        <f t="shared" si="156"/>
        <v>0</v>
      </c>
      <c r="W29" s="415">
        <f t="shared" si="156"/>
        <v>0</v>
      </c>
      <c r="X29" s="416">
        <f t="shared" ref="X29:BG29" si="157">IF($F29&lt;(X$3+1),$K29/12,0)*IF($G29&gt;(X$3),1,0)*$I29</f>
        <v>0</v>
      </c>
      <c r="Y29" s="414">
        <f t="shared" si="157"/>
        <v>0</v>
      </c>
      <c r="Z29" s="414">
        <f t="shared" si="157"/>
        <v>0</v>
      </c>
      <c r="AA29" s="414">
        <f t="shared" si="157"/>
        <v>0</v>
      </c>
      <c r="AB29" s="414">
        <f t="shared" si="157"/>
        <v>0</v>
      </c>
      <c r="AC29" s="414">
        <f t="shared" si="157"/>
        <v>0</v>
      </c>
      <c r="AD29" s="414">
        <f t="shared" si="157"/>
        <v>0</v>
      </c>
      <c r="AE29" s="414">
        <f t="shared" si="157"/>
        <v>0</v>
      </c>
      <c r="AF29" s="414">
        <f t="shared" si="157"/>
        <v>0</v>
      </c>
      <c r="AG29" s="414">
        <f t="shared" si="157"/>
        <v>0</v>
      </c>
      <c r="AH29" s="414">
        <f t="shared" si="157"/>
        <v>0</v>
      </c>
      <c r="AI29" s="415">
        <f t="shared" si="157"/>
        <v>0</v>
      </c>
      <c r="AJ29" s="416">
        <f t="shared" si="157"/>
        <v>0</v>
      </c>
      <c r="AK29" s="414">
        <f t="shared" si="157"/>
        <v>0</v>
      </c>
      <c r="AL29" s="414">
        <f t="shared" si="157"/>
        <v>0</v>
      </c>
      <c r="AM29" s="414">
        <f t="shared" si="157"/>
        <v>0</v>
      </c>
      <c r="AN29" s="414">
        <f t="shared" si="157"/>
        <v>0</v>
      </c>
      <c r="AO29" s="414">
        <f t="shared" si="157"/>
        <v>0</v>
      </c>
      <c r="AP29" s="414">
        <f t="shared" si="157"/>
        <v>0</v>
      </c>
      <c r="AQ29" s="414">
        <f t="shared" si="157"/>
        <v>0</v>
      </c>
      <c r="AR29" s="414">
        <f t="shared" si="157"/>
        <v>0</v>
      </c>
      <c r="AS29" s="414">
        <f t="shared" si="157"/>
        <v>0</v>
      </c>
      <c r="AT29" s="414">
        <f t="shared" si="157"/>
        <v>0</v>
      </c>
      <c r="AU29" s="415">
        <f t="shared" si="157"/>
        <v>0</v>
      </c>
      <c r="AV29" s="416">
        <f t="shared" si="157"/>
        <v>0</v>
      </c>
      <c r="AW29" s="414">
        <f t="shared" si="157"/>
        <v>0</v>
      </c>
      <c r="AX29" s="414">
        <f t="shared" si="157"/>
        <v>0</v>
      </c>
      <c r="AY29" s="414">
        <f t="shared" si="157"/>
        <v>0</v>
      </c>
      <c r="AZ29" s="414">
        <f t="shared" si="157"/>
        <v>0</v>
      </c>
      <c r="BA29" s="414">
        <f t="shared" si="157"/>
        <v>0</v>
      </c>
      <c r="BB29" s="414">
        <f t="shared" si="157"/>
        <v>0</v>
      </c>
      <c r="BC29" s="414">
        <f t="shared" si="157"/>
        <v>0</v>
      </c>
      <c r="BD29" s="414">
        <f t="shared" si="157"/>
        <v>0</v>
      </c>
      <c r="BE29" s="414">
        <f t="shared" si="157"/>
        <v>0</v>
      </c>
      <c r="BF29" s="414">
        <f t="shared" si="157"/>
        <v>0</v>
      </c>
      <c r="BG29" s="415">
        <f t="shared" si="157"/>
        <v>0</v>
      </c>
      <c r="BH29" s="416">
        <f t="shared" ref="BH29:BS29" si="158">IF($F29&lt;(BH$3+1),$L29/12,0)*IF($G29&gt;(BH$3),1,0)*$I29</f>
        <v>0</v>
      </c>
      <c r="BI29" s="414">
        <f t="shared" si="158"/>
        <v>0</v>
      </c>
      <c r="BJ29" s="414">
        <f t="shared" si="158"/>
        <v>0</v>
      </c>
      <c r="BK29" s="414">
        <f t="shared" si="158"/>
        <v>0</v>
      </c>
      <c r="BL29" s="414">
        <f t="shared" si="158"/>
        <v>0</v>
      </c>
      <c r="BM29" s="414">
        <f t="shared" si="158"/>
        <v>0</v>
      </c>
      <c r="BN29" s="414">
        <f t="shared" si="158"/>
        <v>0</v>
      </c>
      <c r="BO29" s="414">
        <f t="shared" si="158"/>
        <v>0</v>
      </c>
      <c r="BP29" s="414">
        <f t="shared" si="158"/>
        <v>0</v>
      </c>
      <c r="BQ29" s="414">
        <f t="shared" si="158"/>
        <v>0</v>
      </c>
      <c r="BR29" s="414">
        <f t="shared" si="158"/>
        <v>0</v>
      </c>
      <c r="BS29" s="415">
        <f t="shared" si="158"/>
        <v>0</v>
      </c>
      <c r="BT29" s="416">
        <f t="shared" ref="BT29:CE29" si="159">IF($F29&lt;(BT$3+1),$M29/12,0)*IF($G29&gt;(BT$3),1,0)*$I29</f>
        <v>0</v>
      </c>
      <c r="BU29" s="414">
        <f t="shared" si="159"/>
        <v>9646.875</v>
      </c>
      <c r="BV29" s="414">
        <f t="shared" si="159"/>
        <v>9646.875</v>
      </c>
      <c r="BW29" s="414">
        <f t="shared" si="159"/>
        <v>9646.875</v>
      </c>
      <c r="BX29" s="414">
        <f t="shared" si="159"/>
        <v>9646.875</v>
      </c>
      <c r="BY29" s="414">
        <f t="shared" si="159"/>
        <v>9646.875</v>
      </c>
      <c r="BZ29" s="414">
        <f t="shared" si="159"/>
        <v>9646.875</v>
      </c>
      <c r="CA29" s="414">
        <f t="shared" si="159"/>
        <v>9646.875</v>
      </c>
      <c r="CB29" s="414">
        <f t="shared" si="159"/>
        <v>9646.875</v>
      </c>
      <c r="CC29" s="414">
        <f t="shared" si="159"/>
        <v>9646.875</v>
      </c>
      <c r="CD29" s="414">
        <f t="shared" si="159"/>
        <v>9646.875</v>
      </c>
      <c r="CE29" s="415">
        <f t="shared" si="159"/>
        <v>9646.875</v>
      </c>
      <c r="CF29" s="416">
        <f t="shared" ref="CF29:CQ29" si="160">IF($F29&lt;(CF$3+1),$N29/12,0)*IF($G29&gt;(CF$3),1,0)*$I29</f>
        <v>10129.21875</v>
      </c>
      <c r="CG29" s="414">
        <f t="shared" si="160"/>
        <v>10129.21875</v>
      </c>
      <c r="CH29" s="414">
        <f t="shared" si="160"/>
        <v>10129.21875</v>
      </c>
      <c r="CI29" s="414">
        <f t="shared" si="160"/>
        <v>10129.21875</v>
      </c>
      <c r="CJ29" s="414">
        <f t="shared" si="160"/>
        <v>10129.21875</v>
      </c>
      <c r="CK29" s="414">
        <f t="shared" si="160"/>
        <v>10129.21875</v>
      </c>
      <c r="CL29" s="414">
        <f t="shared" si="160"/>
        <v>10129.21875</v>
      </c>
      <c r="CM29" s="414">
        <f t="shared" si="160"/>
        <v>10129.21875</v>
      </c>
      <c r="CN29" s="414">
        <f t="shared" si="160"/>
        <v>10129.21875</v>
      </c>
      <c r="CO29" s="414">
        <f t="shared" si="160"/>
        <v>10129.21875</v>
      </c>
      <c r="CP29" s="414">
        <f t="shared" si="160"/>
        <v>10129.21875</v>
      </c>
      <c r="CQ29" s="415">
        <f t="shared" si="160"/>
        <v>10129.21875</v>
      </c>
      <c r="CR29" s="407"/>
      <c r="CS29" s="407" t="e">
        <f t="shared" ref="CS29:CS35" ca="1" si="161">SUM($Q32:$CQ32)*(1+_xludf.IFS(B29="FR",$C$99,B29="ES",$D$99,B29="CH",$E$99,B29="BE",$F$99,B29="DE",$G$99))</f>
        <v>#NAME?</v>
      </c>
      <c r="CT29" s="407">
        <f t="shared" si="7"/>
        <v>0</v>
      </c>
      <c r="CU29" s="412">
        <f>'Annexe C  Plan produit'!$H$52</f>
        <v>46082</v>
      </c>
      <c r="CV29" s="412">
        <f>'Annexe C  Plan produit'!$I$54</f>
        <v>47090.5</v>
      </c>
    </row>
    <row r="30" spans="1:100" ht="15">
      <c r="A30" s="400" t="s">
        <v>270</v>
      </c>
      <c r="B30" s="401" t="s">
        <v>83</v>
      </c>
      <c r="C30" s="401" t="s">
        <v>294</v>
      </c>
      <c r="D30" s="4"/>
      <c r="E30" s="420"/>
      <c r="F30" s="421">
        <f>'Plan stratégique  likewatt'!C$43+31</f>
        <v>47546</v>
      </c>
      <c r="G30" s="403">
        <v>51161</v>
      </c>
      <c r="H30" s="404"/>
      <c r="I30" s="405">
        <v>1</v>
      </c>
      <c r="J30" s="406">
        <v>50000</v>
      </c>
      <c r="K30" s="407">
        <f t="shared" ref="K30:O30" si="162">J30*(1+5%)</f>
        <v>52500</v>
      </c>
      <c r="L30" s="407">
        <f t="shared" si="162"/>
        <v>55125</v>
      </c>
      <c r="M30" s="407">
        <f t="shared" si="162"/>
        <v>57881.25</v>
      </c>
      <c r="N30" s="407">
        <f t="shared" si="162"/>
        <v>60775.3125</v>
      </c>
      <c r="O30" s="407">
        <f t="shared" si="162"/>
        <v>63814.078125</v>
      </c>
      <c r="P30" s="408">
        <v>0.15</v>
      </c>
      <c r="Q30" s="414">
        <f t="shared" ref="Q30:W30" si="163">IF($F30&lt;(Q$3+1),$J30/12,0)*IF($G30&gt;(Q$3),1,0)*$I30</f>
        <v>0</v>
      </c>
      <c r="R30" s="414">
        <f t="shared" si="163"/>
        <v>0</v>
      </c>
      <c r="S30" s="414">
        <f t="shared" si="163"/>
        <v>0</v>
      </c>
      <c r="T30" s="414">
        <f t="shared" si="163"/>
        <v>0</v>
      </c>
      <c r="U30" s="414">
        <f t="shared" si="163"/>
        <v>0</v>
      </c>
      <c r="V30" s="414">
        <f t="shared" si="163"/>
        <v>0</v>
      </c>
      <c r="W30" s="415">
        <f t="shared" si="163"/>
        <v>0</v>
      </c>
      <c r="X30" s="416">
        <f t="shared" ref="X30:BG30" si="164">IF($F30&lt;(X$3+1),$K30/12,0)*IF($G30&gt;(X$3),1,0)*$I30</f>
        <v>0</v>
      </c>
      <c r="Y30" s="414">
        <f t="shared" si="164"/>
        <v>0</v>
      </c>
      <c r="Z30" s="414">
        <f t="shared" si="164"/>
        <v>0</v>
      </c>
      <c r="AA30" s="414">
        <f t="shared" si="164"/>
        <v>0</v>
      </c>
      <c r="AB30" s="414">
        <f t="shared" si="164"/>
        <v>0</v>
      </c>
      <c r="AC30" s="414">
        <f t="shared" si="164"/>
        <v>0</v>
      </c>
      <c r="AD30" s="414">
        <f t="shared" si="164"/>
        <v>0</v>
      </c>
      <c r="AE30" s="414">
        <f t="shared" si="164"/>
        <v>0</v>
      </c>
      <c r="AF30" s="414">
        <f t="shared" si="164"/>
        <v>0</v>
      </c>
      <c r="AG30" s="414">
        <f t="shared" si="164"/>
        <v>0</v>
      </c>
      <c r="AH30" s="414">
        <f t="shared" si="164"/>
        <v>0</v>
      </c>
      <c r="AI30" s="415">
        <f t="shared" si="164"/>
        <v>0</v>
      </c>
      <c r="AJ30" s="416">
        <f t="shared" si="164"/>
        <v>0</v>
      </c>
      <c r="AK30" s="414">
        <f t="shared" si="164"/>
        <v>0</v>
      </c>
      <c r="AL30" s="414">
        <f t="shared" si="164"/>
        <v>0</v>
      </c>
      <c r="AM30" s="414">
        <f t="shared" si="164"/>
        <v>0</v>
      </c>
      <c r="AN30" s="414">
        <f t="shared" si="164"/>
        <v>0</v>
      </c>
      <c r="AO30" s="414">
        <f t="shared" si="164"/>
        <v>0</v>
      </c>
      <c r="AP30" s="414">
        <f t="shared" si="164"/>
        <v>0</v>
      </c>
      <c r="AQ30" s="414">
        <f t="shared" si="164"/>
        <v>0</v>
      </c>
      <c r="AR30" s="414">
        <f t="shared" si="164"/>
        <v>0</v>
      </c>
      <c r="AS30" s="414">
        <f t="shared" si="164"/>
        <v>0</v>
      </c>
      <c r="AT30" s="414">
        <f t="shared" si="164"/>
        <v>0</v>
      </c>
      <c r="AU30" s="415">
        <f t="shared" si="164"/>
        <v>0</v>
      </c>
      <c r="AV30" s="416">
        <f t="shared" si="164"/>
        <v>0</v>
      </c>
      <c r="AW30" s="414">
        <f t="shared" si="164"/>
        <v>0</v>
      </c>
      <c r="AX30" s="414">
        <f t="shared" si="164"/>
        <v>0</v>
      </c>
      <c r="AY30" s="414">
        <f t="shared" si="164"/>
        <v>0</v>
      </c>
      <c r="AZ30" s="414">
        <f t="shared" si="164"/>
        <v>0</v>
      </c>
      <c r="BA30" s="414">
        <f t="shared" si="164"/>
        <v>0</v>
      </c>
      <c r="BB30" s="414">
        <f t="shared" si="164"/>
        <v>0</v>
      </c>
      <c r="BC30" s="414">
        <f t="shared" si="164"/>
        <v>0</v>
      </c>
      <c r="BD30" s="414">
        <f t="shared" si="164"/>
        <v>0</v>
      </c>
      <c r="BE30" s="414">
        <f t="shared" si="164"/>
        <v>0</v>
      </c>
      <c r="BF30" s="414">
        <f t="shared" si="164"/>
        <v>0</v>
      </c>
      <c r="BG30" s="415">
        <f t="shared" si="164"/>
        <v>0</v>
      </c>
      <c r="BH30" s="416">
        <f t="shared" ref="BH30:BS30" si="165">IF($F30&lt;(BH$3+1),$L30/12,0)*IF($G30&gt;(BH$3),1,0)*$I30</f>
        <v>0</v>
      </c>
      <c r="BI30" s="414">
        <f t="shared" si="165"/>
        <v>0</v>
      </c>
      <c r="BJ30" s="414">
        <f t="shared" si="165"/>
        <v>0</v>
      </c>
      <c r="BK30" s="414">
        <f t="shared" si="165"/>
        <v>0</v>
      </c>
      <c r="BL30" s="414">
        <f t="shared" si="165"/>
        <v>0</v>
      </c>
      <c r="BM30" s="414">
        <f t="shared" si="165"/>
        <v>0</v>
      </c>
      <c r="BN30" s="414">
        <f t="shared" si="165"/>
        <v>0</v>
      </c>
      <c r="BO30" s="414">
        <f t="shared" si="165"/>
        <v>0</v>
      </c>
      <c r="BP30" s="414">
        <f t="shared" si="165"/>
        <v>0</v>
      </c>
      <c r="BQ30" s="414">
        <f t="shared" si="165"/>
        <v>0</v>
      </c>
      <c r="BR30" s="414">
        <f t="shared" si="165"/>
        <v>0</v>
      </c>
      <c r="BS30" s="415">
        <f t="shared" si="165"/>
        <v>0</v>
      </c>
      <c r="BT30" s="416">
        <f t="shared" ref="BT30:CE30" si="166">IF($F30&lt;(BT$3+1),$M30/12,0)*IF($G30&gt;(BT$3),1,0)*$I30</f>
        <v>0</v>
      </c>
      <c r="BU30" s="414">
        <f t="shared" si="166"/>
        <v>0</v>
      </c>
      <c r="BV30" s="414">
        <f t="shared" si="166"/>
        <v>0</v>
      </c>
      <c r="BW30" s="414">
        <f t="shared" si="166"/>
        <v>4823.4375</v>
      </c>
      <c r="BX30" s="414">
        <f t="shared" si="166"/>
        <v>4823.4375</v>
      </c>
      <c r="BY30" s="414">
        <f t="shared" si="166"/>
        <v>4823.4375</v>
      </c>
      <c r="BZ30" s="414">
        <f t="shared" si="166"/>
        <v>4823.4375</v>
      </c>
      <c r="CA30" s="414">
        <f t="shared" si="166"/>
        <v>4823.4375</v>
      </c>
      <c r="CB30" s="414">
        <f t="shared" si="166"/>
        <v>4823.4375</v>
      </c>
      <c r="CC30" s="414">
        <f t="shared" si="166"/>
        <v>4823.4375</v>
      </c>
      <c r="CD30" s="414">
        <f t="shared" si="166"/>
        <v>4823.4375</v>
      </c>
      <c r="CE30" s="415">
        <f t="shared" si="166"/>
        <v>4823.4375</v>
      </c>
      <c r="CF30" s="416">
        <f t="shared" ref="CF30:CQ30" si="167">IF($F30&lt;(CF$3+1),$N30/12,0)*IF($G30&gt;(CF$3),1,0)*$I30</f>
        <v>5064.609375</v>
      </c>
      <c r="CG30" s="414">
        <f t="shared" si="167"/>
        <v>5064.609375</v>
      </c>
      <c r="CH30" s="414">
        <f t="shared" si="167"/>
        <v>5064.609375</v>
      </c>
      <c r="CI30" s="414">
        <f t="shared" si="167"/>
        <v>5064.609375</v>
      </c>
      <c r="CJ30" s="414">
        <f t="shared" si="167"/>
        <v>5064.609375</v>
      </c>
      <c r="CK30" s="414">
        <f t="shared" si="167"/>
        <v>5064.609375</v>
      </c>
      <c r="CL30" s="414">
        <f t="shared" si="167"/>
        <v>5064.609375</v>
      </c>
      <c r="CM30" s="414">
        <f t="shared" si="167"/>
        <v>5064.609375</v>
      </c>
      <c r="CN30" s="414">
        <f t="shared" si="167"/>
        <v>5064.609375</v>
      </c>
      <c r="CO30" s="414">
        <f t="shared" si="167"/>
        <v>5064.609375</v>
      </c>
      <c r="CP30" s="414">
        <f t="shared" si="167"/>
        <v>5064.609375</v>
      </c>
      <c r="CQ30" s="415">
        <f t="shared" si="167"/>
        <v>5064.609375</v>
      </c>
      <c r="CR30" s="407"/>
      <c r="CS30" s="407" t="e">
        <f t="shared" ca="1" si="161"/>
        <v>#NAME?</v>
      </c>
      <c r="CT30" s="407">
        <f t="shared" si="7"/>
        <v>0</v>
      </c>
      <c r="CU30" s="412">
        <f>'Annexe C  Plan produit'!$H$52</f>
        <v>46082</v>
      </c>
      <c r="CV30" s="412">
        <f>'Annexe C  Plan produit'!$I$54</f>
        <v>47090.5</v>
      </c>
    </row>
    <row r="31" spans="1:100" ht="15">
      <c r="A31" s="400" t="s">
        <v>270</v>
      </c>
      <c r="B31" s="401" t="s">
        <v>84</v>
      </c>
      <c r="C31" s="401" t="s">
        <v>300</v>
      </c>
      <c r="D31" s="4"/>
      <c r="E31" s="422"/>
      <c r="F31" s="421">
        <f>'Plan stratégique  likewatt'!G39</f>
        <v>47515</v>
      </c>
      <c r="G31" s="403">
        <v>51161</v>
      </c>
      <c r="H31" s="404"/>
      <c r="I31" s="405">
        <v>1</v>
      </c>
      <c r="J31" s="406">
        <v>80000</v>
      </c>
      <c r="K31" s="407">
        <f t="shared" ref="K31:O31" si="168">J31*(1+5%)</f>
        <v>84000</v>
      </c>
      <c r="L31" s="407">
        <f t="shared" si="168"/>
        <v>88200</v>
      </c>
      <c r="M31" s="407">
        <f t="shared" si="168"/>
        <v>92610</v>
      </c>
      <c r="N31" s="407">
        <f t="shared" si="168"/>
        <v>97240.5</v>
      </c>
      <c r="O31" s="407">
        <f t="shared" si="168"/>
        <v>102102.52500000001</v>
      </c>
      <c r="P31" s="408">
        <v>0.15</v>
      </c>
      <c r="Q31" s="414">
        <f t="shared" ref="Q31:W31" si="169">IF($F31&lt;(Q$3+1),$J31/12,0)*IF($G31&gt;(Q$3),1,0)*$I31</f>
        <v>0</v>
      </c>
      <c r="R31" s="414">
        <f t="shared" si="169"/>
        <v>0</v>
      </c>
      <c r="S31" s="414">
        <f t="shared" si="169"/>
        <v>0</v>
      </c>
      <c r="T31" s="414">
        <f t="shared" si="169"/>
        <v>0</v>
      </c>
      <c r="U31" s="414">
        <f t="shared" si="169"/>
        <v>0</v>
      </c>
      <c r="V31" s="414">
        <f t="shared" si="169"/>
        <v>0</v>
      </c>
      <c r="W31" s="415">
        <f t="shared" si="169"/>
        <v>0</v>
      </c>
      <c r="X31" s="416">
        <f t="shared" ref="X31:BG31" si="170">IF($F31&lt;(X$3+1),$K31/12,0)*IF($G31&gt;(X$3),1,0)*$I31</f>
        <v>0</v>
      </c>
      <c r="Y31" s="414">
        <f t="shared" si="170"/>
        <v>0</v>
      </c>
      <c r="Z31" s="414">
        <f t="shared" si="170"/>
        <v>0</v>
      </c>
      <c r="AA31" s="414">
        <f t="shared" si="170"/>
        <v>0</v>
      </c>
      <c r="AB31" s="414">
        <f t="shared" si="170"/>
        <v>0</v>
      </c>
      <c r="AC31" s="414">
        <f t="shared" si="170"/>
        <v>0</v>
      </c>
      <c r="AD31" s="414">
        <f t="shared" si="170"/>
        <v>0</v>
      </c>
      <c r="AE31" s="414">
        <f t="shared" si="170"/>
        <v>0</v>
      </c>
      <c r="AF31" s="414">
        <f t="shared" si="170"/>
        <v>0</v>
      </c>
      <c r="AG31" s="414">
        <f t="shared" si="170"/>
        <v>0</v>
      </c>
      <c r="AH31" s="414">
        <f t="shared" si="170"/>
        <v>0</v>
      </c>
      <c r="AI31" s="415">
        <f t="shared" si="170"/>
        <v>0</v>
      </c>
      <c r="AJ31" s="416">
        <f t="shared" si="170"/>
        <v>0</v>
      </c>
      <c r="AK31" s="414">
        <f t="shared" si="170"/>
        <v>0</v>
      </c>
      <c r="AL31" s="414">
        <f t="shared" si="170"/>
        <v>0</v>
      </c>
      <c r="AM31" s="414">
        <f t="shared" si="170"/>
        <v>0</v>
      </c>
      <c r="AN31" s="414">
        <f t="shared" si="170"/>
        <v>0</v>
      </c>
      <c r="AO31" s="414">
        <f t="shared" si="170"/>
        <v>0</v>
      </c>
      <c r="AP31" s="414">
        <f t="shared" si="170"/>
        <v>0</v>
      </c>
      <c r="AQ31" s="414">
        <f t="shared" si="170"/>
        <v>0</v>
      </c>
      <c r="AR31" s="414">
        <f t="shared" si="170"/>
        <v>0</v>
      </c>
      <c r="AS31" s="414">
        <f t="shared" si="170"/>
        <v>0</v>
      </c>
      <c r="AT31" s="414">
        <f t="shared" si="170"/>
        <v>0</v>
      </c>
      <c r="AU31" s="415">
        <f t="shared" si="170"/>
        <v>0</v>
      </c>
      <c r="AV31" s="416">
        <f t="shared" si="170"/>
        <v>0</v>
      </c>
      <c r="AW31" s="414">
        <f t="shared" si="170"/>
        <v>0</v>
      </c>
      <c r="AX31" s="414">
        <f t="shared" si="170"/>
        <v>0</v>
      </c>
      <c r="AY31" s="414">
        <f t="shared" si="170"/>
        <v>0</v>
      </c>
      <c r="AZ31" s="414">
        <f t="shared" si="170"/>
        <v>0</v>
      </c>
      <c r="BA31" s="414">
        <f t="shared" si="170"/>
        <v>0</v>
      </c>
      <c r="BB31" s="414">
        <f t="shared" si="170"/>
        <v>0</v>
      </c>
      <c r="BC31" s="414">
        <f t="shared" si="170"/>
        <v>0</v>
      </c>
      <c r="BD31" s="414">
        <f t="shared" si="170"/>
        <v>0</v>
      </c>
      <c r="BE31" s="414">
        <f t="shared" si="170"/>
        <v>0</v>
      </c>
      <c r="BF31" s="414">
        <f t="shared" si="170"/>
        <v>0</v>
      </c>
      <c r="BG31" s="415">
        <f t="shared" si="170"/>
        <v>0</v>
      </c>
      <c r="BH31" s="416">
        <f t="shared" ref="BH31:BS31" si="171">IF($F31&lt;(BH$3+1),$L31/12,0)*IF($G31&gt;(BH$3),1,0)*$I31</f>
        <v>0</v>
      </c>
      <c r="BI31" s="414">
        <f t="shared" si="171"/>
        <v>0</v>
      </c>
      <c r="BJ31" s="414">
        <f t="shared" si="171"/>
        <v>0</v>
      </c>
      <c r="BK31" s="414">
        <f t="shared" si="171"/>
        <v>0</v>
      </c>
      <c r="BL31" s="414">
        <f t="shared" si="171"/>
        <v>0</v>
      </c>
      <c r="BM31" s="414">
        <f t="shared" si="171"/>
        <v>0</v>
      </c>
      <c r="BN31" s="414">
        <f t="shared" si="171"/>
        <v>0</v>
      </c>
      <c r="BO31" s="414">
        <f t="shared" si="171"/>
        <v>0</v>
      </c>
      <c r="BP31" s="414">
        <f t="shared" si="171"/>
        <v>0</v>
      </c>
      <c r="BQ31" s="414">
        <f t="shared" si="171"/>
        <v>0</v>
      </c>
      <c r="BR31" s="414">
        <f t="shared" si="171"/>
        <v>0</v>
      </c>
      <c r="BS31" s="415">
        <f t="shared" si="171"/>
        <v>0</v>
      </c>
      <c r="BT31" s="416">
        <f t="shared" ref="BT31:CE31" si="172">IF($F31&lt;(BT$3+1),$M31/12,0)*IF($G31&gt;(BT$3),1,0)*$I31</f>
        <v>0</v>
      </c>
      <c r="BU31" s="414">
        <f t="shared" si="172"/>
        <v>7717.5</v>
      </c>
      <c r="BV31" s="414">
        <f t="shared" si="172"/>
        <v>7717.5</v>
      </c>
      <c r="BW31" s="414">
        <f t="shared" si="172"/>
        <v>7717.5</v>
      </c>
      <c r="BX31" s="414">
        <f t="shared" si="172"/>
        <v>7717.5</v>
      </c>
      <c r="BY31" s="414">
        <f t="shared" si="172"/>
        <v>7717.5</v>
      </c>
      <c r="BZ31" s="414">
        <f t="shared" si="172"/>
        <v>7717.5</v>
      </c>
      <c r="CA31" s="414">
        <f t="shared" si="172"/>
        <v>7717.5</v>
      </c>
      <c r="CB31" s="414">
        <f t="shared" si="172"/>
        <v>7717.5</v>
      </c>
      <c r="CC31" s="414">
        <f t="shared" si="172"/>
        <v>7717.5</v>
      </c>
      <c r="CD31" s="414">
        <f t="shared" si="172"/>
        <v>7717.5</v>
      </c>
      <c r="CE31" s="415">
        <f t="shared" si="172"/>
        <v>7717.5</v>
      </c>
      <c r="CF31" s="416">
        <f t="shared" ref="CF31:CQ31" si="173">IF($F31&lt;(CF$3+1),$N31/12,0)*IF($G31&gt;(CF$3),1,0)*$I31</f>
        <v>8103.375</v>
      </c>
      <c r="CG31" s="414">
        <f t="shared" si="173"/>
        <v>8103.375</v>
      </c>
      <c r="CH31" s="414">
        <f t="shared" si="173"/>
        <v>8103.375</v>
      </c>
      <c r="CI31" s="414">
        <f t="shared" si="173"/>
        <v>8103.375</v>
      </c>
      <c r="CJ31" s="414">
        <f t="shared" si="173"/>
        <v>8103.375</v>
      </c>
      <c r="CK31" s="414">
        <f t="shared" si="173"/>
        <v>8103.375</v>
      </c>
      <c r="CL31" s="414">
        <f t="shared" si="173"/>
        <v>8103.375</v>
      </c>
      <c r="CM31" s="414">
        <f t="shared" si="173"/>
        <v>8103.375</v>
      </c>
      <c r="CN31" s="414">
        <f t="shared" si="173"/>
        <v>8103.375</v>
      </c>
      <c r="CO31" s="414">
        <f t="shared" si="173"/>
        <v>8103.375</v>
      </c>
      <c r="CP31" s="414">
        <f t="shared" si="173"/>
        <v>8103.375</v>
      </c>
      <c r="CQ31" s="415">
        <f t="shared" si="173"/>
        <v>8103.375</v>
      </c>
      <c r="CR31" s="407"/>
      <c r="CS31" s="407" t="e">
        <f t="shared" ca="1" si="161"/>
        <v>#NAME?</v>
      </c>
      <c r="CT31" s="407">
        <f t="shared" si="7"/>
        <v>0</v>
      </c>
      <c r="CU31" s="412">
        <f>'Annexe C  Plan produit'!$H$52</f>
        <v>46082</v>
      </c>
      <c r="CV31" s="412">
        <f>'Annexe C  Plan produit'!$I$54</f>
        <v>47090.5</v>
      </c>
    </row>
    <row r="32" spans="1:100" ht="15">
      <c r="A32" s="400" t="s">
        <v>270</v>
      </c>
      <c r="B32" s="401" t="s">
        <v>83</v>
      </c>
      <c r="C32" s="401" t="s">
        <v>294</v>
      </c>
      <c r="D32" s="4"/>
      <c r="E32" s="420"/>
      <c r="F32" s="421">
        <f>'Plan stratégique  likewatt'!C$43+30</f>
        <v>47545</v>
      </c>
      <c r="G32" s="403">
        <v>51161</v>
      </c>
      <c r="H32" s="404"/>
      <c r="I32" s="405">
        <v>1</v>
      </c>
      <c r="J32" s="406">
        <v>50000</v>
      </c>
      <c r="K32" s="407">
        <f t="shared" ref="K32:O32" si="174">J32*(1+5%)</f>
        <v>52500</v>
      </c>
      <c r="L32" s="407">
        <f t="shared" si="174"/>
        <v>55125</v>
      </c>
      <c r="M32" s="407">
        <f t="shared" si="174"/>
        <v>57881.25</v>
      </c>
      <c r="N32" s="407">
        <f t="shared" si="174"/>
        <v>60775.3125</v>
      </c>
      <c r="O32" s="407">
        <f t="shared" si="174"/>
        <v>63814.078125</v>
      </c>
      <c r="P32" s="408">
        <v>0.15</v>
      </c>
      <c r="Q32" s="414">
        <f t="shared" ref="Q32:W32" si="175">IF($F32&lt;(Q$3+1),$J32/12,0)*IF($G32&gt;(Q$3),1,0)*$I32</f>
        <v>0</v>
      </c>
      <c r="R32" s="414">
        <f t="shared" si="175"/>
        <v>0</v>
      </c>
      <c r="S32" s="414">
        <f t="shared" si="175"/>
        <v>0</v>
      </c>
      <c r="T32" s="414">
        <f t="shared" si="175"/>
        <v>0</v>
      </c>
      <c r="U32" s="414">
        <f t="shared" si="175"/>
        <v>0</v>
      </c>
      <c r="V32" s="414">
        <f t="shared" si="175"/>
        <v>0</v>
      </c>
      <c r="W32" s="415">
        <f t="shared" si="175"/>
        <v>0</v>
      </c>
      <c r="X32" s="416">
        <f t="shared" ref="X32:BG32" si="176">IF($F32&lt;(X$3+1),$K32/12,0)*IF($G32&gt;(X$3),1,0)*$I32</f>
        <v>0</v>
      </c>
      <c r="Y32" s="414">
        <f t="shared" si="176"/>
        <v>0</v>
      </c>
      <c r="Z32" s="414">
        <f t="shared" si="176"/>
        <v>0</v>
      </c>
      <c r="AA32" s="414">
        <f t="shared" si="176"/>
        <v>0</v>
      </c>
      <c r="AB32" s="414">
        <f t="shared" si="176"/>
        <v>0</v>
      </c>
      <c r="AC32" s="414">
        <f t="shared" si="176"/>
        <v>0</v>
      </c>
      <c r="AD32" s="414">
        <f t="shared" si="176"/>
        <v>0</v>
      </c>
      <c r="AE32" s="414">
        <f t="shared" si="176"/>
        <v>0</v>
      </c>
      <c r="AF32" s="414">
        <f t="shared" si="176"/>
        <v>0</v>
      </c>
      <c r="AG32" s="414">
        <f t="shared" si="176"/>
        <v>0</v>
      </c>
      <c r="AH32" s="414">
        <f t="shared" si="176"/>
        <v>0</v>
      </c>
      <c r="AI32" s="415">
        <f t="shared" si="176"/>
        <v>0</v>
      </c>
      <c r="AJ32" s="416">
        <f t="shared" si="176"/>
        <v>0</v>
      </c>
      <c r="AK32" s="414">
        <f t="shared" si="176"/>
        <v>0</v>
      </c>
      <c r="AL32" s="414">
        <f t="shared" si="176"/>
        <v>0</v>
      </c>
      <c r="AM32" s="414">
        <f t="shared" si="176"/>
        <v>0</v>
      </c>
      <c r="AN32" s="414">
        <f t="shared" si="176"/>
        <v>0</v>
      </c>
      <c r="AO32" s="414">
        <f t="shared" si="176"/>
        <v>0</v>
      </c>
      <c r="AP32" s="414">
        <f t="shared" si="176"/>
        <v>0</v>
      </c>
      <c r="AQ32" s="414">
        <f t="shared" si="176"/>
        <v>0</v>
      </c>
      <c r="AR32" s="414">
        <f t="shared" si="176"/>
        <v>0</v>
      </c>
      <c r="AS32" s="414">
        <f t="shared" si="176"/>
        <v>0</v>
      </c>
      <c r="AT32" s="414">
        <f t="shared" si="176"/>
        <v>0</v>
      </c>
      <c r="AU32" s="415">
        <f t="shared" si="176"/>
        <v>0</v>
      </c>
      <c r="AV32" s="416">
        <f t="shared" si="176"/>
        <v>0</v>
      </c>
      <c r="AW32" s="414">
        <f t="shared" si="176"/>
        <v>0</v>
      </c>
      <c r="AX32" s="414">
        <f t="shared" si="176"/>
        <v>0</v>
      </c>
      <c r="AY32" s="414">
        <f t="shared" si="176"/>
        <v>0</v>
      </c>
      <c r="AZ32" s="414">
        <f t="shared" si="176"/>
        <v>0</v>
      </c>
      <c r="BA32" s="414">
        <f t="shared" si="176"/>
        <v>0</v>
      </c>
      <c r="BB32" s="414">
        <f t="shared" si="176"/>
        <v>0</v>
      </c>
      <c r="BC32" s="414">
        <f t="shared" si="176"/>
        <v>0</v>
      </c>
      <c r="BD32" s="414">
        <f t="shared" si="176"/>
        <v>0</v>
      </c>
      <c r="BE32" s="414">
        <f t="shared" si="176"/>
        <v>0</v>
      </c>
      <c r="BF32" s="414">
        <f t="shared" si="176"/>
        <v>0</v>
      </c>
      <c r="BG32" s="415">
        <f t="shared" si="176"/>
        <v>0</v>
      </c>
      <c r="BH32" s="416">
        <f t="shared" ref="BH32:BS32" si="177">IF($F32&lt;(BH$3+1),$L32/12,0)*IF($G32&gt;(BH$3),1,0)*$I32</f>
        <v>0</v>
      </c>
      <c r="BI32" s="414">
        <f t="shared" si="177"/>
        <v>0</v>
      </c>
      <c r="BJ32" s="414">
        <f t="shared" si="177"/>
        <v>0</v>
      </c>
      <c r="BK32" s="414">
        <f t="shared" si="177"/>
        <v>0</v>
      </c>
      <c r="BL32" s="414">
        <f t="shared" si="177"/>
        <v>0</v>
      </c>
      <c r="BM32" s="414">
        <f t="shared" si="177"/>
        <v>0</v>
      </c>
      <c r="BN32" s="414">
        <f t="shared" si="177"/>
        <v>0</v>
      </c>
      <c r="BO32" s="414">
        <f t="shared" si="177"/>
        <v>0</v>
      </c>
      <c r="BP32" s="414">
        <f t="shared" si="177"/>
        <v>0</v>
      </c>
      <c r="BQ32" s="414">
        <f t="shared" si="177"/>
        <v>0</v>
      </c>
      <c r="BR32" s="414">
        <f t="shared" si="177"/>
        <v>0</v>
      </c>
      <c r="BS32" s="415">
        <f t="shared" si="177"/>
        <v>0</v>
      </c>
      <c r="BT32" s="416">
        <f t="shared" ref="BT32:CE32" si="178">IF($F32&lt;(BT$3+1),$M32/12,0)*IF($G32&gt;(BT$3),1,0)*$I32</f>
        <v>0</v>
      </c>
      <c r="BU32" s="414">
        <f t="shared" si="178"/>
        <v>0</v>
      </c>
      <c r="BV32" s="414">
        <f t="shared" si="178"/>
        <v>0</v>
      </c>
      <c r="BW32" s="414">
        <f t="shared" si="178"/>
        <v>4823.4375</v>
      </c>
      <c r="BX32" s="414">
        <f t="shared" si="178"/>
        <v>4823.4375</v>
      </c>
      <c r="BY32" s="414">
        <f t="shared" si="178"/>
        <v>4823.4375</v>
      </c>
      <c r="BZ32" s="414">
        <f t="shared" si="178"/>
        <v>4823.4375</v>
      </c>
      <c r="CA32" s="414">
        <f t="shared" si="178"/>
        <v>4823.4375</v>
      </c>
      <c r="CB32" s="414">
        <f t="shared" si="178"/>
        <v>4823.4375</v>
      </c>
      <c r="CC32" s="414">
        <f t="shared" si="178"/>
        <v>4823.4375</v>
      </c>
      <c r="CD32" s="414">
        <f t="shared" si="178"/>
        <v>4823.4375</v>
      </c>
      <c r="CE32" s="415">
        <f t="shared" si="178"/>
        <v>4823.4375</v>
      </c>
      <c r="CF32" s="416">
        <f t="shared" ref="CF32:CQ32" si="179">IF($F32&lt;(CF$3+1),$N32/12,0)*IF($G32&gt;(CF$3),1,0)*$I32</f>
        <v>5064.609375</v>
      </c>
      <c r="CG32" s="414">
        <f t="shared" si="179"/>
        <v>5064.609375</v>
      </c>
      <c r="CH32" s="414">
        <f t="shared" si="179"/>
        <v>5064.609375</v>
      </c>
      <c r="CI32" s="414">
        <f t="shared" si="179"/>
        <v>5064.609375</v>
      </c>
      <c r="CJ32" s="414">
        <f t="shared" si="179"/>
        <v>5064.609375</v>
      </c>
      <c r="CK32" s="414">
        <f t="shared" si="179"/>
        <v>5064.609375</v>
      </c>
      <c r="CL32" s="414">
        <f t="shared" si="179"/>
        <v>5064.609375</v>
      </c>
      <c r="CM32" s="414">
        <f t="shared" si="179"/>
        <v>5064.609375</v>
      </c>
      <c r="CN32" s="414">
        <f t="shared" si="179"/>
        <v>5064.609375</v>
      </c>
      <c r="CO32" s="414">
        <f t="shared" si="179"/>
        <v>5064.609375</v>
      </c>
      <c r="CP32" s="414">
        <f t="shared" si="179"/>
        <v>5064.609375</v>
      </c>
      <c r="CQ32" s="415">
        <f t="shared" si="179"/>
        <v>5064.609375</v>
      </c>
      <c r="CR32" s="407"/>
      <c r="CS32" s="407" t="e">
        <f t="shared" ca="1" si="161"/>
        <v>#NAME?</v>
      </c>
      <c r="CT32" s="407">
        <f t="shared" si="7"/>
        <v>0</v>
      </c>
      <c r="CU32" s="412">
        <f>'Annexe C  Plan produit'!$H$52</f>
        <v>46082</v>
      </c>
      <c r="CV32" s="412">
        <f>'Annexe C  Plan produit'!$I$54</f>
        <v>47090.5</v>
      </c>
    </row>
    <row r="33" spans="1:100" ht="15">
      <c r="A33" s="400" t="s">
        <v>267</v>
      </c>
      <c r="B33" s="401" t="s">
        <v>83</v>
      </c>
      <c r="C33" s="401" t="s">
        <v>301</v>
      </c>
      <c r="D33" s="4"/>
      <c r="E33" s="420"/>
      <c r="F33" s="421">
        <f>'Plan stratégique  likewatt'!G39+30</f>
        <v>47545</v>
      </c>
      <c r="G33" s="403">
        <v>51161</v>
      </c>
      <c r="H33" s="404"/>
      <c r="I33" s="417">
        <v>2</v>
      </c>
      <c r="J33" s="406">
        <v>40000</v>
      </c>
      <c r="K33" s="407">
        <f t="shared" ref="K33:O33" si="180">J33*(1+5%)</f>
        <v>42000</v>
      </c>
      <c r="L33" s="407">
        <f t="shared" si="180"/>
        <v>44100</v>
      </c>
      <c r="M33" s="407">
        <f t="shared" si="180"/>
        <v>46305</v>
      </c>
      <c r="N33" s="407">
        <f t="shared" si="180"/>
        <v>48620.25</v>
      </c>
      <c r="O33" s="407">
        <f t="shared" si="180"/>
        <v>51051.262500000004</v>
      </c>
      <c r="P33" s="408">
        <v>0.15</v>
      </c>
      <c r="Q33" s="414">
        <f t="shared" ref="Q33:W33" si="181">IF($F33&lt;(Q$3+1),$J33/12,0)*IF($G33&gt;(Q$3),1,0)*$I33</f>
        <v>0</v>
      </c>
      <c r="R33" s="414">
        <f t="shared" si="181"/>
        <v>0</v>
      </c>
      <c r="S33" s="414">
        <f t="shared" si="181"/>
        <v>0</v>
      </c>
      <c r="T33" s="414">
        <f t="shared" si="181"/>
        <v>0</v>
      </c>
      <c r="U33" s="414">
        <f t="shared" si="181"/>
        <v>0</v>
      </c>
      <c r="V33" s="414">
        <f t="shared" si="181"/>
        <v>0</v>
      </c>
      <c r="W33" s="415">
        <f t="shared" si="181"/>
        <v>0</v>
      </c>
      <c r="X33" s="416">
        <f t="shared" ref="X33:BG33" si="182">IF($F33&lt;(X$3+1),$K33/12,0)*IF($G33&gt;(X$3),1,0)*$I33</f>
        <v>0</v>
      </c>
      <c r="Y33" s="414">
        <f t="shared" si="182"/>
        <v>0</v>
      </c>
      <c r="Z33" s="414">
        <f t="shared" si="182"/>
        <v>0</v>
      </c>
      <c r="AA33" s="414">
        <f t="shared" si="182"/>
        <v>0</v>
      </c>
      <c r="AB33" s="414">
        <f t="shared" si="182"/>
        <v>0</v>
      </c>
      <c r="AC33" s="414">
        <f t="shared" si="182"/>
        <v>0</v>
      </c>
      <c r="AD33" s="414">
        <f t="shared" si="182"/>
        <v>0</v>
      </c>
      <c r="AE33" s="414">
        <f t="shared" si="182"/>
        <v>0</v>
      </c>
      <c r="AF33" s="414">
        <f t="shared" si="182"/>
        <v>0</v>
      </c>
      <c r="AG33" s="414">
        <f t="shared" si="182"/>
        <v>0</v>
      </c>
      <c r="AH33" s="414">
        <f t="shared" si="182"/>
        <v>0</v>
      </c>
      <c r="AI33" s="415">
        <f t="shared" si="182"/>
        <v>0</v>
      </c>
      <c r="AJ33" s="416">
        <f t="shared" si="182"/>
        <v>0</v>
      </c>
      <c r="AK33" s="414">
        <f t="shared" si="182"/>
        <v>0</v>
      </c>
      <c r="AL33" s="414">
        <f t="shared" si="182"/>
        <v>0</v>
      </c>
      <c r="AM33" s="414">
        <f t="shared" si="182"/>
        <v>0</v>
      </c>
      <c r="AN33" s="414">
        <f t="shared" si="182"/>
        <v>0</v>
      </c>
      <c r="AO33" s="414">
        <f t="shared" si="182"/>
        <v>0</v>
      </c>
      <c r="AP33" s="414">
        <f t="shared" si="182"/>
        <v>0</v>
      </c>
      <c r="AQ33" s="414">
        <f t="shared" si="182"/>
        <v>0</v>
      </c>
      <c r="AR33" s="414">
        <f t="shared" si="182"/>
        <v>0</v>
      </c>
      <c r="AS33" s="414">
        <f t="shared" si="182"/>
        <v>0</v>
      </c>
      <c r="AT33" s="414">
        <f t="shared" si="182"/>
        <v>0</v>
      </c>
      <c r="AU33" s="415">
        <f t="shared" si="182"/>
        <v>0</v>
      </c>
      <c r="AV33" s="416">
        <f t="shared" si="182"/>
        <v>0</v>
      </c>
      <c r="AW33" s="414">
        <f t="shared" si="182"/>
        <v>0</v>
      </c>
      <c r="AX33" s="414">
        <f t="shared" si="182"/>
        <v>0</v>
      </c>
      <c r="AY33" s="414">
        <f t="shared" si="182"/>
        <v>0</v>
      </c>
      <c r="AZ33" s="414">
        <f t="shared" si="182"/>
        <v>0</v>
      </c>
      <c r="BA33" s="414">
        <f t="shared" si="182"/>
        <v>0</v>
      </c>
      <c r="BB33" s="414">
        <f t="shared" si="182"/>
        <v>0</v>
      </c>
      <c r="BC33" s="414">
        <f t="shared" si="182"/>
        <v>0</v>
      </c>
      <c r="BD33" s="414">
        <f t="shared" si="182"/>
        <v>0</v>
      </c>
      <c r="BE33" s="414">
        <f t="shared" si="182"/>
        <v>0</v>
      </c>
      <c r="BF33" s="414">
        <f t="shared" si="182"/>
        <v>0</v>
      </c>
      <c r="BG33" s="415">
        <f t="shared" si="182"/>
        <v>0</v>
      </c>
      <c r="BH33" s="416">
        <f t="shared" ref="BH33:BS33" si="183">IF($F33&lt;(BH$3+1),$L33/12,0)*IF($G33&gt;(BH$3),1,0)*$I33</f>
        <v>0</v>
      </c>
      <c r="BI33" s="414">
        <f t="shared" si="183"/>
        <v>0</v>
      </c>
      <c r="BJ33" s="414">
        <f t="shared" si="183"/>
        <v>0</v>
      </c>
      <c r="BK33" s="414">
        <f t="shared" si="183"/>
        <v>0</v>
      </c>
      <c r="BL33" s="414">
        <f t="shared" si="183"/>
        <v>0</v>
      </c>
      <c r="BM33" s="414">
        <f t="shared" si="183"/>
        <v>0</v>
      </c>
      <c r="BN33" s="414">
        <f t="shared" si="183"/>
        <v>0</v>
      </c>
      <c r="BO33" s="414">
        <f t="shared" si="183"/>
        <v>0</v>
      </c>
      <c r="BP33" s="414">
        <f t="shared" si="183"/>
        <v>0</v>
      </c>
      <c r="BQ33" s="414">
        <f t="shared" si="183"/>
        <v>0</v>
      </c>
      <c r="BR33" s="414">
        <f t="shared" si="183"/>
        <v>0</v>
      </c>
      <c r="BS33" s="415">
        <f t="shared" si="183"/>
        <v>0</v>
      </c>
      <c r="BT33" s="416">
        <f t="shared" ref="BT33:CE33" si="184">IF($F33&lt;(BT$3+1),$M33/12,0)*IF($G33&gt;(BT$3),1,0)*$I33</f>
        <v>0</v>
      </c>
      <c r="BU33" s="414">
        <f t="shared" si="184"/>
        <v>0</v>
      </c>
      <c r="BV33" s="414">
        <f t="shared" si="184"/>
        <v>0</v>
      </c>
      <c r="BW33" s="414">
        <f t="shared" si="184"/>
        <v>7717.5</v>
      </c>
      <c r="BX33" s="414">
        <f t="shared" si="184"/>
        <v>7717.5</v>
      </c>
      <c r="BY33" s="414">
        <f t="shared" si="184"/>
        <v>7717.5</v>
      </c>
      <c r="BZ33" s="414">
        <f t="shared" si="184"/>
        <v>7717.5</v>
      </c>
      <c r="CA33" s="414">
        <f t="shared" si="184"/>
        <v>7717.5</v>
      </c>
      <c r="CB33" s="414">
        <f t="shared" si="184"/>
        <v>7717.5</v>
      </c>
      <c r="CC33" s="414">
        <f t="shared" si="184"/>
        <v>7717.5</v>
      </c>
      <c r="CD33" s="414">
        <f t="shared" si="184"/>
        <v>7717.5</v>
      </c>
      <c r="CE33" s="415">
        <f t="shared" si="184"/>
        <v>7717.5</v>
      </c>
      <c r="CF33" s="416">
        <f t="shared" ref="CF33:CQ33" si="185">IF($F33&lt;(CF$3+1),$N33/12,0)*IF($G33&gt;(CF$3),1,0)*$I33</f>
        <v>8103.375</v>
      </c>
      <c r="CG33" s="414">
        <f t="shared" si="185"/>
        <v>8103.375</v>
      </c>
      <c r="CH33" s="414">
        <f t="shared" si="185"/>
        <v>8103.375</v>
      </c>
      <c r="CI33" s="414">
        <f t="shared" si="185"/>
        <v>8103.375</v>
      </c>
      <c r="CJ33" s="414">
        <f t="shared" si="185"/>
        <v>8103.375</v>
      </c>
      <c r="CK33" s="414">
        <f t="shared" si="185"/>
        <v>8103.375</v>
      </c>
      <c r="CL33" s="414">
        <f t="shared" si="185"/>
        <v>8103.375</v>
      </c>
      <c r="CM33" s="414">
        <f t="shared" si="185"/>
        <v>8103.375</v>
      </c>
      <c r="CN33" s="414">
        <f t="shared" si="185"/>
        <v>8103.375</v>
      </c>
      <c r="CO33" s="414">
        <f t="shared" si="185"/>
        <v>8103.375</v>
      </c>
      <c r="CP33" s="414">
        <f t="shared" si="185"/>
        <v>8103.375</v>
      </c>
      <c r="CQ33" s="415">
        <f t="shared" si="185"/>
        <v>8103.375</v>
      </c>
      <c r="CR33" s="407"/>
      <c r="CS33" s="407" t="e">
        <f t="shared" ca="1" si="161"/>
        <v>#NAME?</v>
      </c>
      <c r="CT33" s="407">
        <f t="shared" si="7"/>
        <v>0</v>
      </c>
      <c r="CU33" s="412">
        <f>'Annexe C  Plan produit'!$H$52</f>
        <v>46082</v>
      </c>
      <c r="CV33" s="412">
        <f>'Annexe C  Plan produit'!$I$54</f>
        <v>47090.5</v>
      </c>
    </row>
    <row r="34" spans="1:100" ht="15">
      <c r="A34" s="400" t="s">
        <v>261</v>
      </c>
      <c r="B34" s="401" t="s">
        <v>83</v>
      </c>
      <c r="C34" s="401" t="s">
        <v>302</v>
      </c>
      <c r="D34" s="4"/>
      <c r="E34" s="420"/>
      <c r="F34" s="421">
        <f>'Plan stratégique  likewatt'!C$43+30.5</f>
        <v>47545.5</v>
      </c>
      <c r="G34" s="403">
        <v>51161</v>
      </c>
      <c r="H34" s="404"/>
      <c r="I34" s="405">
        <v>1</v>
      </c>
      <c r="J34" s="406">
        <v>25000</v>
      </c>
      <c r="K34" s="407">
        <f t="shared" ref="K34:O34" si="186">J34*(1+5%)</f>
        <v>26250</v>
      </c>
      <c r="L34" s="407">
        <f t="shared" si="186"/>
        <v>27562.5</v>
      </c>
      <c r="M34" s="407">
        <f t="shared" si="186"/>
        <v>28940.625</v>
      </c>
      <c r="N34" s="407">
        <f t="shared" si="186"/>
        <v>30387.65625</v>
      </c>
      <c r="O34" s="407">
        <f t="shared" si="186"/>
        <v>31907.0390625</v>
      </c>
      <c r="P34" s="408">
        <v>0.15</v>
      </c>
      <c r="Q34" s="414">
        <f t="shared" ref="Q34:W34" si="187">IF($F34&lt;(Q$3+1),$J34/12,0)*IF($G34&gt;(Q$3),1,0)*$I34</f>
        <v>0</v>
      </c>
      <c r="R34" s="414">
        <f t="shared" si="187"/>
        <v>0</v>
      </c>
      <c r="S34" s="414">
        <f t="shared" si="187"/>
        <v>0</v>
      </c>
      <c r="T34" s="414">
        <f t="shared" si="187"/>
        <v>0</v>
      </c>
      <c r="U34" s="414">
        <f t="shared" si="187"/>
        <v>0</v>
      </c>
      <c r="V34" s="414">
        <f t="shared" si="187"/>
        <v>0</v>
      </c>
      <c r="W34" s="415">
        <f t="shared" si="187"/>
        <v>0</v>
      </c>
      <c r="X34" s="416">
        <f t="shared" ref="X34:BG34" si="188">IF($F34&lt;(X$3+1),$K34/12,0)*IF($G34&gt;(X$3),1,0)*$I34</f>
        <v>0</v>
      </c>
      <c r="Y34" s="414">
        <f t="shared" si="188"/>
        <v>0</v>
      </c>
      <c r="Z34" s="414">
        <f t="shared" si="188"/>
        <v>0</v>
      </c>
      <c r="AA34" s="414">
        <f t="shared" si="188"/>
        <v>0</v>
      </c>
      <c r="AB34" s="414">
        <f t="shared" si="188"/>
        <v>0</v>
      </c>
      <c r="AC34" s="414">
        <f t="shared" si="188"/>
        <v>0</v>
      </c>
      <c r="AD34" s="414">
        <f t="shared" si="188"/>
        <v>0</v>
      </c>
      <c r="AE34" s="414">
        <f t="shared" si="188"/>
        <v>0</v>
      </c>
      <c r="AF34" s="414">
        <f t="shared" si="188"/>
        <v>0</v>
      </c>
      <c r="AG34" s="414">
        <f t="shared" si="188"/>
        <v>0</v>
      </c>
      <c r="AH34" s="414">
        <f t="shared" si="188"/>
        <v>0</v>
      </c>
      <c r="AI34" s="415">
        <f t="shared" si="188"/>
        <v>0</v>
      </c>
      <c r="AJ34" s="416">
        <f t="shared" si="188"/>
        <v>0</v>
      </c>
      <c r="AK34" s="414">
        <f t="shared" si="188"/>
        <v>0</v>
      </c>
      <c r="AL34" s="414">
        <f t="shared" si="188"/>
        <v>0</v>
      </c>
      <c r="AM34" s="414">
        <f t="shared" si="188"/>
        <v>0</v>
      </c>
      <c r="AN34" s="414">
        <f t="shared" si="188"/>
        <v>0</v>
      </c>
      <c r="AO34" s="414">
        <f t="shared" si="188"/>
        <v>0</v>
      </c>
      <c r="AP34" s="414">
        <f t="shared" si="188"/>
        <v>0</v>
      </c>
      <c r="AQ34" s="414">
        <f t="shared" si="188"/>
        <v>0</v>
      </c>
      <c r="AR34" s="414">
        <f t="shared" si="188"/>
        <v>0</v>
      </c>
      <c r="AS34" s="414">
        <f t="shared" si="188"/>
        <v>0</v>
      </c>
      <c r="AT34" s="414">
        <f t="shared" si="188"/>
        <v>0</v>
      </c>
      <c r="AU34" s="415">
        <f t="shared" si="188"/>
        <v>0</v>
      </c>
      <c r="AV34" s="416">
        <f t="shared" si="188"/>
        <v>0</v>
      </c>
      <c r="AW34" s="414">
        <f t="shared" si="188"/>
        <v>0</v>
      </c>
      <c r="AX34" s="414">
        <f t="shared" si="188"/>
        <v>0</v>
      </c>
      <c r="AY34" s="414">
        <f t="shared" si="188"/>
        <v>0</v>
      </c>
      <c r="AZ34" s="414">
        <f t="shared" si="188"/>
        <v>0</v>
      </c>
      <c r="BA34" s="414">
        <f t="shared" si="188"/>
        <v>0</v>
      </c>
      <c r="BB34" s="414">
        <f t="shared" si="188"/>
        <v>0</v>
      </c>
      <c r="BC34" s="414">
        <f t="shared" si="188"/>
        <v>0</v>
      </c>
      <c r="BD34" s="414">
        <f t="shared" si="188"/>
        <v>0</v>
      </c>
      <c r="BE34" s="414">
        <f t="shared" si="188"/>
        <v>0</v>
      </c>
      <c r="BF34" s="414">
        <f t="shared" si="188"/>
        <v>0</v>
      </c>
      <c r="BG34" s="415">
        <f t="shared" si="188"/>
        <v>0</v>
      </c>
      <c r="BH34" s="416">
        <f t="shared" ref="BH34:BS34" si="189">IF($F34&lt;(BH$3+1),$L34/12,0)*IF($G34&gt;(BH$3),1,0)*$I34</f>
        <v>0</v>
      </c>
      <c r="BI34" s="414">
        <f t="shared" si="189"/>
        <v>0</v>
      </c>
      <c r="BJ34" s="414">
        <f t="shared" si="189"/>
        <v>0</v>
      </c>
      <c r="BK34" s="414">
        <f t="shared" si="189"/>
        <v>0</v>
      </c>
      <c r="BL34" s="414">
        <f t="shared" si="189"/>
        <v>0</v>
      </c>
      <c r="BM34" s="414">
        <f t="shared" si="189"/>
        <v>0</v>
      </c>
      <c r="BN34" s="414">
        <f t="shared" si="189"/>
        <v>0</v>
      </c>
      <c r="BO34" s="414">
        <f t="shared" si="189"/>
        <v>0</v>
      </c>
      <c r="BP34" s="414">
        <f t="shared" si="189"/>
        <v>0</v>
      </c>
      <c r="BQ34" s="414">
        <f t="shared" si="189"/>
        <v>0</v>
      </c>
      <c r="BR34" s="414">
        <f t="shared" si="189"/>
        <v>0</v>
      </c>
      <c r="BS34" s="415">
        <f t="shared" si="189"/>
        <v>0</v>
      </c>
      <c r="BT34" s="416">
        <f t="shared" ref="BT34:CE34" si="190">IF($F34&lt;(BT$3+1),$M34/12,0)*IF($G34&gt;(BT$3),1,0)*$I34</f>
        <v>0</v>
      </c>
      <c r="BU34" s="414">
        <f t="shared" si="190"/>
        <v>0</v>
      </c>
      <c r="BV34" s="414">
        <f t="shared" si="190"/>
        <v>0</v>
      </c>
      <c r="BW34" s="414">
        <f t="shared" si="190"/>
        <v>2411.71875</v>
      </c>
      <c r="BX34" s="414">
        <f t="shared" si="190"/>
        <v>2411.71875</v>
      </c>
      <c r="BY34" s="414">
        <f t="shared" si="190"/>
        <v>2411.71875</v>
      </c>
      <c r="BZ34" s="414">
        <f t="shared" si="190"/>
        <v>2411.71875</v>
      </c>
      <c r="CA34" s="414">
        <f t="shared" si="190"/>
        <v>2411.71875</v>
      </c>
      <c r="CB34" s="414">
        <f t="shared" si="190"/>
        <v>2411.71875</v>
      </c>
      <c r="CC34" s="414">
        <f t="shared" si="190"/>
        <v>2411.71875</v>
      </c>
      <c r="CD34" s="414">
        <f t="shared" si="190"/>
        <v>2411.71875</v>
      </c>
      <c r="CE34" s="415">
        <f t="shared" si="190"/>
        <v>2411.71875</v>
      </c>
      <c r="CF34" s="416">
        <f t="shared" ref="CF34:CQ34" si="191">IF($F34&lt;(CF$3+1),$N34/12,0)*IF($G34&gt;(CF$3),1,0)*$I34</f>
        <v>2532.3046875</v>
      </c>
      <c r="CG34" s="414">
        <f t="shared" si="191"/>
        <v>2532.3046875</v>
      </c>
      <c r="CH34" s="414">
        <f t="shared" si="191"/>
        <v>2532.3046875</v>
      </c>
      <c r="CI34" s="414">
        <f t="shared" si="191"/>
        <v>2532.3046875</v>
      </c>
      <c r="CJ34" s="414">
        <f t="shared" si="191"/>
        <v>2532.3046875</v>
      </c>
      <c r="CK34" s="414">
        <f t="shared" si="191"/>
        <v>2532.3046875</v>
      </c>
      <c r="CL34" s="414">
        <f t="shared" si="191"/>
        <v>2532.3046875</v>
      </c>
      <c r="CM34" s="414">
        <f t="shared" si="191"/>
        <v>2532.3046875</v>
      </c>
      <c r="CN34" s="414">
        <f t="shared" si="191"/>
        <v>2532.3046875</v>
      </c>
      <c r="CO34" s="414">
        <f t="shared" si="191"/>
        <v>2532.3046875</v>
      </c>
      <c r="CP34" s="414">
        <f t="shared" si="191"/>
        <v>2532.3046875</v>
      </c>
      <c r="CQ34" s="415">
        <f t="shared" si="191"/>
        <v>2532.3046875</v>
      </c>
      <c r="CR34" s="407"/>
      <c r="CS34" s="407" t="e">
        <f t="shared" ca="1" si="161"/>
        <v>#NAME?</v>
      </c>
      <c r="CT34" s="407">
        <f t="shared" si="7"/>
        <v>0</v>
      </c>
      <c r="CU34" s="412">
        <f>'Annexe C  Plan produit'!$H$52</f>
        <v>46082</v>
      </c>
      <c r="CV34" s="412">
        <f>'Annexe C  Plan produit'!$I$54</f>
        <v>47090.5</v>
      </c>
    </row>
    <row r="35" spans="1:100" ht="15">
      <c r="A35" s="400" t="s">
        <v>270</v>
      </c>
      <c r="B35" s="401" t="s">
        <v>83</v>
      </c>
      <c r="C35" s="401" t="s">
        <v>294</v>
      </c>
      <c r="D35" s="4"/>
      <c r="E35" s="420"/>
      <c r="F35" s="421">
        <f>'Plan stratégique  likewatt'!C$43+4*30.5</f>
        <v>47637</v>
      </c>
      <c r="G35" s="403">
        <v>51161</v>
      </c>
      <c r="H35" s="404"/>
      <c r="I35" s="417">
        <v>2</v>
      </c>
      <c r="J35" s="406">
        <v>50000</v>
      </c>
      <c r="K35" s="407">
        <f t="shared" ref="K35:O35" si="192">J35*(1+5%)</f>
        <v>52500</v>
      </c>
      <c r="L35" s="407">
        <f t="shared" si="192"/>
        <v>55125</v>
      </c>
      <c r="M35" s="407">
        <f t="shared" si="192"/>
        <v>57881.25</v>
      </c>
      <c r="N35" s="407">
        <f t="shared" si="192"/>
        <v>60775.3125</v>
      </c>
      <c r="O35" s="407">
        <f t="shared" si="192"/>
        <v>63814.078125</v>
      </c>
      <c r="P35" s="408">
        <v>0.15</v>
      </c>
      <c r="Q35" s="414">
        <f t="shared" ref="Q35:W35" si="193">IF($F35&lt;(Q$3+1),$J35/12,0)*IF($G35&gt;(Q$3),1,0)*$I35</f>
        <v>0</v>
      </c>
      <c r="R35" s="414">
        <f t="shared" si="193"/>
        <v>0</v>
      </c>
      <c r="S35" s="414">
        <f t="shared" si="193"/>
        <v>0</v>
      </c>
      <c r="T35" s="414">
        <f t="shared" si="193"/>
        <v>0</v>
      </c>
      <c r="U35" s="414">
        <f t="shared" si="193"/>
        <v>0</v>
      </c>
      <c r="V35" s="414">
        <f t="shared" si="193"/>
        <v>0</v>
      </c>
      <c r="W35" s="415">
        <f t="shared" si="193"/>
        <v>0</v>
      </c>
      <c r="X35" s="416">
        <f t="shared" ref="X35:BG35" si="194">IF($F35&lt;(X$3+1),$K35/12,0)*IF($G35&gt;(X$3),1,0)*$I35</f>
        <v>0</v>
      </c>
      <c r="Y35" s="414">
        <f t="shared" si="194"/>
        <v>0</v>
      </c>
      <c r="Z35" s="414">
        <f t="shared" si="194"/>
        <v>0</v>
      </c>
      <c r="AA35" s="414">
        <f t="shared" si="194"/>
        <v>0</v>
      </c>
      <c r="AB35" s="414">
        <f t="shared" si="194"/>
        <v>0</v>
      </c>
      <c r="AC35" s="414">
        <f t="shared" si="194"/>
        <v>0</v>
      </c>
      <c r="AD35" s="414">
        <f t="shared" si="194"/>
        <v>0</v>
      </c>
      <c r="AE35" s="414">
        <f t="shared" si="194"/>
        <v>0</v>
      </c>
      <c r="AF35" s="414">
        <f t="shared" si="194"/>
        <v>0</v>
      </c>
      <c r="AG35" s="414">
        <f t="shared" si="194"/>
        <v>0</v>
      </c>
      <c r="AH35" s="414">
        <f t="shared" si="194"/>
        <v>0</v>
      </c>
      <c r="AI35" s="415">
        <f t="shared" si="194"/>
        <v>0</v>
      </c>
      <c r="AJ35" s="416">
        <f t="shared" si="194"/>
        <v>0</v>
      </c>
      <c r="AK35" s="414">
        <f t="shared" si="194"/>
        <v>0</v>
      </c>
      <c r="AL35" s="414">
        <f t="shared" si="194"/>
        <v>0</v>
      </c>
      <c r="AM35" s="414">
        <f t="shared" si="194"/>
        <v>0</v>
      </c>
      <c r="AN35" s="414">
        <f t="shared" si="194"/>
        <v>0</v>
      </c>
      <c r="AO35" s="414">
        <f t="shared" si="194"/>
        <v>0</v>
      </c>
      <c r="AP35" s="414">
        <f t="shared" si="194"/>
        <v>0</v>
      </c>
      <c r="AQ35" s="414">
        <f t="shared" si="194"/>
        <v>0</v>
      </c>
      <c r="AR35" s="414">
        <f t="shared" si="194"/>
        <v>0</v>
      </c>
      <c r="AS35" s="414">
        <f t="shared" si="194"/>
        <v>0</v>
      </c>
      <c r="AT35" s="414">
        <f t="shared" si="194"/>
        <v>0</v>
      </c>
      <c r="AU35" s="415">
        <f t="shared" si="194"/>
        <v>0</v>
      </c>
      <c r="AV35" s="416">
        <f t="shared" si="194"/>
        <v>0</v>
      </c>
      <c r="AW35" s="414">
        <f t="shared" si="194"/>
        <v>0</v>
      </c>
      <c r="AX35" s="414">
        <f t="shared" si="194"/>
        <v>0</v>
      </c>
      <c r="AY35" s="414">
        <f t="shared" si="194"/>
        <v>0</v>
      </c>
      <c r="AZ35" s="414">
        <f t="shared" si="194"/>
        <v>0</v>
      </c>
      <c r="BA35" s="414">
        <f t="shared" si="194"/>
        <v>0</v>
      </c>
      <c r="BB35" s="414">
        <f t="shared" si="194"/>
        <v>0</v>
      </c>
      <c r="BC35" s="414">
        <f t="shared" si="194"/>
        <v>0</v>
      </c>
      <c r="BD35" s="414">
        <f t="shared" si="194"/>
        <v>0</v>
      </c>
      <c r="BE35" s="414">
        <f t="shared" si="194"/>
        <v>0</v>
      </c>
      <c r="BF35" s="414">
        <f t="shared" si="194"/>
        <v>0</v>
      </c>
      <c r="BG35" s="415">
        <f t="shared" si="194"/>
        <v>0</v>
      </c>
      <c r="BH35" s="416">
        <f t="shared" ref="BH35:BS35" si="195">IF($F35&lt;(BH$3+1),$L35/12,0)*IF($G35&gt;(BH$3),1,0)*$I35</f>
        <v>0</v>
      </c>
      <c r="BI35" s="414">
        <f t="shared" si="195"/>
        <v>0</v>
      </c>
      <c r="BJ35" s="414">
        <f t="shared" si="195"/>
        <v>0</v>
      </c>
      <c r="BK35" s="414">
        <f t="shared" si="195"/>
        <v>0</v>
      </c>
      <c r="BL35" s="414">
        <f t="shared" si="195"/>
        <v>0</v>
      </c>
      <c r="BM35" s="414">
        <f t="shared" si="195"/>
        <v>0</v>
      </c>
      <c r="BN35" s="414">
        <f t="shared" si="195"/>
        <v>0</v>
      </c>
      <c r="BO35" s="414">
        <f t="shared" si="195"/>
        <v>0</v>
      </c>
      <c r="BP35" s="414">
        <f t="shared" si="195"/>
        <v>0</v>
      </c>
      <c r="BQ35" s="414">
        <f t="shared" si="195"/>
        <v>0</v>
      </c>
      <c r="BR35" s="414">
        <f t="shared" si="195"/>
        <v>0</v>
      </c>
      <c r="BS35" s="415">
        <f t="shared" si="195"/>
        <v>0</v>
      </c>
      <c r="BT35" s="416">
        <f t="shared" ref="BT35:CE35" si="196">IF($F35&lt;(BT$3+1),$M35/12,0)*IF($G35&gt;(BT$3),1,0)*$I35</f>
        <v>0</v>
      </c>
      <c r="BU35" s="414">
        <f t="shared" si="196"/>
        <v>0</v>
      </c>
      <c r="BV35" s="414">
        <f t="shared" si="196"/>
        <v>0</v>
      </c>
      <c r="BW35" s="414">
        <f t="shared" si="196"/>
        <v>0</v>
      </c>
      <c r="BX35" s="414">
        <f t="shared" si="196"/>
        <v>0</v>
      </c>
      <c r="BY35" s="414">
        <f t="shared" si="196"/>
        <v>0</v>
      </c>
      <c r="BZ35" s="414">
        <f t="shared" si="196"/>
        <v>9646.875</v>
      </c>
      <c r="CA35" s="414">
        <f t="shared" si="196"/>
        <v>9646.875</v>
      </c>
      <c r="CB35" s="414">
        <f t="shared" si="196"/>
        <v>9646.875</v>
      </c>
      <c r="CC35" s="414">
        <f t="shared" si="196"/>
        <v>9646.875</v>
      </c>
      <c r="CD35" s="414">
        <f t="shared" si="196"/>
        <v>9646.875</v>
      </c>
      <c r="CE35" s="415">
        <f t="shared" si="196"/>
        <v>9646.875</v>
      </c>
      <c r="CF35" s="416">
        <f t="shared" ref="CF35:CQ35" si="197">IF($F35&lt;(CF$3+1),$N35/12,0)*IF($G35&gt;(CF$3),1,0)*$I35</f>
        <v>10129.21875</v>
      </c>
      <c r="CG35" s="414">
        <f t="shared" si="197"/>
        <v>10129.21875</v>
      </c>
      <c r="CH35" s="414">
        <f t="shared" si="197"/>
        <v>10129.21875</v>
      </c>
      <c r="CI35" s="414">
        <f t="shared" si="197"/>
        <v>10129.21875</v>
      </c>
      <c r="CJ35" s="414">
        <f t="shared" si="197"/>
        <v>10129.21875</v>
      </c>
      <c r="CK35" s="414">
        <f t="shared" si="197"/>
        <v>10129.21875</v>
      </c>
      <c r="CL35" s="414">
        <f t="shared" si="197"/>
        <v>10129.21875</v>
      </c>
      <c r="CM35" s="414">
        <f t="shared" si="197"/>
        <v>10129.21875</v>
      </c>
      <c r="CN35" s="414">
        <f t="shared" si="197"/>
        <v>10129.21875</v>
      </c>
      <c r="CO35" s="414">
        <f t="shared" si="197"/>
        <v>10129.21875</v>
      </c>
      <c r="CP35" s="414">
        <f t="shared" si="197"/>
        <v>10129.21875</v>
      </c>
      <c r="CQ35" s="415">
        <f t="shared" si="197"/>
        <v>10129.21875</v>
      </c>
      <c r="CR35" s="407"/>
      <c r="CS35" s="407" t="e">
        <f t="shared" ca="1" si="161"/>
        <v>#NAME?</v>
      </c>
      <c r="CT35" s="407">
        <f t="shared" si="7"/>
        <v>0</v>
      </c>
      <c r="CU35" s="412">
        <f>'Annexe C  Plan produit'!$H$52</f>
        <v>46082</v>
      </c>
      <c r="CV35" s="412">
        <f>'Annexe C  Plan produit'!$I$54</f>
        <v>47090.5</v>
      </c>
    </row>
    <row r="36" spans="1:100" ht="15">
      <c r="A36" s="400" t="s">
        <v>276</v>
      </c>
      <c r="B36" s="401" t="s">
        <v>84</v>
      </c>
      <c r="C36" s="11" t="s">
        <v>277</v>
      </c>
      <c r="D36" s="4"/>
      <c r="E36" s="420"/>
      <c r="F36" s="421">
        <f>'Plan stratégique  likewatt'!G39+120</f>
        <v>47635</v>
      </c>
      <c r="G36" s="403">
        <v>51161</v>
      </c>
      <c r="H36" s="404"/>
      <c r="I36" s="405">
        <v>1</v>
      </c>
      <c r="J36" s="406">
        <v>30000</v>
      </c>
      <c r="K36" s="407">
        <f t="shared" ref="K36:O36" si="198">J36*(1+5%)</f>
        <v>31500</v>
      </c>
      <c r="L36" s="407">
        <f t="shared" si="198"/>
        <v>33075</v>
      </c>
      <c r="M36" s="407">
        <f t="shared" si="198"/>
        <v>34728.75</v>
      </c>
      <c r="N36" s="407">
        <f t="shared" si="198"/>
        <v>36465.1875</v>
      </c>
      <c r="O36" s="407">
        <f t="shared" si="198"/>
        <v>38288.446875000001</v>
      </c>
      <c r="P36" s="408">
        <v>0.15</v>
      </c>
      <c r="Q36" s="414">
        <f t="shared" ref="Q36:W36" si="199">IF($F36&lt;(Q$3+1),$J36/12,0)*IF($G36&gt;(Q$3),1,0)*$I36</f>
        <v>0</v>
      </c>
      <c r="R36" s="414">
        <f t="shared" si="199"/>
        <v>0</v>
      </c>
      <c r="S36" s="414">
        <f t="shared" si="199"/>
        <v>0</v>
      </c>
      <c r="T36" s="414">
        <f t="shared" si="199"/>
        <v>0</v>
      </c>
      <c r="U36" s="414">
        <f t="shared" si="199"/>
        <v>0</v>
      </c>
      <c r="V36" s="414">
        <f t="shared" si="199"/>
        <v>0</v>
      </c>
      <c r="W36" s="415">
        <f t="shared" si="199"/>
        <v>0</v>
      </c>
      <c r="X36" s="416">
        <f t="shared" ref="X36:BG36" si="200">IF($F36&lt;(X$3+1),$K36/12,0)*IF($G36&gt;(X$3),1,0)*$I36</f>
        <v>0</v>
      </c>
      <c r="Y36" s="414">
        <f t="shared" si="200"/>
        <v>0</v>
      </c>
      <c r="Z36" s="414">
        <f t="shared" si="200"/>
        <v>0</v>
      </c>
      <c r="AA36" s="414">
        <f t="shared" si="200"/>
        <v>0</v>
      </c>
      <c r="AB36" s="414">
        <f t="shared" si="200"/>
        <v>0</v>
      </c>
      <c r="AC36" s="414">
        <f t="shared" si="200"/>
        <v>0</v>
      </c>
      <c r="AD36" s="414">
        <f t="shared" si="200"/>
        <v>0</v>
      </c>
      <c r="AE36" s="414">
        <f t="shared" si="200"/>
        <v>0</v>
      </c>
      <c r="AF36" s="414">
        <f t="shared" si="200"/>
        <v>0</v>
      </c>
      <c r="AG36" s="414">
        <f t="shared" si="200"/>
        <v>0</v>
      </c>
      <c r="AH36" s="414">
        <f t="shared" si="200"/>
        <v>0</v>
      </c>
      <c r="AI36" s="415">
        <f t="shared" si="200"/>
        <v>0</v>
      </c>
      <c r="AJ36" s="416">
        <f t="shared" si="200"/>
        <v>0</v>
      </c>
      <c r="AK36" s="414">
        <f t="shared" si="200"/>
        <v>0</v>
      </c>
      <c r="AL36" s="414">
        <f t="shared" si="200"/>
        <v>0</v>
      </c>
      <c r="AM36" s="414">
        <f t="shared" si="200"/>
        <v>0</v>
      </c>
      <c r="AN36" s="414">
        <f t="shared" si="200"/>
        <v>0</v>
      </c>
      <c r="AO36" s="414">
        <f t="shared" si="200"/>
        <v>0</v>
      </c>
      <c r="AP36" s="414">
        <f t="shared" si="200"/>
        <v>0</v>
      </c>
      <c r="AQ36" s="414">
        <f t="shared" si="200"/>
        <v>0</v>
      </c>
      <c r="AR36" s="414">
        <f t="shared" si="200"/>
        <v>0</v>
      </c>
      <c r="AS36" s="414">
        <f t="shared" si="200"/>
        <v>0</v>
      </c>
      <c r="AT36" s="414">
        <f t="shared" si="200"/>
        <v>0</v>
      </c>
      <c r="AU36" s="415">
        <f t="shared" si="200"/>
        <v>0</v>
      </c>
      <c r="AV36" s="416">
        <f t="shared" si="200"/>
        <v>0</v>
      </c>
      <c r="AW36" s="414">
        <f t="shared" si="200"/>
        <v>0</v>
      </c>
      <c r="AX36" s="414">
        <f t="shared" si="200"/>
        <v>0</v>
      </c>
      <c r="AY36" s="414">
        <f t="shared" si="200"/>
        <v>0</v>
      </c>
      <c r="AZ36" s="414">
        <f t="shared" si="200"/>
        <v>0</v>
      </c>
      <c r="BA36" s="414">
        <f t="shared" si="200"/>
        <v>0</v>
      </c>
      <c r="BB36" s="414">
        <f t="shared" si="200"/>
        <v>0</v>
      </c>
      <c r="BC36" s="414">
        <f t="shared" si="200"/>
        <v>0</v>
      </c>
      <c r="BD36" s="414">
        <f t="shared" si="200"/>
        <v>0</v>
      </c>
      <c r="BE36" s="414">
        <f t="shared" si="200"/>
        <v>0</v>
      </c>
      <c r="BF36" s="414">
        <f t="shared" si="200"/>
        <v>0</v>
      </c>
      <c r="BG36" s="415">
        <f t="shared" si="200"/>
        <v>0</v>
      </c>
      <c r="BH36" s="416">
        <f t="shared" ref="BH36:BS36" si="201">IF($F36&lt;(BH$3+1),$L36/12,0)*IF($G36&gt;(BH$3),1,0)*$I36</f>
        <v>0</v>
      </c>
      <c r="BI36" s="414">
        <f t="shared" si="201"/>
        <v>0</v>
      </c>
      <c r="BJ36" s="414">
        <f t="shared" si="201"/>
        <v>0</v>
      </c>
      <c r="BK36" s="414">
        <f t="shared" si="201"/>
        <v>0</v>
      </c>
      <c r="BL36" s="414">
        <f t="shared" si="201"/>
        <v>0</v>
      </c>
      <c r="BM36" s="414">
        <f t="shared" si="201"/>
        <v>0</v>
      </c>
      <c r="BN36" s="414">
        <f t="shared" si="201"/>
        <v>0</v>
      </c>
      <c r="BO36" s="414">
        <f t="shared" si="201"/>
        <v>0</v>
      </c>
      <c r="BP36" s="414">
        <f t="shared" si="201"/>
        <v>0</v>
      </c>
      <c r="BQ36" s="414">
        <f t="shared" si="201"/>
        <v>0</v>
      </c>
      <c r="BR36" s="414">
        <f t="shared" si="201"/>
        <v>0</v>
      </c>
      <c r="BS36" s="415">
        <f t="shared" si="201"/>
        <v>0</v>
      </c>
      <c r="BT36" s="416">
        <f t="shared" ref="BT36:CE36" si="202">IF($F36&lt;(BT$3+1),$M36/12,0)*IF($G36&gt;(BT$3),1,0)*$I36</f>
        <v>0</v>
      </c>
      <c r="BU36" s="414">
        <f t="shared" si="202"/>
        <v>0</v>
      </c>
      <c r="BV36" s="414">
        <f t="shared" si="202"/>
        <v>0</v>
      </c>
      <c r="BW36" s="414">
        <f t="shared" si="202"/>
        <v>0</v>
      </c>
      <c r="BX36" s="414">
        <f t="shared" si="202"/>
        <v>0</v>
      </c>
      <c r="BY36" s="414">
        <f t="shared" si="202"/>
        <v>2894.0625</v>
      </c>
      <c r="BZ36" s="414">
        <f t="shared" si="202"/>
        <v>2894.0625</v>
      </c>
      <c r="CA36" s="414">
        <f t="shared" si="202"/>
        <v>2894.0625</v>
      </c>
      <c r="CB36" s="414">
        <f t="shared" si="202"/>
        <v>2894.0625</v>
      </c>
      <c r="CC36" s="414">
        <f t="shared" si="202"/>
        <v>2894.0625</v>
      </c>
      <c r="CD36" s="414">
        <f t="shared" si="202"/>
        <v>2894.0625</v>
      </c>
      <c r="CE36" s="415">
        <f t="shared" si="202"/>
        <v>2894.0625</v>
      </c>
      <c r="CF36" s="416">
        <f t="shared" ref="CF36:CQ36" si="203">IF($F36&lt;(CF$3+1),$N36/12,0)*IF($G36&gt;(CF$3),1,0)*$I36</f>
        <v>3038.765625</v>
      </c>
      <c r="CG36" s="414">
        <f t="shared" si="203"/>
        <v>3038.765625</v>
      </c>
      <c r="CH36" s="414">
        <f t="shared" si="203"/>
        <v>3038.765625</v>
      </c>
      <c r="CI36" s="414">
        <f t="shared" si="203"/>
        <v>3038.765625</v>
      </c>
      <c r="CJ36" s="414">
        <f t="shared" si="203"/>
        <v>3038.765625</v>
      </c>
      <c r="CK36" s="414">
        <f t="shared" si="203"/>
        <v>3038.765625</v>
      </c>
      <c r="CL36" s="414">
        <f t="shared" si="203"/>
        <v>3038.765625</v>
      </c>
      <c r="CM36" s="414">
        <f t="shared" si="203"/>
        <v>3038.765625</v>
      </c>
      <c r="CN36" s="414">
        <f t="shared" si="203"/>
        <v>3038.765625</v>
      </c>
      <c r="CO36" s="414">
        <f t="shared" si="203"/>
        <v>3038.765625</v>
      </c>
      <c r="CP36" s="414">
        <f t="shared" si="203"/>
        <v>3038.765625</v>
      </c>
      <c r="CQ36" s="415">
        <f t="shared" si="203"/>
        <v>3038.765625</v>
      </c>
      <c r="CR36" s="407"/>
      <c r="CS36" s="407"/>
      <c r="CT36" s="407">
        <f t="shared" si="7"/>
        <v>0</v>
      </c>
      <c r="CU36" s="412">
        <f>'Annexe C  Plan produit'!$H$52</f>
        <v>46082</v>
      </c>
      <c r="CV36" s="412">
        <f>'Annexe C  Plan produit'!$I$54</f>
        <v>47090.5</v>
      </c>
    </row>
    <row r="37" spans="1:100" ht="15">
      <c r="A37" s="400" t="s">
        <v>276</v>
      </c>
      <c r="B37" s="401" t="s">
        <v>87</v>
      </c>
      <c r="C37" s="401" t="s">
        <v>303</v>
      </c>
      <c r="D37" s="4"/>
      <c r="E37" s="420"/>
      <c r="F37" s="421">
        <f>'Plan stratégique  likewatt'!G42+180</f>
        <v>48793</v>
      </c>
      <c r="G37" s="403">
        <v>51161</v>
      </c>
      <c r="H37" s="404"/>
      <c r="I37" s="417">
        <v>1</v>
      </c>
      <c r="J37" s="406">
        <v>50000</v>
      </c>
      <c r="K37" s="407">
        <f t="shared" ref="K37:O37" si="204">J37*(1+5%)</f>
        <v>52500</v>
      </c>
      <c r="L37" s="407">
        <f t="shared" si="204"/>
        <v>55125</v>
      </c>
      <c r="M37" s="407">
        <f t="shared" si="204"/>
        <v>57881.25</v>
      </c>
      <c r="N37" s="407">
        <f t="shared" si="204"/>
        <v>60775.3125</v>
      </c>
      <c r="O37" s="407">
        <f t="shared" si="204"/>
        <v>63814.078125</v>
      </c>
      <c r="P37" s="408">
        <v>0.15</v>
      </c>
      <c r="Q37" s="414">
        <f t="shared" ref="Q37:W37" si="205">IF($F37&lt;(Q$3+1),$J37/12,0)*IF($G37&gt;(Q$3),1,0)*$I37</f>
        <v>0</v>
      </c>
      <c r="R37" s="414">
        <f t="shared" si="205"/>
        <v>0</v>
      </c>
      <c r="S37" s="414">
        <f t="shared" si="205"/>
        <v>0</v>
      </c>
      <c r="T37" s="414">
        <f t="shared" si="205"/>
        <v>0</v>
      </c>
      <c r="U37" s="414">
        <f t="shared" si="205"/>
        <v>0</v>
      </c>
      <c r="V37" s="414">
        <f t="shared" si="205"/>
        <v>0</v>
      </c>
      <c r="W37" s="415">
        <f t="shared" si="205"/>
        <v>0</v>
      </c>
      <c r="X37" s="416">
        <f t="shared" ref="X37:BG37" si="206">IF($F37&lt;(X$3+1),$K37/12,0)*IF($G37&gt;(X$3),1,0)*$I37</f>
        <v>0</v>
      </c>
      <c r="Y37" s="414">
        <f t="shared" si="206"/>
        <v>0</v>
      </c>
      <c r="Z37" s="414">
        <f t="shared" si="206"/>
        <v>0</v>
      </c>
      <c r="AA37" s="414">
        <f t="shared" si="206"/>
        <v>0</v>
      </c>
      <c r="AB37" s="414">
        <f t="shared" si="206"/>
        <v>0</v>
      </c>
      <c r="AC37" s="414">
        <f t="shared" si="206"/>
        <v>0</v>
      </c>
      <c r="AD37" s="414">
        <f t="shared" si="206"/>
        <v>0</v>
      </c>
      <c r="AE37" s="414">
        <f t="shared" si="206"/>
        <v>0</v>
      </c>
      <c r="AF37" s="414">
        <f t="shared" si="206"/>
        <v>0</v>
      </c>
      <c r="AG37" s="414">
        <f t="shared" si="206"/>
        <v>0</v>
      </c>
      <c r="AH37" s="414">
        <f t="shared" si="206"/>
        <v>0</v>
      </c>
      <c r="AI37" s="415">
        <f t="shared" si="206"/>
        <v>0</v>
      </c>
      <c r="AJ37" s="416">
        <f t="shared" si="206"/>
        <v>0</v>
      </c>
      <c r="AK37" s="414">
        <f t="shared" si="206"/>
        <v>0</v>
      </c>
      <c r="AL37" s="414">
        <f t="shared" si="206"/>
        <v>0</v>
      </c>
      <c r="AM37" s="414">
        <f t="shared" si="206"/>
        <v>0</v>
      </c>
      <c r="AN37" s="414">
        <f t="shared" si="206"/>
        <v>0</v>
      </c>
      <c r="AO37" s="414">
        <f t="shared" si="206"/>
        <v>0</v>
      </c>
      <c r="AP37" s="414">
        <f t="shared" si="206"/>
        <v>0</v>
      </c>
      <c r="AQ37" s="414">
        <f t="shared" si="206"/>
        <v>0</v>
      </c>
      <c r="AR37" s="414">
        <f t="shared" si="206"/>
        <v>0</v>
      </c>
      <c r="AS37" s="414">
        <f t="shared" si="206"/>
        <v>0</v>
      </c>
      <c r="AT37" s="414">
        <f t="shared" si="206"/>
        <v>0</v>
      </c>
      <c r="AU37" s="415">
        <f t="shared" si="206"/>
        <v>0</v>
      </c>
      <c r="AV37" s="416">
        <f t="shared" si="206"/>
        <v>0</v>
      </c>
      <c r="AW37" s="414">
        <f t="shared" si="206"/>
        <v>0</v>
      </c>
      <c r="AX37" s="414">
        <f t="shared" si="206"/>
        <v>0</v>
      </c>
      <c r="AY37" s="414">
        <f t="shared" si="206"/>
        <v>0</v>
      </c>
      <c r="AZ37" s="414">
        <f t="shared" si="206"/>
        <v>0</v>
      </c>
      <c r="BA37" s="414">
        <f t="shared" si="206"/>
        <v>0</v>
      </c>
      <c r="BB37" s="414">
        <f t="shared" si="206"/>
        <v>0</v>
      </c>
      <c r="BC37" s="414">
        <f t="shared" si="206"/>
        <v>0</v>
      </c>
      <c r="BD37" s="414">
        <f t="shared" si="206"/>
        <v>0</v>
      </c>
      <c r="BE37" s="414">
        <f t="shared" si="206"/>
        <v>0</v>
      </c>
      <c r="BF37" s="414">
        <f t="shared" si="206"/>
        <v>0</v>
      </c>
      <c r="BG37" s="415">
        <f t="shared" si="206"/>
        <v>0</v>
      </c>
      <c r="BH37" s="416">
        <f t="shared" ref="BH37:BS37" si="207">IF($F37&lt;(BH$3+1),$L37/12,0)*IF($G37&gt;(BH$3),1,0)*$I37</f>
        <v>0</v>
      </c>
      <c r="BI37" s="414">
        <f t="shared" si="207"/>
        <v>0</v>
      </c>
      <c r="BJ37" s="414">
        <f t="shared" si="207"/>
        <v>0</v>
      </c>
      <c r="BK37" s="414">
        <f t="shared" si="207"/>
        <v>0</v>
      </c>
      <c r="BL37" s="414">
        <f t="shared" si="207"/>
        <v>0</v>
      </c>
      <c r="BM37" s="414">
        <f t="shared" si="207"/>
        <v>0</v>
      </c>
      <c r="BN37" s="414">
        <f t="shared" si="207"/>
        <v>0</v>
      </c>
      <c r="BO37" s="414">
        <f t="shared" si="207"/>
        <v>0</v>
      </c>
      <c r="BP37" s="414">
        <f t="shared" si="207"/>
        <v>0</v>
      </c>
      <c r="BQ37" s="414">
        <f t="shared" si="207"/>
        <v>0</v>
      </c>
      <c r="BR37" s="414">
        <f t="shared" si="207"/>
        <v>0</v>
      </c>
      <c r="BS37" s="415">
        <f t="shared" si="207"/>
        <v>0</v>
      </c>
      <c r="BT37" s="416">
        <f t="shared" ref="BT37:CE37" si="208">IF($F37&lt;(BT$3+1),$M37/12,0)*IF($G37&gt;(BT$3),1,0)*$I37</f>
        <v>0</v>
      </c>
      <c r="BU37" s="414">
        <f t="shared" si="208"/>
        <v>0</v>
      </c>
      <c r="BV37" s="414">
        <f t="shared" si="208"/>
        <v>0</v>
      </c>
      <c r="BW37" s="414">
        <f t="shared" si="208"/>
        <v>0</v>
      </c>
      <c r="BX37" s="414">
        <f t="shared" si="208"/>
        <v>0</v>
      </c>
      <c r="BY37" s="414">
        <f t="shared" si="208"/>
        <v>0</v>
      </c>
      <c r="BZ37" s="414">
        <f t="shared" si="208"/>
        <v>0</v>
      </c>
      <c r="CA37" s="414">
        <f t="shared" si="208"/>
        <v>0</v>
      </c>
      <c r="CB37" s="414">
        <f t="shared" si="208"/>
        <v>0</v>
      </c>
      <c r="CC37" s="414">
        <f t="shared" si="208"/>
        <v>0</v>
      </c>
      <c r="CD37" s="414">
        <f t="shared" si="208"/>
        <v>0</v>
      </c>
      <c r="CE37" s="415">
        <f t="shared" si="208"/>
        <v>0</v>
      </c>
      <c r="CF37" s="416">
        <f t="shared" ref="CF37:CQ37" si="209">IF($F37&lt;(CF$3+1),$N37/12,0)*IF($G37&gt;(CF$3),1,0)*$I37</f>
        <v>0</v>
      </c>
      <c r="CG37" s="414">
        <f t="shared" si="209"/>
        <v>0</v>
      </c>
      <c r="CH37" s="414">
        <f t="shared" si="209"/>
        <v>0</v>
      </c>
      <c r="CI37" s="414">
        <f t="shared" si="209"/>
        <v>0</v>
      </c>
      <c r="CJ37" s="414">
        <f t="shared" si="209"/>
        <v>0</v>
      </c>
      <c r="CK37" s="414">
        <f t="shared" si="209"/>
        <v>0</v>
      </c>
      <c r="CL37" s="414">
        <f t="shared" si="209"/>
        <v>0</v>
      </c>
      <c r="CM37" s="414">
        <f t="shared" si="209"/>
        <v>0</v>
      </c>
      <c r="CN37" s="414">
        <f t="shared" si="209"/>
        <v>0</v>
      </c>
      <c r="CO37" s="414">
        <f t="shared" si="209"/>
        <v>0</v>
      </c>
      <c r="CP37" s="414">
        <f t="shared" si="209"/>
        <v>0</v>
      </c>
      <c r="CQ37" s="415">
        <f t="shared" si="209"/>
        <v>0</v>
      </c>
      <c r="CR37" s="407"/>
      <c r="CS37" s="407"/>
      <c r="CT37" s="407">
        <f t="shared" si="7"/>
        <v>0</v>
      </c>
      <c r="CU37" s="412">
        <f>'Annexe C  Plan produit'!$H$52</f>
        <v>46082</v>
      </c>
      <c r="CV37" s="412">
        <f>'Annexe C  Plan produit'!$I$54</f>
        <v>47090.5</v>
      </c>
    </row>
    <row r="38" spans="1:100" ht="15">
      <c r="A38" s="400" t="s">
        <v>267</v>
      </c>
      <c r="B38" s="401" t="s">
        <v>83</v>
      </c>
      <c r="C38" s="401" t="s">
        <v>304</v>
      </c>
      <c r="D38" s="4"/>
      <c r="E38" s="420"/>
      <c r="F38" s="421">
        <f>'Plan stratégique  likewatt'!C43+180</f>
        <v>47695</v>
      </c>
      <c r="G38" s="403">
        <v>51161</v>
      </c>
      <c r="H38" s="404"/>
      <c r="I38" s="405">
        <v>1</v>
      </c>
      <c r="J38" s="406">
        <v>100000</v>
      </c>
      <c r="K38" s="407">
        <f t="shared" ref="K38:O38" si="210">J38*(1+5%)</f>
        <v>105000</v>
      </c>
      <c r="L38" s="407">
        <f t="shared" si="210"/>
        <v>110250</v>
      </c>
      <c r="M38" s="407">
        <f t="shared" si="210"/>
        <v>115762.5</v>
      </c>
      <c r="N38" s="407">
        <f t="shared" si="210"/>
        <v>121550.625</v>
      </c>
      <c r="O38" s="407">
        <f t="shared" si="210"/>
        <v>127628.15625</v>
      </c>
      <c r="P38" s="408">
        <v>0.15</v>
      </c>
      <c r="Q38" s="414">
        <f t="shared" ref="Q38:W38" si="211">IF($F38&lt;(Q$3+1),$J38/12,0)*IF($G38&gt;(Q$3),1,0)*$I38</f>
        <v>0</v>
      </c>
      <c r="R38" s="414">
        <f t="shared" si="211"/>
        <v>0</v>
      </c>
      <c r="S38" s="414">
        <f t="shared" si="211"/>
        <v>0</v>
      </c>
      <c r="T38" s="414">
        <f t="shared" si="211"/>
        <v>0</v>
      </c>
      <c r="U38" s="414">
        <f t="shared" si="211"/>
        <v>0</v>
      </c>
      <c r="V38" s="414">
        <f t="shared" si="211"/>
        <v>0</v>
      </c>
      <c r="W38" s="415">
        <f t="shared" si="211"/>
        <v>0</v>
      </c>
      <c r="X38" s="416">
        <f t="shared" ref="X38:BG38" si="212">IF($F38&lt;(X$3+1),$K38/12,0)*IF($G38&gt;(X$3),1,0)*$I38</f>
        <v>0</v>
      </c>
      <c r="Y38" s="414">
        <f t="shared" si="212"/>
        <v>0</v>
      </c>
      <c r="Z38" s="414">
        <f t="shared" si="212"/>
        <v>0</v>
      </c>
      <c r="AA38" s="414">
        <f t="shared" si="212"/>
        <v>0</v>
      </c>
      <c r="AB38" s="414">
        <f t="shared" si="212"/>
        <v>0</v>
      </c>
      <c r="AC38" s="414">
        <f t="shared" si="212"/>
        <v>0</v>
      </c>
      <c r="AD38" s="414">
        <f t="shared" si="212"/>
        <v>0</v>
      </c>
      <c r="AE38" s="414">
        <f t="shared" si="212"/>
        <v>0</v>
      </c>
      <c r="AF38" s="414">
        <f t="shared" si="212"/>
        <v>0</v>
      </c>
      <c r="AG38" s="414">
        <f t="shared" si="212"/>
        <v>0</v>
      </c>
      <c r="AH38" s="414">
        <f t="shared" si="212"/>
        <v>0</v>
      </c>
      <c r="AI38" s="415">
        <f t="shared" si="212"/>
        <v>0</v>
      </c>
      <c r="AJ38" s="416">
        <f t="shared" si="212"/>
        <v>0</v>
      </c>
      <c r="AK38" s="414">
        <f t="shared" si="212"/>
        <v>0</v>
      </c>
      <c r="AL38" s="414">
        <f t="shared" si="212"/>
        <v>0</v>
      </c>
      <c r="AM38" s="414">
        <f t="shared" si="212"/>
        <v>0</v>
      </c>
      <c r="AN38" s="414">
        <f t="shared" si="212"/>
        <v>0</v>
      </c>
      <c r="AO38" s="414">
        <f t="shared" si="212"/>
        <v>0</v>
      </c>
      <c r="AP38" s="414">
        <f t="shared" si="212"/>
        <v>0</v>
      </c>
      <c r="AQ38" s="414">
        <f t="shared" si="212"/>
        <v>0</v>
      </c>
      <c r="AR38" s="414">
        <f t="shared" si="212"/>
        <v>0</v>
      </c>
      <c r="AS38" s="414">
        <f t="shared" si="212"/>
        <v>0</v>
      </c>
      <c r="AT38" s="414">
        <f t="shared" si="212"/>
        <v>0</v>
      </c>
      <c r="AU38" s="415">
        <f t="shared" si="212"/>
        <v>0</v>
      </c>
      <c r="AV38" s="416">
        <f t="shared" si="212"/>
        <v>0</v>
      </c>
      <c r="AW38" s="414">
        <f t="shared" si="212"/>
        <v>0</v>
      </c>
      <c r="AX38" s="414">
        <f t="shared" si="212"/>
        <v>0</v>
      </c>
      <c r="AY38" s="414">
        <f t="shared" si="212"/>
        <v>0</v>
      </c>
      <c r="AZ38" s="414">
        <f t="shared" si="212"/>
        <v>0</v>
      </c>
      <c r="BA38" s="414">
        <f t="shared" si="212"/>
        <v>0</v>
      </c>
      <c r="BB38" s="414">
        <f t="shared" si="212"/>
        <v>0</v>
      </c>
      <c r="BC38" s="414">
        <f t="shared" si="212"/>
        <v>0</v>
      </c>
      <c r="BD38" s="414">
        <f t="shared" si="212"/>
        <v>0</v>
      </c>
      <c r="BE38" s="414">
        <f t="shared" si="212"/>
        <v>0</v>
      </c>
      <c r="BF38" s="414">
        <f t="shared" si="212"/>
        <v>0</v>
      </c>
      <c r="BG38" s="415">
        <f t="shared" si="212"/>
        <v>0</v>
      </c>
      <c r="BH38" s="416">
        <f t="shared" ref="BH38:BS38" si="213">IF($F38&lt;(BH$3+1),$L38/12,0)*IF($G38&gt;(BH$3),1,0)*$I38</f>
        <v>0</v>
      </c>
      <c r="BI38" s="414">
        <f t="shared" si="213"/>
        <v>0</v>
      </c>
      <c r="BJ38" s="414">
        <f t="shared" si="213"/>
        <v>0</v>
      </c>
      <c r="BK38" s="414">
        <f t="shared" si="213"/>
        <v>0</v>
      </c>
      <c r="BL38" s="414">
        <f t="shared" si="213"/>
        <v>0</v>
      </c>
      <c r="BM38" s="414">
        <f t="shared" si="213"/>
        <v>0</v>
      </c>
      <c r="BN38" s="414">
        <f t="shared" si="213"/>
        <v>0</v>
      </c>
      <c r="BO38" s="414">
        <f t="shared" si="213"/>
        <v>0</v>
      </c>
      <c r="BP38" s="414">
        <f t="shared" si="213"/>
        <v>0</v>
      </c>
      <c r="BQ38" s="414">
        <f t="shared" si="213"/>
        <v>0</v>
      </c>
      <c r="BR38" s="414">
        <f t="shared" si="213"/>
        <v>0</v>
      </c>
      <c r="BS38" s="415">
        <f t="shared" si="213"/>
        <v>0</v>
      </c>
      <c r="BT38" s="416">
        <f t="shared" ref="BT38:CE38" si="214">IF($F38&lt;(BT$3+1),$M38/12,0)*IF($G38&gt;(BT$3),1,0)*$I38</f>
        <v>0</v>
      </c>
      <c r="BU38" s="414">
        <f t="shared" si="214"/>
        <v>0</v>
      </c>
      <c r="BV38" s="414">
        <f t="shared" si="214"/>
        <v>0</v>
      </c>
      <c r="BW38" s="414">
        <f t="shared" si="214"/>
        <v>0</v>
      </c>
      <c r="BX38" s="414">
        <f t="shared" si="214"/>
        <v>0</v>
      </c>
      <c r="BY38" s="414">
        <f t="shared" si="214"/>
        <v>0</v>
      </c>
      <c r="BZ38" s="414">
        <f t="shared" si="214"/>
        <v>0</v>
      </c>
      <c r="CA38" s="414">
        <f t="shared" si="214"/>
        <v>9646.875</v>
      </c>
      <c r="CB38" s="414">
        <f t="shared" si="214"/>
        <v>9646.875</v>
      </c>
      <c r="CC38" s="414">
        <f t="shared" si="214"/>
        <v>9646.875</v>
      </c>
      <c r="CD38" s="414">
        <f t="shared" si="214"/>
        <v>9646.875</v>
      </c>
      <c r="CE38" s="415">
        <f t="shared" si="214"/>
        <v>9646.875</v>
      </c>
      <c r="CF38" s="416">
        <f t="shared" ref="CF38:CQ38" si="215">IF($F38&lt;(CF$3+1),$N38/12,0)*IF($G38&gt;(CF$3),1,0)*$I38</f>
        <v>10129.21875</v>
      </c>
      <c r="CG38" s="414">
        <f t="shared" si="215"/>
        <v>10129.21875</v>
      </c>
      <c r="CH38" s="414">
        <f t="shared" si="215"/>
        <v>10129.21875</v>
      </c>
      <c r="CI38" s="414">
        <f t="shared" si="215"/>
        <v>10129.21875</v>
      </c>
      <c r="CJ38" s="414">
        <f t="shared" si="215"/>
        <v>10129.21875</v>
      </c>
      <c r="CK38" s="414">
        <f t="shared" si="215"/>
        <v>10129.21875</v>
      </c>
      <c r="CL38" s="414">
        <f t="shared" si="215"/>
        <v>10129.21875</v>
      </c>
      <c r="CM38" s="414">
        <f t="shared" si="215"/>
        <v>10129.21875</v>
      </c>
      <c r="CN38" s="414">
        <f t="shared" si="215"/>
        <v>10129.21875</v>
      </c>
      <c r="CO38" s="414">
        <f t="shared" si="215"/>
        <v>10129.21875</v>
      </c>
      <c r="CP38" s="414">
        <f t="shared" si="215"/>
        <v>10129.21875</v>
      </c>
      <c r="CQ38" s="415">
        <f t="shared" si="215"/>
        <v>10129.21875</v>
      </c>
      <c r="CR38" s="407"/>
      <c r="CS38" s="407" t="e">
        <f ca="1">SUM($Q41:$CQ41)*(1+_xludf.IFS(B38="FR",$C$99,B38="ES",$D$99,B38="CH",$E$99,B38="BE",$F$99,B38="DE",$G$99))</f>
        <v>#NAME?</v>
      </c>
      <c r="CT38" s="407">
        <f t="shared" si="7"/>
        <v>0</v>
      </c>
      <c r="CU38" s="412">
        <f>'Annexe C  Plan produit'!$H$52</f>
        <v>46082</v>
      </c>
      <c r="CV38" s="412">
        <f>'Annexe C  Plan produit'!$I$54</f>
        <v>47090.5</v>
      </c>
    </row>
    <row r="39" spans="1:100" ht="15">
      <c r="A39" s="400" t="s">
        <v>276</v>
      </c>
      <c r="B39" s="401" t="s">
        <v>83</v>
      </c>
      <c r="C39" s="11" t="s">
        <v>277</v>
      </c>
      <c r="D39" s="4"/>
      <c r="E39" s="420"/>
      <c r="F39" s="421">
        <f>'Plan stratégique  likewatt'!C$43+180</f>
        <v>47695</v>
      </c>
      <c r="G39" s="403">
        <v>51161</v>
      </c>
      <c r="H39" s="404"/>
      <c r="I39" s="405">
        <v>1</v>
      </c>
      <c r="J39" s="406">
        <v>35000</v>
      </c>
      <c r="K39" s="407">
        <f t="shared" ref="K39:O39" si="216">J39*(1+5%)</f>
        <v>36750</v>
      </c>
      <c r="L39" s="407">
        <f t="shared" si="216"/>
        <v>38587.5</v>
      </c>
      <c r="M39" s="407">
        <f t="shared" si="216"/>
        <v>40516.875</v>
      </c>
      <c r="N39" s="407">
        <f t="shared" si="216"/>
        <v>42542.71875</v>
      </c>
      <c r="O39" s="407">
        <f t="shared" si="216"/>
        <v>44669.854687500003</v>
      </c>
      <c r="P39" s="408">
        <v>0.15</v>
      </c>
      <c r="Q39" s="414">
        <f t="shared" ref="Q39:W39" si="217">IF($F39&lt;(Q$3+1),$J39/12,0)*IF($G39&gt;(Q$3),1,0)*$I39</f>
        <v>0</v>
      </c>
      <c r="R39" s="414">
        <f t="shared" si="217"/>
        <v>0</v>
      </c>
      <c r="S39" s="414">
        <f t="shared" si="217"/>
        <v>0</v>
      </c>
      <c r="T39" s="414">
        <f t="shared" si="217"/>
        <v>0</v>
      </c>
      <c r="U39" s="414">
        <f t="shared" si="217"/>
        <v>0</v>
      </c>
      <c r="V39" s="414">
        <f t="shared" si="217"/>
        <v>0</v>
      </c>
      <c r="W39" s="415">
        <f t="shared" si="217"/>
        <v>0</v>
      </c>
      <c r="X39" s="416">
        <f t="shared" ref="X39:BG39" si="218">IF($F39&lt;(X$3+1),$K39/12,0)*IF($G39&gt;(X$3),1,0)*$I39</f>
        <v>0</v>
      </c>
      <c r="Y39" s="414">
        <f t="shared" si="218"/>
        <v>0</v>
      </c>
      <c r="Z39" s="414">
        <f t="shared" si="218"/>
        <v>0</v>
      </c>
      <c r="AA39" s="414">
        <f t="shared" si="218"/>
        <v>0</v>
      </c>
      <c r="AB39" s="414">
        <f t="shared" si="218"/>
        <v>0</v>
      </c>
      <c r="AC39" s="414">
        <f t="shared" si="218"/>
        <v>0</v>
      </c>
      <c r="AD39" s="414">
        <f t="shared" si="218"/>
        <v>0</v>
      </c>
      <c r="AE39" s="414">
        <f t="shared" si="218"/>
        <v>0</v>
      </c>
      <c r="AF39" s="414">
        <f t="shared" si="218"/>
        <v>0</v>
      </c>
      <c r="AG39" s="414">
        <f t="shared" si="218"/>
        <v>0</v>
      </c>
      <c r="AH39" s="414">
        <f t="shared" si="218"/>
        <v>0</v>
      </c>
      <c r="AI39" s="415">
        <f t="shared" si="218"/>
        <v>0</v>
      </c>
      <c r="AJ39" s="416">
        <f t="shared" si="218"/>
        <v>0</v>
      </c>
      <c r="AK39" s="414">
        <f t="shared" si="218"/>
        <v>0</v>
      </c>
      <c r="AL39" s="414">
        <f t="shared" si="218"/>
        <v>0</v>
      </c>
      <c r="AM39" s="414">
        <f t="shared" si="218"/>
        <v>0</v>
      </c>
      <c r="AN39" s="414">
        <f t="shared" si="218"/>
        <v>0</v>
      </c>
      <c r="AO39" s="414">
        <f t="shared" si="218"/>
        <v>0</v>
      </c>
      <c r="AP39" s="414">
        <f t="shared" si="218"/>
        <v>0</v>
      </c>
      <c r="AQ39" s="414">
        <f t="shared" si="218"/>
        <v>0</v>
      </c>
      <c r="AR39" s="414">
        <f t="shared" si="218"/>
        <v>0</v>
      </c>
      <c r="AS39" s="414">
        <f t="shared" si="218"/>
        <v>0</v>
      </c>
      <c r="AT39" s="414">
        <f t="shared" si="218"/>
        <v>0</v>
      </c>
      <c r="AU39" s="415">
        <f t="shared" si="218"/>
        <v>0</v>
      </c>
      <c r="AV39" s="416">
        <f t="shared" si="218"/>
        <v>0</v>
      </c>
      <c r="AW39" s="414">
        <f t="shared" si="218"/>
        <v>0</v>
      </c>
      <c r="AX39" s="414">
        <f t="shared" si="218"/>
        <v>0</v>
      </c>
      <c r="AY39" s="414">
        <f t="shared" si="218"/>
        <v>0</v>
      </c>
      <c r="AZ39" s="414">
        <f t="shared" si="218"/>
        <v>0</v>
      </c>
      <c r="BA39" s="414">
        <f t="shared" si="218"/>
        <v>0</v>
      </c>
      <c r="BB39" s="414">
        <f t="shared" si="218"/>
        <v>0</v>
      </c>
      <c r="BC39" s="414">
        <f t="shared" si="218"/>
        <v>0</v>
      </c>
      <c r="BD39" s="414">
        <f t="shared" si="218"/>
        <v>0</v>
      </c>
      <c r="BE39" s="414">
        <f t="shared" si="218"/>
        <v>0</v>
      </c>
      <c r="BF39" s="414">
        <f t="shared" si="218"/>
        <v>0</v>
      </c>
      <c r="BG39" s="415">
        <f t="shared" si="218"/>
        <v>0</v>
      </c>
      <c r="BH39" s="416">
        <f t="shared" ref="BH39:BS39" si="219">IF($F39&lt;(BH$3+1),$L39/12,0)*IF($G39&gt;(BH$3),1,0)*$I39</f>
        <v>0</v>
      </c>
      <c r="BI39" s="414">
        <f t="shared" si="219"/>
        <v>0</v>
      </c>
      <c r="BJ39" s="414">
        <f t="shared" si="219"/>
        <v>0</v>
      </c>
      <c r="BK39" s="414">
        <f t="shared" si="219"/>
        <v>0</v>
      </c>
      <c r="BL39" s="414">
        <f t="shared" si="219"/>
        <v>0</v>
      </c>
      <c r="BM39" s="414">
        <f t="shared" si="219"/>
        <v>0</v>
      </c>
      <c r="BN39" s="414">
        <f t="shared" si="219"/>
        <v>0</v>
      </c>
      <c r="BO39" s="414">
        <f t="shared" si="219"/>
        <v>0</v>
      </c>
      <c r="BP39" s="414">
        <f t="shared" si="219"/>
        <v>0</v>
      </c>
      <c r="BQ39" s="414">
        <f t="shared" si="219"/>
        <v>0</v>
      </c>
      <c r="BR39" s="414">
        <f t="shared" si="219"/>
        <v>0</v>
      </c>
      <c r="BS39" s="415">
        <f t="shared" si="219"/>
        <v>0</v>
      </c>
      <c r="BT39" s="416">
        <f t="shared" ref="BT39:CE39" si="220">IF($F39&lt;(BT$3+1),$M39/12,0)*IF($G39&gt;(BT$3),1,0)*$I39</f>
        <v>0</v>
      </c>
      <c r="BU39" s="414">
        <f t="shared" si="220"/>
        <v>0</v>
      </c>
      <c r="BV39" s="414">
        <f t="shared" si="220"/>
        <v>0</v>
      </c>
      <c r="BW39" s="414">
        <f t="shared" si="220"/>
        <v>0</v>
      </c>
      <c r="BX39" s="414">
        <f t="shared" si="220"/>
        <v>0</v>
      </c>
      <c r="BY39" s="414">
        <f t="shared" si="220"/>
        <v>0</v>
      </c>
      <c r="BZ39" s="414">
        <f t="shared" si="220"/>
        <v>0</v>
      </c>
      <c r="CA39" s="414">
        <f t="shared" si="220"/>
        <v>3376.40625</v>
      </c>
      <c r="CB39" s="414">
        <f t="shared" si="220"/>
        <v>3376.40625</v>
      </c>
      <c r="CC39" s="414">
        <f t="shared" si="220"/>
        <v>3376.40625</v>
      </c>
      <c r="CD39" s="414">
        <f t="shared" si="220"/>
        <v>3376.40625</v>
      </c>
      <c r="CE39" s="415">
        <f t="shared" si="220"/>
        <v>3376.40625</v>
      </c>
      <c r="CF39" s="416">
        <f t="shared" ref="CF39:CQ39" si="221">IF($F39&lt;(CF$3+1),$N39/12,0)*IF($G39&gt;(CF$3),1,0)*$I39</f>
        <v>3545.2265625</v>
      </c>
      <c r="CG39" s="414">
        <f t="shared" si="221"/>
        <v>3545.2265625</v>
      </c>
      <c r="CH39" s="414">
        <f t="shared" si="221"/>
        <v>3545.2265625</v>
      </c>
      <c r="CI39" s="414">
        <f t="shared" si="221"/>
        <v>3545.2265625</v>
      </c>
      <c r="CJ39" s="414">
        <f t="shared" si="221"/>
        <v>3545.2265625</v>
      </c>
      <c r="CK39" s="414">
        <f t="shared" si="221"/>
        <v>3545.2265625</v>
      </c>
      <c r="CL39" s="414">
        <f t="shared" si="221"/>
        <v>3545.2265625</v>
      </c>
      <c r="CM39" s="414">
        <f t="shared" si="221"/>
        <v>3545.2265625</v>
      </c>
      <c r="CN39" s="414">
        <f t="shared" si="221"/>
        <v>3545.2265625</v>
      </c>
      <c r="CO39" s="414">
        <f t="shared" si="221"/>
        <v>3545.2265625</v>
      </c>
      <c r="CP39" s="414">
        <f t="shared" si="221"/>
        <v>3545.2265625</v>
      </c>
      <c r="CQ39" s="415">
        <f t="shared" si="221"/>
        <v>3545.2265625</v>
      </c>
      <c r="CR39" s="407"/>
      <c r="CS39" s="407"/>
      <c r="CT39" s="407">
        <f t="shared" si="7"/>
        <v>0</v>
      </c>
      <c r="CU39" s="412">
        <f>'Annexe C  Plan produit'!$H$52</f>
        <v>46082</v>
      </c>
      <c r="CV39" s="412">
        <f>'Annexe C  Plan produit'!$I$54</f>
        <v>47090.5</v>
      </c>
    </row>
    <row r="40" spans="1:100" ht="15">
      <c r="A40" s="400" t="s">
        <v>267</v>
      </c>
      <c r="B40" s="401" t="s">
        <v>83</v>
      </c>
      <c r="C40" s="401" t="s">
        <v>305</v>
      </c>
      <c r="D40" s="4"/>
      <c r="E40" s="420"/>
      <c r="F40" s="421">
        <f>'Plan stratégique  likewatt'!G40-180</f>
        <v>47701</v>
      </c>
      <c r="G40" s="403">
        <v>51161</v>
      </c>
      <c r="H40" s="404"/>
      <c r="I40" s="417">
        <v>2</v>
      </c>
      <c r="J40" s="406">
        <v>40000</v>
      </c>
      <c r="K40" s="407">
        <f t="shared" ref="K40:O40" si="222">J40*(1+5%)</f>
        <v>42000</v>
      </c>
      <c r="L40" s="407">
        <f t="shared" si="222"/>
        <v>44100</v>
      </c>
      <c r="M40" s="407">
        <f t="shared" si="222"/>
        <v>46305</v>
      </c>
      <c r="N40" s="407">
        <f t="shared" si="222"/>
        <v>48620.25</v>
      </c>
      <c r="O40" s="407">
        <f t="shared" si="222"/>
        <v>51051.262500000004</v>
      </c>
      <c r="P40" s="408">
        <v>0.15</v>
      </c>
      <c r="Q40" s="414">
        <f t="shared" ref="Q40:W40" si="223">IF($F40&lt;(Q$3+1),$J40/12,0)*IF($G40&gt;(Q$3),1,0)*$I40</f>
        <v>0</v>
      </c>
      <c r="R40" s="414">
        <f t="shared" si="223"/>
        <v>0</v>
      </c>
      <c r="S40" s="414">
        <f t="shared" si="223"/>
        <v>0</v>
      </c>
      <c r="T40" s="414">
        <f t="shared" si="223"/>
        <v>0</v>
      </c>
      <c r="U40" s="414">
        <f t="shared" si="223"/>
        <v>0</v>
      </c>
      <c r="V40" s="414">
        <f t="shared" si="223"/>
        <v>0</v>
      </c>
      <c r="W40" s="415">
        <f t="shared" si="223"/>
        <v>0</v>
      </c>
      <c r="X40" s="416">
        <f t="shared" ref="X40:BG40" si="224">IF($F40&lt;(X$3+1),$K40/12,0)*IF($G40&gt;(X$3),1,0)*$I40</f>
        <v>0</v>
      </c>
      <c r="Y40" s="414">
        <f t="shared" si="224"/>
        <v>0</v>
      </c>
      <c r="Z40" s="414">
        <f t="shared" si="224"/>
        <v>0</v>
      </c>
      <c r="AA40" s="414">
        <f t="shared" si="224"/>
        <v>0</v>
      </c>
      <c r="AB40" s="414">
        <f t="shared" si="224"/>
        <v>0</v>
      </c>
      <c r="AC40" s="414">
        <f t="shared" si="224"/>
        <v>0</v>
      </c>
      <c r="AD40" s="414">
        <f t="shared" si="224"/>
        <v>0</v>
      </c>
      <c r="AE40" s="414">
        <f t="shared" si="224"/>
        <v>0</v>
      </c>
      <c r="AF40" s="414">
        <f t="shared" si="224"/>
        <v>0</v>
      </c>
      <c r="AG40" s="414">
        <f t="shared" si="224"/>
        <v>0</v>
      </c>
      <c r="AH40" s="414">
        <f t="shared" si="224"/>
        <v>0</v>
      </c>
      <c r="AI40" s="415">
        <f t="shared" si="224"/>
        <v>0</v>
      </c>
      <c r="AJ40" s="416">
        <f t="shared" si="224"/>
        <v>0</v>
      </c>
      <c r="AK40" s="414">
        <f t="shared" si="224"/>
        <v>0</v>
      </c>
      <c r="AL40" s="414">
        <f t="shared" si="224"/>
        <v>0</v>
      </c>
      <c r="AM40" s="414">
        <f t="shared" si="224"/>
        <v>0</v>
      </c>
      <c r="AN40" s="414">
        <f t="shared" si="224"/>
        <v>0</v>
      </c>
      <c r="AO40" s="414">
        <f t="shared" si="224"/>
        <v>0</v>
      </c>
      <c r="AP40" s="414">
        <f t="shared" si="224"/>
        <v>0</v>
      </c>
      <c r="AQ40" s="414">
        <f t="shared" si="224"/>
        <v>0</v>
      </c>
      <c r="AR40" s="414">
        <f t="shared" si="224"/>
        <v>0</v>
      </c>
      <c r="AS40" s="414">
        <f t="shared" si="224"/>
        <v>0</v>
      </c>
      <c r="AT40" s="414">
        <f t="shared" si="224"/>
        <v>0</v>
      </c>
      <c r="AU40" s="415">
        <f t="shared" si="224"/>
        <v>0</v>
      </c>
      <c r="AV40" s="416">
        <f t="shared" si="224"/>
        <v>0</v>
      </c>
      <c r="AW40" s="414">
        <f t="shared" si="224"/>
        <v>0</v>
      </c>
      <c r="AX40" s="414">
        <f t="shared" si="224"/>
        <v>0</v>
      </c>
      <c r="AY40" s="414">
        <f t="shared" si="224"/>
        <v>0</v>
      </c>
      <c r="AZ40" s="414">
        <f t="shared" si="224"/>
        <v>0</v>
      </c>
      <c r="BA40" s="414">
        <f t="shared" si="224"/>
        <v>0</v>
      </c>
      <c r="BB40" s="414">
        <f t="shared" si="224"/>
        <v>0</v>
      </c>
      <c r="BC40" s="414">
        <f t="shared" si="224"/>
        <v>0</v>
      </c>
      <c r="BD40" s="414">
        <f t="shared" si="224"/>
        <v>0</v>
      </c>
      <c r="BE40" s="414">
        <f t="shared" si="224"/>
        <v>0</v>
      </c>
      <c r="BF40" s="414">
        <f t="shared" si="224"/>
        <v>0</v>
      </c>
      <c r="BG40" s="415">
        <f t="shared" si="224"/>
        <v>0</v>
      </c>
      <c r="BH40" s="416">
        <f t="shared" ref="BH40:BS40" si="225">IF($F40&lt;(BH$3+1),$L40/12,0)*IF($G40&gt;(BH$3),1,0)*$I40</f>
        <v>0</v>
      </c>
      <c r="BI40" s="414">
        <f t="shared" si="225"/>
        <v>0</v>
      </c>
      <c r="BJ40" s="414">
        <f t="shared" si="225"/>
        <v>0</v>
      </c>
      <c r="BK40" s="414">
        <f t="shared" si="225"/>
        <v>0</v>
      </c>
      <c r="BL40" s="414">
        <f t="shared" si="225"/>
        <v>0</v>
      </c>
      <c r="BM40" s="414">
        <f t="shared" si="225"/>
        <v>0</v>
      </c>
      <c r="BN40" s="414">
        <f t="shared" si="225"/>
        <v>0</v>
      </c>
      <c r="BO40" s="414">
        <f t="shared" si="225"/>
        <v>0</v>
      </c>
      <c r="BP40" s="414">
        <f t="shared" si="225"/>
        <v>0</v>
      </c>
      <c r="BQ40" s="414">
        <f t="shared" si="225"/>
        <v>0</v>
      </c>
      <c r="BR40" s="414">
        <f t="shared" si="225"/>
        <v>0</v>
      </c>
      <c r="BS40" s="415">
        <f t="shared" si="225"/>
        <v>0</v>
      </c>
      <c r="BT40" s="416">
        <f t="shared" ref="BT40:CE40" si="226">IF($F40&lt;(BT$3+1),$M40/12,0)*IF($G40&gt;(BT$3),1,0)*$I40</f>
        <v>0</v>
      </c>
      <c r="BU40" s="414">
        <f t="shared" si="226"/>
        <v>0</v>
      </c>
      <c r="BV40" s="414">
        <f t="shared" si="226"/>
        <v>0</v>
      </c>
      <c r="BW40" s="414">
        <f t="shared" si="226"/>
        <v>0</v>
      </c>
      <c r="BX40" s="414">
        <f t="shared" si="226"/>
        <v>0</v>
      </c>
      <c r="BY40" s="414">
        <f t="shared" si="226"/>
        <v>0</v>
      </c>
      <c r="BZ40" s="414">
        <f t="shared" si="226"/>
        <v>0</v>
      </c>
      <c r="CA40" s="414">
        <f t="shared" si="226"/>
        <v>0</v>
      </c>
      <c r="CB40" s="414">
        <f t="shared" si="226"/>
        <v>7717.5</v>
      </c>
      <c r="CC40" s="414">
        <f t="shared" si="226"/>
        <v>7717.5</v>
      </c>
      <c r="CD40" s="414">
        <f t="shared" si="226"/>
        <v>7717.5</v>
      </c>
      <c r="CE40" s="415">
        <f t="shared" si="226"/>
        <v>7717.5</v>
      </c>
      <c r="CF40" s="416">
        <f t="shared" ref="CF40:CQ40" si="227">IF($F40&lt;(CF$3+1),$N40/12,0)*IF($G40&gt;(CF$3),1,0)*$I40</f>
        <v>8103.375</v>
      </c>
      <c r="CG40" s="414">
        <f t="shared" si="227"/>
        <v>8103.375</v>
      </c>
      <c r="CH40" s="414">
        <f t="shared" si="227"/>
        <v>8103.375</v>
      </c>
      <c r="CI40" s="414">
        <f t="shared" si="227"/>
        <v>8103.375</v>
      </c>
      <c r="CJ40" s="414">
        <f t="shared" si="227"/>
        <v>8103.375</v>
      </c>
      <c r="CK40" s="414">
        <f t="shared" si="227"/>
        <v>8103.375</v>
      </c>
      <c r="CL40" s="414">
        <f t="shared" si="227"/>
        <v>8103.375</v>
      </c>
      <c r="CM40" s="414">
        <f t="shared" si="227"/>
        <v>8103.375</v>
      </c>
      <c r="CN40" s="414">
        <f t="shared" si="227"/>
        <v>8103.375</v>
      </c>
      <c r="CO40" s="414">
        <f t="shared" si="227"/>
        <v>8103.375</v>
      </c>
      <c r="CP40" s="414">
        <f t="shared" si="227"/>
        <v>8103.375</v>
      </c>
      <c r="CQ40" s="415">
        <f t="shared" si="227"/>
        <v>8103.375</v>
      </c>
      <c r="CR40" s="407"/>
      <c r="CS40" s="407" t="e">
        <f t="shared" ref="CS40:CS44" ca="1" si="228">SUM($Q43:$CQ43)*(1+_xludf.IFS(B40="FR",$C$99,B40="ES",$D$99,B40="CH",$E$99,B40="BE",$F$99,B40="DE",$G$99))</f>
        <v>#NAME?</v>
      </c>
      <c r="CT40" s="407">
        <f t="shared" si="7"/>
        <v>0</v>
      </c>
      <c r="CU40" s="412">
        <f>'Annexe C  Plan produit'!$H$52</f>
        <v>46082</v>
      </c>
      <c r="CV40" s="412">
        <f>'Annexe C  Plan produit'!$I$54</f>
        <v>47090.5</v>
      </c>
    </row>
    <row r="41" spans="1:100" ht="15">
      <c r="A41" s="400" t="s">
        <v>267</v>
      </c>
      <c r="B41" s="401" t="s">
        <v>83</v>
      </c>
      <c r="C41" s="401" t="s">
        <v>305</v>
      </c>
      <c r="D41" s="4"/>
      <c r="E41" s="420"/>
      <c r="F41" s="421">
        <f>'Plan stratégique  likewatt'!G40-150</f>
        <v>47731</v>
      </c>
      <c r="G41" s="403">
        <v>51161</v>
      </c>
      <c r="H41" s="404"/>
      <c r="I41" s="417">
        <v>0</v>
      </c>
      <c r="J41" s="406">
        <v>40000</v>
      </c>
      <c r="K41" s="407">
        <f t="shared" ref="K41:O41" si="229">J41*(1+5%)</f>
        <v>42000</v>
      </c>
      <c r="L41" s="407">
        <f t="shared" si="229"/>
        <v>44100</v>
      </c>
      <c r="M41" s="407">
        <f t="shared" si="229"/>
        <v>46305</v>
      </c>
      <c r="N41" s="407">
        <f t="shared" si="229"/>
        <v>48620.25</v>
      </c>
      <c r="O41" s="407">
        <f t="shared" si="229"/>
        <v>51051.262500000004</v>
      </c>
      <c r="P41" s="408">
        <v>0.15</v>
      </c>
      <c r="Q41" s="414">
        <f t="shared" ref="Q41:W41" si="230">IF($F41&lt;(Q$3+1),$J41/12,0)*IF($G41&gt;(Q$3),1,0)*$I41</f>
        <v>0</v>
      </c>
      <c r="R41" s="414">
        <f t="shared" si="230"/>
        <v>0</v>
      </c>
      <c r="S41" s="414">
        <f t="shared" si="230"/>
        <v>0</v>
      </c>
      <c r="T41" s="414">
        <f t="shared" si="230"/>
        <v>0</v>
      </c>
      <c r="U41" s="414">
        <f t="shared" si="230"/>
        <v>0</v>
      </c>
      <c r="V41" s="414">
        <f t="shared" si="230"/>
        <v>0</v>
      </c>
      <c r="W41" s="415">
        <f t="shared" si="230"/>
        <v>0</v>
      </c>
      <c r="X41" s="416">
        <f t="shared" ref="X41:BG41" si="231">IF($F41&lt;(X$3+1),$K41/12,0)*IF($G41&gt;(X$3),1,0)*$I41</f>
        <v>0</v>
      </c>
      <c r="Y41" s="414">
        <f t="shared" si="231"/>
        <v>0</v>
      </c>
      <c r="Z41" s="414">
        <f t="shared" si="231"/>
        <v>0</v>
      </c>
      <c r="AA41" s="414">
        <f t="shared" si="231"/>
        <v>0</v>
      </c>
      <c r="AB41" s="414">
        <f t="shared" si="231"/>
        <v>0</v>
      </c>
      <c r="AC41" s="414">
        <f t="shared" si="231"/>
        <v>0</v>
      </c>
      <c r="AD41" s="414">
        <f t="shared" si="231"/>
        <v>0</v>
      </c>
      <c r="AE41" s="414">
        <f t="shared" si="231"/>
        <v>0</v>
      </c>
      <c r="AF41" s="414">
        <f t="shared" si="231"/>
        <v>0</v>
      </c>
      <c r="AG41" s="414">
        <f t="shared" si="231"/>
        <v>0</v>
      </c>
      <c r="AH41" s="414">
        <f t="shared" si="231"/>
        <v>0</v>
      </c>
      <c r="AI41" s="415">
        <f t="shared" si="231"/>
        <v>0</v>
      </c>
      <c r="AJ41" s="416">
        <f t="shared" si="231"/>
        <v>0</v>
      </c>
      <c r="AK41" s="414">
        <f t="shared" si="231"/>
        <v>0</v>
      </c>
      <c r="AL41" s="414">
        <f t="shared" si="231"/>
        <v>0</v>
      </c>
      <c r="AM41" s="414">
        <f t="shared" si="231"/>
        <v>0</v>
      </c>
      <c r="AN41" s="414">
        <f t="shared" si="231"/>
        <v>0</v>
      </c>
      <c r="AO41" s="414">
        <f t="shared" si="231"/>
        <v>0</v>
      </c>
      <c r="AP41" s="414">
        <f t="shared" si="231"/>
        <v>0</v>
      </c>
      <c r="AQ41" s="414">
        <f t="shared" si="231"/>
        <v>0</v>
      </c>
      <c r="AR41" s="414">
        <f t="shared" si="231"/>
        <v>0</v>
      </c>
      <c r="AS41" s="414">
        <f t="shared" si="231"/>
        <v>0</v>
      </c>
      <c r="AT41" s="414">
        <f t="shared" si="231"/>
        <v>0</v>
      </c>
      <c r="AU41" s="415">
        <f t="shared" si="231"/>
        <v>0</v>
      </c>
      <c r="AV41" s="416">
        <f t="shared" si="231"/>
        <v>0</v>
      </c>
      <c r="AW41" s="414">
        <f t="shared" si="231"/>
        <v>0</v>
      </c>
      <c r="AX41" s="414">
        <f t="shared" si="231"/>
        <v>0</v>
      </c>
      <c r="AY41" s="414">
        <f t="shared" si="231"/>
        <v>0</v>
      </c>
      <c r="AZ41" s="414">
        <f t="shared" si="231"/>
        <v>0</v>
      </c>
      <c r="BA41" s="414">
        <f t="shared" si="231"/>
        <v>0</v>
      </c>
      <c r="BB41" s="414">
        <f t="shared" si="231"/>
        <v>0</v>
      </c>
      <c r="BC41" s="414">
        <f t="shared" si="231"/>
        <v>0</v>
      </c>
      <c r="BD41" s="414">
        <f t="shared" si="231"/>
        <v>0</v>
      </c>
      <c r="BE41" s="414">
        <f t="shared" si="231"/>
        <v>0</v>
      </c>
      <c r="BF41" s="414">
        <f t="shared" si="231"/>
        <v>0</v>
      </c>
      <c r="BG41" s="415">
        <f t="shared" si="231"/>
        <v>0</v>
      </c>
      <c r="BH41" s="416">
        <f t="shared" ref="BH41:BS41" si="232">IF($F41&lt;(BH$3+1),$L41/12,0)*IF($G41&gt;(BH$3),1,0)*$I41</f>
        <v>0</v>
      </c>
      <c r="BI41" s="414">
        <f t="shared" si="232"/>
        <v>0</v>
      </c>
      <c r="BJ41" s="414">
        <f t="shared" si="232"/>
        <v>0</v>
      </c>
      <c r="BK41" s="414">
        <f t="shared" si="232"/>
        <v>0</v>
      </c>
      <c r="BL41" s="414">
        <f t="shared" si="232"/>
        <v>0</v>
      </c>
      <c r="BM41" s="414">
        <f t="shared" si="232"/>
        <v>0</v>
      </c>
      <c r="BN41" s="414">
        <f t="shared" si="232"/>
        <v>0</v>
      </c>
      <c r="BO41" s="414">
        <f t="shared" si="232"/>
        <v>0</v>
      </c>
      <c r="BP41" s="414">
        <f t="shared" si="232"/>
        <v>0</v>
      </c>
      <c r="BQ41" s="414">
        <f t="shared" si="232"/>
        <v>0</v>
      </c>
      <c r="BR41" s="414">
        <f t="shared" si="232"/>
        <v>0</v>
      </c>
      <c r="BS41" s="415">
        <f t="shared" si="232"/>
        <v>0</v>
      </c>
      <c r="BT41" s="416">
        <f t="shared" ref="BT41:CE41" si="233">IF($F41&lt;(BT$3+1),$M41/12,0)*IF($G41&gt;(BT$3),1,0)*$I41</f>
        <v>0</v>
      </c>
      <c r="BU41" s="414">
        <f t="shared" si="233"/>
        <v>0</v>
      </c>
      <c r="BV41" s="414">
        <f t="shared" si="233"/>
        <v>0</v>
      </c>
      <c r="BW41" s="414">
        <f t="shared" si="233"/>
        <v>0</v>
      </c>
      <c r="BX41" s="414">
        <f t="shared" si="233"/>
        <v>0</v>
      </c>
      <c r="BY41" s="414">
        <f t="shared" si="233"/>
        <v>0</v>
      </c>
      <c r="BZ41" s="414">
        <f t="shared" si="233"/>
        <v>0</v>
      </c>
      <c r="CA41" s="414">
        <f t="shared" si="233"/>
        <v>0</v>
      </c>
      <c r="CB41" s="414">
        <f t="shared" si="233"/>
        <v>0</v>
      </c>
      <c r="CC41" s="414">
        <f t="shared" si="233"/>
        <v>0</v>
      </c>
      <c r="CD41" s="414">
        <f t="shared" si="233"/>
        <v>0</v>
      </c>
      <c r="CE41" s="415">
        <f t="shared" si="233"/>
        <v>0</v>
      </c>
      <c r="CF41" s="416">
        <f t="shared" ref="CF41:CQ41" si="234">IF($F41&lt;(CF$3+1),$N41/12,0)*IF($G41&gt;(CF$3),1,0)*$I41</f>
        <v>0</v>
      </c>
      <c r="CG41" s="414">
        <f t="shared" si="234"/>
        <v>0</v>
      </c>
      <c r="CH41" s="414">
        <f t="shared" si="234"/>
        <v>0</v>
      </c>
      <c r="CI41" s="414">
        <f t="shared" si="234"/>
        <v>0</v>
      </c>
      <c r="CJ41" s="414">
        <f t="shared" si="234"/>
        <v>0</v>
      </c>
      <c r="CK41" s="414">
        <f t="shared" si="234"/>
        <v>0</v>
      </c>
      <c r="CL41" s="414">
        <f t="shared" si="234"/>
        <v>0</v>
      </c>
      <c r="CM41" s="414">
        <f t="shared" si="234"/>
        <v>0</v>
      </c>
      <c r="CN41" s="414">
        <f t="shared" si="234"/>
        <v>0</v>
      </c>
      <c r="CO41" s="414">
        <f t="shared" si="234"/>
        <v>0</v>
      </c>
      <c r="CP41" s="414">
        <f t="shared" si="234"/>
        <v>0</v>
      </c>
      <c r="CQ41" s="415">
        <f t="shared" si="234"/>
        <v>0</v>
      </c>
      <c r="CR41" s="407"/>
      <c r="CS41" s="407" t="e">
        <f t="shared" ca="1" si="228"/>
        <v>#NAME?</v>
      </c>
      <c r="CT41" s="407">
        <f t="shared" si="7"/>
        <v>0</v>
      </c>
      <c r="CU41" s="412">
        <f>'Annexe C  Plan produit'!$H$52</f>
        <v>46082</v>
      </c>
      <c r="CV41" s="412">
        <f>'Annexe C  Plan produit'!$I$54</f>
        <v>47090.5</v>
      </c>
    </row>
    <row r="42" spans="1:100" ht="15">
      <c r="A42" s="400" t="s">
        <v>267</v>
      </c>
      <c r="B42" s="401" t="s">
        <v>83</v>
      </c>
      <c r="C42" s="401" t="s">
        <v>306</v>
      </c>
      <c r="D42" s="4"/>
      <c r="E42" s="420"/>
      <c r="F42" s="421">
        <f>'Plan stratégique  likewatt'!G40-120</f>
        <v>47761</v>
      </c>
      <c r="G42" s="403">
        <v>51161</v>
      </c>
      <c r="H42" s="404"/>
      <c r="I42" s="417">
        <v>1</v>
      </c>
      <c r="J42" s="406">
        <v>50000</v>
      </c>
      <c r="K42" s="407">
        <f t="shared" ref="K42:O42" si="235">J42*(1+5%)</f>
        <v>52500</v>
      </c>
      <c r="L42" s="407">
        <f t="shared" si="235"/>
        <v>55125</v>
      </c>
      <c r="M42" s="407">
        <f t="shared" si="235"/>
        <v>57881.25</v>
      </c>
      <c r="N42" s="407">
        <f t="shared" si="235"/>
        <v>60775.3125</v>
      </c>
      <c r="O42" s="407">
        <f t="shared" si="235"/>
        <v>63814.078125</v>
      </c>
      <c r="P42" s="408">
        <v>0.15</v>
      </c>
      <c r="Q42" s="414">
        <f t="shared" ref="Q42:W42" si="236">IF($F42&lt;(Q$3+1),$J42/12,0)*IF($G42&gt;(Q$3),1,0)*$I42</f>
        <v>0</v>
      </c>
      <c r="R42" s="414">
        <f t="shared" si="236"/>
        <v>0</v>
      </c>
      <c r="S42" s="414">
        <f t="shared" si="236"/>
        <v>0</v>
      </c>
      <c r="T42" s="414">
        <f t="shared" si="236"/>
        <v>0</v>
      </c>
      <c r="U42" s="414">
        <f t="shared" si="236"/>
        <v>0</v>
      </c>
      <c r="V42" s="414">
        <f t="shared" si="236"/>
        <v>0</v>
      </c>
      <c r="W42" s="415">
        <f t="shared" si="236"/>
        <v>0</v>
      </c>
      <c r="X42" s="416">
        <f t="shared" ref="X42:BG42" si="237">IF($F42&lt;(X$3+1),$K42/12,0)*IF($G42&gt;(X$3),1,0)*$I42</f>
        <v>0</v>
      </c>
      <c r="Y42" s="414">
        <f t="shared" si="237"/>
        <v>0</v>
      </c>
      <c r="Z42" s="414">
        <f t="shared" si="237"/>
        <v>0</v>
      </c>
      <c r="AA42" s="414">
        <f t="shared" si="237"/>
        <v>0</v>
      </c>
      <c r="AB42" s="414">
        <f t="shared" si="237"/>
        <v>0</v>
      </c>
      <c r="AC42" s="414">
        <f t="shared" si="237"/>
        <v>0</v>
      </c>
      <c r="AD42" s="414">
        <f t="shared" si="237"/>
        <v>0</v>
      </c>
      <c r="AE42" s="414">
        <f t="shared" si="237"/>
        <v>0</v>
      </c>
      <c r="AF42" s="414">
        <f t="shared" si="237"/>
        <v>0</v>
      </c>
      <c r="AG42" s="414">
        <f t="shared" si="237"/>
        <v>0</v>
      </c>
      <c r="AH42" s="414">
        <f t="shared" si="237"/>
        <v>0</v>
      </c>
      <c r="AI42" s="415">
        <f t="shared" si="237"/>
        <v>0</v>
      </c>
      <c r="AJ42" s="416">
        <f t="shared" si="237"/>
        <v>0</v>
      </c>
      <c r="AK42" s="414">
        <f t="shared" si="237"/>
        <v>0</v>
      </c>
      <c r="AL42" s="414">
        <f t="shared" si="237"/>
        <v>0</v>
      </c>
      <c r="AM42" s="414">
        <f t="shared" si="237"/>
        <v>0</v>
      </c>
      <c r="AN42" s="414">
        <f t="shared" si="237"/>
        <v>0</v>
      </c>
      <c r="AO42" s="414">
        <f t="shared" si="237"/>
        <v>0</v>
      </c>
      <c r="AP42" s="414">
        <f t="shared" si="237"/>
        <v>0</v>
      </c>
      <c r="AQ42" s="414">
        <f t="shared" si="237"/>
        <v>0</v>
      </c>
      <c r="AR42" s="414">
        <f t="shared" si="237"/>
        <v>0</v>
      </c>
      <c r="AS42" s="414">
        <f t="shared" si="237"/>
        <v>0</v>
      </c>
      <c r="AT42" s="414">
        <f t="shared" si="237"/>
        <v>0</v>
      </c>
      <c r="AU42" s="415">
        <f t="shared" si="237"/>
        <v>0</v>
      </c>
      <c r="AV42" s="416">
        <f t="shared" si="237"/>
        <v>0</v>
      </c>
      <c r="AW42" s="414">
        <f t="shared" si="237"/>
        <v>0</v>
      </c>
      <c r="AX42" s="414">
        <f t="shared" si="237"/>
        <v>0</v>
      </c>
      <c r="AY42" s="414">
        <f t="shared" si="237"/>
        <v>0</v>
      </c>
      <c r="AZ42" s="414">
        <f t="shared" si="237"/>
        <v>0</v>
      </c>
      <c r="BA42" s="414">
        <f t="shared" si="237"/>
        <v>0</v>
      </c>
      <c r="BB42" s="414">
        <f t="shared" si="237"/>
        <v>0</v>
      </c>
      <c r="BC42" s="414">
        <f t="shared" si="237"/>
        <v>0</v>
      </c>
      <c r="BD42" s="414">
        <f t="shared" si="237"/>
        <v>0</v>
      </c>
      <c r="BE42" s="414">
        <f t="shared" si="237"/>
        <v>0</v>
      </c>
      <c r="BF42" s="414">
        <f t="shared" si="237"/>
        <v>0</v>
      </c>
      <c r="BG42" s="415">
        <f t="shared" si="237"/>
        <v>0</v>
      </c>
      <c r="BH42" s="416">
        <f t="shared" ref="BH42:BS42" si="238">IF($F42&lt;(BH$3+1),$L42/12,0)*IF($G42&gt;(BH$3),1,0)*$I42</f>
        <v>0</v>
      </c>
      <c r="BI42" s="414">
        <f t="shared" si="238"/>
        <v>0</v>
      </c>
      <c r="BJ42" s="414">
        <f t="shared" si="238"/>
        <v>0</v>
      </c>
      <c r="BK42" s="414">
        <f t="shared" si="238"/>
        <v>0</v>
      </c>
      <c r="BL42" s="414">
        <f t="shared" si="238"/>
        <v>0</v>
      </c>
      <c r="BM42" s="414">
        <f t="shared" si="238"/>
        <v>0</v>
      </c>
      <c r="BN42" s="414">
        <f t="shared" si="238"/>
        <v>0</v>
      </c>
      <c r="BO42" s="414">
        <f t="shared" si="238"/>
        <v>0</v>
      </c>
      <c r="BP42" s="414">
        <f t="shared" si="238"/>
        <v>0</v>
      </c>
      <c r="BQ42" s="414">
        <f t="shared" si="238"/>
        <v>0</v>
      </c>
      <c r="BR42" s="414">
        <f t="shared" si="238"/>
        <v>0</v>
      </c>
      <c r="BS42" s="415">
        <f t="shared" si="238"/>
        <v>0</v>
      </c>
      <c r="BT42" s="416">
        <f t="shared" ref="BT42:CE42" si="239">IF($F42&lt;(BT$3+1),$M42/12,0)*IF($G42&gt;(BT$3),1,0)*$I42</f>
        <v>0</v>
      </c>
      <c r="BU42" s="414">
        <f t="shared" si="239"/>
        <v>0</v>
      </c>
      <c r="BV42" s="414">
        <f t="shared" si="239"/>
        <v>0</v>
      </c>
      <c r="BW42" s="414">
        <f t="shared" si="239"/>
        <v>0</v>
      </c>
      <c r="BX42" s="414">
        <f t="shared" si="239"/>
        <v>0</v>
      </c>
      <c r="BY42" s="414">
        <f t="shared" si="239"/>
        <v>0</v>
      </c>
      <c r="BZ42" s="414">
        <f t="shared" si="239"/>
        <v>0</v>
      </c>
      <c r="CA42" s="414">
        <f t="shared" si="239"/>
        <v>0</v>
      </c>
      <c r="CB42" s="414">
        <f t="shared" si="239"/>
        <v>0</v>
      </c>
      <c r="CC42" s="414">
        <f t="shared" si="239"/>
        <v>0</v>
      </c>
      <c r="CD42" s="414">
        <f t="shared" si="239"/>
        <v>4823.4375</v>
      </c>
      <c r="CE42" s="415">
        <f t="shared" si="239"/>
        <v>4823.4375</v>
      </c>
      <c r="CF42" s="416">
        <f t="shared" ref="CF42:CQ42" si="240">IF($F42&lt;(CF$3+1),$N42/12,0)*IF($G42&gt;(CF$3),1,0)*$I42</f>
        <v>5064.609375</v>
      </c>
      <c r="CG42" s="414">
        <f t="shared" si="240"/>
        <v>5064.609375</v>
      </c>
      <c r="CH42" s="414">
        <f t="shared" si="240"/>
        <v>5064.609375</v>
      </c>
      <c r="CI42" s="414">
        <f t="shared" si="240"/>
        <v>5064.609375</v>
      </c>
      <c r="CJ42" s="414">
        <f t="shared" si="240"/>
        <v>5064.609375</v>
      </c>
      <c r="CK42" s="414">
        <f t="shared" si="240"/>
        <v>5064.609375</v>
      </c>
      <c r="CL42" s="414">
        <f t="shared" si="240"/>
        <v>5064.609375</v>
      </c>
      <c r="CM42" s="414">
        <f t="shared" si="240"/>
        <v>5064.609375</v>
      </c>
      <c r="CN42" s="414">
        <f t="shared" si="240"/>
        <v>5064.609375</v>
      </c>
      <c r="CO42" s="414">
        <f t="shared" si="240"/>
        <v>5064.609375</v>
      </c>
      <c r="CP42" s="414">
        <f t="shared" si="240"/>
        <v>5064.609375</v>
      </c>
      <c r="CQ42" s="415">
        <f t="shared" si="240"/>
        <v>5064.609375</v>
      </c>
      <c r="CR42" s="407"/>
      <c r="CS42" s="407" t="e">
        <f t="shared" ca="1" si="228"/>
        <v>#NAME?</v>
      </c>
      <c r="CT42" s="407">
        <f t="shared" si="7"/>
        <v>0</v>
      </c>
      <c r="CU42" s="412">
        <f>'Annexe C  Plan produit'!$H$52</f>
        <v>46082</v>
      </c>
      <c r="CV42" s="412">
        <f>'Annexe C  Plan produit'!$I$54</f>
        <v>47090.5</v>
      </c>
    </row>
    <row r="43" spans="1:100" ht="15">
      <c r="A43" s="400" t="s">
        <v>279</v>
      </c>
      <c r="B43" s="401" t="s">
        <v>83</v>
      </c>
      <c r="C43" s="401" t="s">
        <v>307</v>
      </c>
      <c r="D43" s="4"/>
      <c r="E43" s="422"/>
      <c r="F43" s="421">
        <f>'Plan stratégique  likewatt'!C$43+9*30.5</f>
        <v>47789.5</v>
      </c>
      <c r="G43" s="403">
        <v>51161</v>
      </c>
      <c r="H43" s="404"/>
      <c r="I43" s="405">
        <v>1</v>
      </c>
      <c r="J43" s="406">
        <v>40000</v>
      </c>
      <c r="K43" s="407">
        <f t="shared" ref="K43:O43" si="241">J43*(1+5%)</f>
        <v>42000</v>
      </c>
      <c r="L43" s="407">
        <f t="shared" si="241"/>
        <v>44100</v>
      </c>
      <c r="M43" s="407">
        <f t="shared" si="241"/>
        <v>46305</v>
      </c>
      <c r="N43" s="407">
        <f t="shared" si="241"/>
        <v>48620.25</v>
      </c>
      <c r="O43" s="407">
        <f t="shared" si="241"/>
        <v>51051.262500000004</v>
      </c>
      <c r="P43" s="408">
        <v>0.15</v>
      </c>
      <c r="Q43" s="414">
        <f t="shared" ref="Q43:W43" si="242">IF($F43&lt;(Q$3+1),$J43/12,0)*IF($G43&gt;(Q$3),1,0)*$I43</f>
        <v>0</v>
      </c>
      <c r="R43" s="414">
        <f t="shared" si="242"/>
        <v>0</v>
      </c>
      <c r="S43" s="414">
        <f t="shared" si="242"/>
        <v>0</v>
      </c>
      <c r="T43" s="414">
        <f t="shared" si="242"/>
        <v>0</v>
      </c>
      <c r="U43" s="414">
        <f t="shared" si="242"/>
        <v>0</v>
      </c>
      <c r="V43" s="414">
        <f t="shared" si="242"/>
        <v>0</v>
      </c>
      <c r="W43" s="415">
        <f t="shared" si="242"/>
        <v>0</v>
      </c>
      <c r="X43" s="416">
        <f t="shared" ref="X43:BG43" si="243">IF($F43&lt;(X$3+1),$K43/12,0)*IF($G43&gt;(X$3),1,0)*$I43</f>
        <v>0</v>
      </c>
      <c r="Y43" s="414">
        <f t="shared" si="243"/>
        <v>0</v>
      </c>
      <c r="Z43" s="414">
        <f t="shared" si="243"/>
        <v>0</v>
      </c>
      <c r="AA43" s="414">
        <f t="shared" si="243"/>
        <v>0</v>
      </c>
      <c r="AB43" s="414">
        <f t="shared" si="243"/>
        <v>0</v>
      </c>
      <c r="AC43" s="414">
        <f t="shared" si="243"/>
        <v>0</v>
      </c>
      <c r="AD43" s="414">
        <f t="shared" si="243"/>
        <v>0</v>
      </c>
      <c r="AE43" s="414">
        <f t="shared" si="243"/>
        <v>0</v>
      </c>
      <c r="AF43" s="414">
        <f t="shared" si="243"/>
        <v>0</v>
      </c>
      <c r="AG43" s="414">
        <f t="shared" si="243"/>
        <v>0</v>
      </c>
      <c r="AH43" s="414">
        <f t="shared" si="243"/>
        <v>0</v>
      </c>
      <c r="AI43" s="415">
        <f t="shared" si="243"/>
        <v>0</v>
      </c>
      <c r="AJ43" s="416">
        <f t="shared" si="243"/>
        <v>0</v>
      </c>
      <c r="AK43" s="414">
        <f t="shared" si="243"/>
        <v>0</v>
      </c>
      <c r="AL43" s="414">
        <f t="shared" si="243"/>
        <v>0</v>
      </c>
      <c r="AM43" s="414">
        <f t="shared" si="243"/>
        <v>0</v>
      </c>
      <c r="AN43" s="414">
        <f t="shared" si="243"/>
        <v>0</v>
      </c>
      <c r="AO43" s="414">
        <f t="shared" si="243"/>
        <v>0</v>
      </c>
      <c r="AP43" s="414">
        <f t="shared" si="243"/>
        <v>0</v>
      </c>
      <c r="AQ43" s="414">
        <f t="shared" si="243"/>
        <v>0</v>
      </c>
      <c r="AR43" s="414">
        <f t="shared" si="243"/>
        <v>0</v>
      </c>
      <c r="AS43" s="414">
        <f t="shared" si="243"/>
        <v>0</v>
      </c>
      <c r="AT43" s="414">
        <f t="shared" si="243"/>
        <v>0</v>
      </c>
      <c r="AU43" s="415">
        <f t="shared" si="243"/>
        <v>0</v>
      </c>
      <c r="AV43" s="416">
        <f t="shared" si="243"/>
        <v>0</v>
      </c>
      <c r="AW43" s="414">
        <f t="shared" si="243"/>
        <v>0</v>
      </c>
      <c r="AX43" s="414">
        <f t="shared" si="243"/>
        <v>0</v>
      </c>
      <c r="AY43" s="414">
        <f t="shared" si="243"/>
        <v>0</v>
      </c>
      <c r="AZ43" s="414">
        <f t="shared" si="243"/>
        <v>0</v>
      </c>
      <c r="BA43" s="414">
        <f t="shared" si="243"/>
        <v>0</v>
      </c>
      <c r="BB43" s="414">
        <f t="shared" si="243"/>
        <v>0</v>
      </c>
      <c r="BC43" s="414">
        <f t="shared" si="243"/>
        <v>0</v>
      </c>
      <c r="BD43" s="414">
        <f t="shared" si="243"/>
        <v>0</v>
      </c>
      <c r="BE43" s="414">
        <f t="shared" si="243"/>
        <v>0</v>
      </c>
      <c r="BF43" s="414">
        <f t="shared" si="243"/>
        <v>0</v>
      </c>
      <c r="BG43" s="415">
        <f t="shared" si="243"/>
        <v>0</v>
      </c>
      <c r="BH43" s="416">
        <f t="shared" ref="BH43:BS43" si="244">IF($F43&lt;(BH$3+1),$L43/12,0)*IF($G43&gt;(BH$3),1,0)*$I43</f>
        <v>0</v>
      </c>
      <c r="BI43" s="414">
        <f t="shared" si="244"/>
        <v>0</v>
      </c>
      <c r="BJ43" s="414">
        <f t="shared" si="244"/>
        <v>0</v>
      </c>
      <c r="BK43" s="414">
        <f t="shared" si="244"/>
        <v>0</v>
      </c>
      <c r="BL43" s="414">
        <f t="shared" si="244"/>
        <v>0</v>
      </c>
      <c r="BM43" s="414">
        <f t="shared" si="244"/>
        <v>0</v>
      </c>
      <c r="BN43" s="414">
        <f t="shared" si="244"/>
        <v>0</v>
      </c>
      <c r="BO43" s="414">
        <f t="shared" si="244"/>
        <v>0</v>
      </c>
      <c r="BP43" s="414">
        <f t="shared" si="244"/>
        <v>0</v>
      </c>
      <c r="BQ43" s="414">
        <f t="shared" si="244"/>
        <v>0</v>
      </c>
      <c r="BR43" s="414">
        <f t="shared" si="244"/>
        <v>0</v>
      </c>
      <c r="BS43" s="415">
        <f t="shared" si="244"/>
        <v>0</v>
      </c>
      <c r="BT43" s="416">
        <f t="shared" ref="BT43:CE43" si="245">IF($F43&lt;(BT$3+1),$M43/12,0)*IF($G43&gt;(BT$3),1,0)*$I43</f>
        <v>0</v>
      </c>
      <c r="BU43" s="414">
        <f t="shared" si="245"/>
        <v>0</v>
      </c>
      <c r="BV43" s="414">
        <f t="shared" si="245"/>
        <v>0</v>
      </c>
      <c r="BW43" s="414">
        <f t="shared" si="245"/>
        <v>0</v>
      </c>
      <c r="BX43" s="414">
        <f t="shared" si="245"/>
        <v>0</v>
      </c>
      <c r="BY43" s="414">
        <f t="shared" si="245"/>
        <v>0</v>
      </c>
      <c r="BZ43" s="414">
        <f t="shared" si="245"/>
        <v>0</v>
      </c>
      <c r="CA43" s="414">
        <f t="shared" si="245"/>
        <v>0</v>
      </c>
      <c r="CB43" s="414">
        <f t="shared" si="245"/>
        <v>0</v>
      </c>
      <c r="CC43" s="414">
        <f t="shared" si="245"/>
        <v>0</v>
      </c>
      <c r="CD43" s="414">
        <f t="shared" si="245"/>
        <v>0</v>
      </c>
      <c r="CE43" s="415">
        <f t="shared" si="245"/>
        <v>3858.75</v>
      </c>
      <c r="CF43" s="416">
        <f t="shared" ref="CF43:CQ43" si="246">IF($F43&lt;(CF$3+1),$N43/12,0)*IF($G43&gt;(CF$3),1,0)*$I43</f>
        <v>4051.6875</v>
      </c>
      <c r="CG43" s="414">
        <f t="shared" si="246"/>
        <v>4051.6875</v>
      </c>
      <c r="CH43" s="414">
        <f t="shared" si="246"/>
        <v>4051.6875</v>
      </c>
      <c r="CI43" s="414">
        <f t="shared" si="246"/>
        <v>4051.6875</v>
      </c>
      <c r="CJ43" s="414">
        <f t="shared" si="246"/>
        <v>4051.6875</v>
      </c>
      <c r="CK43" s="414">
        <f t="shared" si="246"/>
        <v>4051.6875</v>
      </c>
      <c r="CL43" s="414">
        <f t="shared" si="246"/>
        <v>4051.6875</v>
      </c>
      <c r="CM43" s="414">
        <f t="shared" si="246"/>
        <v>4051.6875</v>
      </c>
      <c r="CN43" s="414">
        <f t="shared" si="246"/>
        <v>4051.6875</v>
      </c>
      <c r="CO43" s="414">
        <f t="shared" si="246"/>
        <v>4051.6875</v>
      </c>
      <c r="CP43" s="414">
        <f t="shared" si="246"/>
        <v>4051.6875</v>
      </c>
      <c r="CQ43" s="415">
        <f t="shared" si="246"/>
        <v>4051.6875</v>
      </c>
      <c r="CR43" s="407"/>
      <c r="CS43" s="407" t="e">
        <f t="shared" ca="1" si="228"/>
        <v>#NAME?</v>
      </c>
      <c r="CT43" s="407">
        <f t="shared" si="7"/>
        <v>0</v>
      </c>
      <c r="CU43" s="412">
        <f>'Annexe C  Plan produit'!$H$52</f>
        <v>46082</v>
      </c>
      <c r="CV43" s="412">
        <f>'Annexe C  Plan produit'!$I$54</f>
        <v>47090.5</v>
      </c>
    </row>
    <row r="44" spans="1:100" ht="15">
      <c r="A44" s="400" t="s">
        <v>279</v>
      </c>
      <c r="B44" s="401" t="s">
        <v>83</v>
      </c>
      <c r="C44" s="401" t="s">
        <v>308</v>
      </c>
      <c r="D44" s="4"/>
      <c r="E44" s="420"/>
      <c r="F44" s="421">
        <f>'Plan stratégique  likewatt'!C$43+9*30.5</f>
        <v>47789.5</v>
      </c>
      <c r="G44" s="403">
        <v>51161</v>
      </c>
      <c r="H44" s="404"/>
      <c r="I44" s="405">
        <v>1</v>
      </c>
      <c r="J44" s="406">
        <v>60000</v>
      </c>
      <c r="K44" s="407">
        <f t="shared" ref="K44:O44" si="247">J44*(1+5%)</f>
        <v>63000</v>
      </c>
      <c r="L44" s="407">
        <f t="shared" si="247"/>
        <v>66150</v>
      </c>
      <c r="M44" s="407">
        <f t="shared" si="247"/>
        <v>69457.5</v>
      </c>
      <c r="N44" s="407">
        <f t="shared" si="247"/>
        <v>72930.375</v>
      </c>
      <c r="O44" s="407">
        <f t="shared" si="247"/>
        <v>76576.893750000003</v>
      </c>
      <c r="P44" s="408">
        <v>0.15</v>
      </c>
      <c r="Q44" s="414">
        <f t="shared" ref="Q44:W44" si="248">IF($F44&lt;(Q$3+1),$J44/12,0)*IF($G44&gt;(Q$3),1,0)*$I44</f>
        <v>0</v>
      </c>
      <c r="R44" s="414">
        <f t="shared" si="248"/>
        <v>0</v>
      </c>
      <c r="S44" s="414">
        <f t="shared" si="248"/>
        <v>0</v>
      </c>
      <c r="T44" s="414">
        <f t="shared" si="248"/>
        <v>0</v>
      </c>
      <c r="U44" s="414">
        <f t="shared" si="248"/>
        <v>0</v>
      </c>
      <c r="V44" s="414">
        <f t="shared" si="248"/>
        <v>0</v>
      </c>
      <c r="W44" s="415">
        <f t="shared" si="248"/>
        <v>0</v>
      </c>
      <c r="X44" s="416">
        <f t="shared" ref="X44:BG44" si="249">IF($F44&lt;(X$3+1),$K44/12,0)*IF($G44&gt;(X$3),1,0)*$I44</f>
        <v>0</v>
      </c>
      <c r="Y44" s="414">
        <f t="shared" si="249"/>
        <v>0</v>
      </c>
      <c r="Z44" s="414">
        <f t="shared" si="249"/>
        <v>0</v>
      </c>
      <c r="AA44" s="414">
        <f t="shared" si="249"/>
        <v>0</v>
      </c>
      <c r="AB44" s="414">
        <f t="shared" si="249"/>
        <v>0</v>
      </c>
      <c r="AC44" s="414">
        <f t="shared" si="249"/>
        <v>0</v>
      </c>
      <c r="AD44" s="414">
        <f t="shared" si="249"/>
        <v>0</v>
      </c>
      <c r="AE44" s="414">
        <f t="shared" si="249"/>
        <v>0</v>
      </c>
      <c r="AF44" s="414">
        <f t="shared" si="249"/>
        <v>0</v>
      </c>
      <c r="AG44" s="414">
        <f t="shared" si="249"/>
        <v>0</v>
      </c>
      <c r="AH44" s="414">
        <f t="shared" si="249"/>
        <v>0</v>
      </c>
      <c r="AI44" s="415">
        <f t="shared" si="249"/>
        <v>0</v>
      </c>
      <c r="AJ44" s="416">
        <f t="shared" si="249"/>
        <v>0</v>
      </c>
      <c r="AK44" s="414">
        <f t="shared" si="249"/>
        <v>0</v>
      </c>
      <c r="AL44" s="414">
        <f t="shared" si="249"/>
        <v>0</v>
      </c>
      <c r="AM44" s="414">
        <f t="shared" si="249"/>
        <v>0</v>
      </c>
      <c r="AN44" s="414">
        <f t="shared" si="249"/>
        <v>0</v>
      </c>
      <c r="AO44" s="414">
        <f t="shared" si="249"/>
        <v>0</v>
      </c>
      <c r="AP44" s="414">
        <f t="shared" si="249"/>
        <v>0</v>
      </c>
      <c r="AQ44" s="414">
        <f t="shared" si="249"/>
        <v>0</v>
      </c>
      <c r="AR44" s="414">
        <f t="shared" si="249"/>
        <v>0</v>
      </c>
      <c r="AS44" s="414">
        <f t="shared" si="249"/>
        <v>0</v>
      </c>
      <c r="AT44" s="414">
        <f t="shared" si="249"/>
        <v>0</v>
      </c>
      <c r="AU44" s="415">
        <f t="shared" si="249"/>
        <v>0</v>
      </c>
      <c r="AV44" s="416">
        <f t="shared" si="249"/>
        <v>0</v>
      </c>
      <c r="AW44" s="414">
        <f t="shared" si="249"/>
        <v>0</v>
      </c>
      <c r="AX44" s="414">
        <f t="shared" si="249"/>
        <v>0</v>
      </c>
      <c r="AY44" s="414">
        <f t="shared" si="249"/>
        <v>0</v>
      </c>
      <c r="AZ44" s="414">
        <f t="shared" si="249"/>
        <v>0</v>
      </c>
      <c r="BA44" s="414">
        <f t="shared" si="249"/>
        <v>0</v>
      </c>
      <c r="BB44" s="414">
        <f t="shared" si="249"/>
        <v>0</v>
      </c>
      <c r="BC44" s="414">
        <f t="shared" si="249"/>
        <v>0</v>
      </c>
      <c r="BD44" s="414">
        <f t="shared" si="249"/>
        <v>0</v>
      </c>
      <c r="BE44" s="414">
        <f t="shared" si="249"/>
        <v>0</v>
      </c>
      <c r="BF44" s="414">
        <f t="shared" si="249"/>
        <v>0</v>
      </c>
      <c r="BG44" s="415">
        <f t="shared" si="249"/>
        <v>0</v>
      </c>
      <c r="BH44" s="416">
        <f t="shared" ref="BH44:BS44" si="250">IF($F44&lt;(BH$3+1),$L44/12,0)*IF($G44&gt;(BH$3),1,0)*$I44</f>
        <v>0</v>
      </c>
      <c r="BI44" s="414">
        <f t="shared" si="250"/>
        <v>0</v>
      </c>
      <c r="BJ44" s="414">
        <f t="shared" si="250"/>
        <v>0</v>
      </c>
      <c r="BK44" s="414">
        <f t="shared" si="250"/>
        <v>0</v>
      </c>
      <c r="BL44" s="414">
        <f t="shared" si="250"/>
        <v>0</v>
      </c>
      <c r="BM44" s="414">
        <f t="shared" si="250"/>
        <v>0</v>
      </c>
      <c r="BN44" s="414">
        <f t="shared" si="250"/>
        <v>0</v>
      </c>
      <c r="BO44" s="414">
        <f t="shared" si="250"/>
        <v>0</v>
      </c>
      <c r="BP44" s="414">
        <f t="shared" si="250"/>
        <v>0</v>
      </c>
      <c r="BQ44" s="414">
        <f t="shared" si="250"/>
        <v>0</v>
      </c>
      <c r="BR44" s="414">
        <f t="shared" si="250"/>
        <v>0</v>
      </c>
      <c r="BS44" s="415">
        <f t="shared" si="250"/>
        <v>0</v>
      </c>
      <c r="BT44" s="416">
        <f t="shared" ref="BT44:CE44" si="251">IF($F44&lt;(BT$3+1),$M44/12,0)*IF($G44&gt;(BT$3),1,0)*$I44</f>
        <v>0</v>
      </c>
      <c r="BU44" s="414">
        <f t="shared" si="251"/>
        <v>0</v>
      </c>
      <c r="BV44" s="414">
        <f t="shared" si="251"/>
        <v>0</v>
      </c>
      <c r="BW44" s="414">
        <f t="shared" si="251"/>
        <v>0</v>
      </c>
      <c r="BX44" s="414">
        <f t="shared" si="251"/>
        <v>0</v>
      </c>
      <c r="BY44" s="414">
        <f t="shared" si="251"/>
        <v>0</v>
      </c>
      <c r="BZ44" s="414">
        <f t="shared" si="251"/>
        <v>0</v>
      </c>
      <c r="CA44" s="414">
        <f t="shared" si="251"/>
        <v>0</v>
      </c>
      <c r="CB44" s="414">
        <f t="shared" si="251"/>
        <v>0</v>
      </c>
      <c r="CC44" s="414">
        <f t="shared" si="251"/>
        <v>0</v>
      </c>
      <c r="CD44" s="414">
        <f t="shared" si="251"/>
        <v>0</v>
      </c>
      <c r="CE44" s="415">
        <f t="shared" si="251"/>
        <v>5788.125</v>
      </c>
      <c r="CF44" s="416">
        <f t="shared" ref="CF44:CQ44" si="252">IF($F44&lt;(CF$3+1),$N44/12,0)*IF($G44&gt;(CF$3),1,0)*$I44</f>
        <v>6077.53125</v>
      </c>
      <c r="CG44" s="414">
        <f t="shared" si="252"/>
        <v>6077.53125</v>
      </c>
      <c r="CH44" s="414">
        <f t="shared" si="252"/>
        <v>6077.53125</v>
      </c>
      <c r="CI44" s="414">
        <f t="shared" si="252"/>
        <v>6077.53125</v>
      </c>
      <c r="CJ44" s="414">
        <f t="shared" si="252"/>
        <v>6077.53125</v>
      </c>
      <c r="CK44" s="414">
        <f t="shared" si="252"/>
        <v>6077.53125</v>
      </c>
      <c r="CL44" s="414">
        <f t="shared" si="252"/>
        <v>6077.53125</v>
      </c>
      <c r="CM44" s="414">
        <f t="shared" si="252"/>
        <v>6077.53125</v>
      </c>
      <c r="CN44" s="414">
        <f t="shared" si="252"/>
        <v>6077.53125</v>
      </c>
      <c r="CO44" s="414">
        <f t="shared" si="252"/>
        <v>6077.53125</v>
      </c>
      <c r="CP44" s="414">
        <f t="shared" si="252"/>
        <v>6077.53125</v>
      </c>
      <c r="CQ44" s="415">
        <f t="shared" si="252"/>
        <v>6077.53125</v>
      </c>
      <c r="CR44" s="407"/>
      <c r="CS44" s="407" t="e">
        <f t="shared" ca="1" si="228"/>
        <v>#NAME?</v>
      </c>
      <c r="CT44" s="407">
        <f t="shared" si="7"/>
        <v>0</v>
      </c>
      <c r="CU44" s="412">
        <f>'Annexe C  Plan produit'!$H$52</f>
        <v>46082</v>
      </c>
      <c r="CV44" s="412">
        <f>'Annexe C  Plan produit'!$I$54</f>
        <v>47090.5</v>
      </c>
    </row>
    <row r="45" spans="1:100" ht="15">
      <c r="A45" s="400" t="s">
        <v>276</v>
      </c>
      <c r="B45" s="401" t="s">
        <v>84</v>
      </c>
      <c r="C45" s="11" t="s">
        <v>277</v>
      </c>
      <c r="D45" s="4"/>
      <c r="E45" s="420"/>
      <c r="F45" s="421">
        <f>'Plan stratégique  likewatt'!G39+24*30.5</f>
        <v>48247</v>
      </c>
      <c r="G45" s="403">
        <v>51161</v>
      </c>
      <c r="H45" s="404"/>
      <c r="I45" s="417">
        <v>2</v>
      </c>
      <c r="J45" s="406">
        <v>30000</v>
      </c>
      <c r="K45" s="407">
        <f t="shared" ref="K45:O45" si="253">J45*(1+5%)</f>
        <v>31500</v>
      </c>
      <c r="L45" s="407">
        <f t="shared" si="253"/>
        <v>33075</v>
      </c>
      <c r="M45" s="407">
        <f t="shared" si="253"/>
        <v>34728.75</v>
      </c>
      <c r="N45" s="407">
        <f t="shared" si="253"/>
        <v>36465.1875</v>
      </c>
      <c r="O45" s="407">
        <f t="shared" si="253"/>
        <v>38288.446875000001</v>
      </c>
      <c r="P45" s="408">
        <v>0.15</v>
      </c>
      <c r="Q45" s="414">
        <f t="shared" ref="Q45:W45" si="254">IF($F45&lt;(Q$3+1),$J45/12,0)*IF($G45&gt;(Q$3),1,0)*$I45</f>
        <v>0</v>
      </c>
      <c r="R45" s="414">
        <f t="shared" si="254"/>
        <v>0</v>
      </c>
      <c r="S45" s="414">
        <f t="shared" si="254"/>
        <v>0</v>
      </c>
      <c r="T45" s="414">
        <f t="shared" si="254"/>
        <v>0</v>
      </c>
      <c r="U45" s="414">
        <f t="shared" si="254"/>
        <v>0</v>
      </c>
      <c r="V45" s="414">
        <f t="shared" si="254"/>
        <v>0</v>
      </c>
      <c r="W45" s="415">
        <f t="shared" si="254"/>
        <v>0</v>
      </c>
      <c r="X45" s="416">
        <f t="shared" ref="X45:BG45" si="255">IF($F45&lt;(X$3+1),$K45/12,0)*IF($G45&gt;(X$3),1,0)*$I45</f>
        <v>0</v>
      </c>
      <c r="Y45" s="414">
        <f t="shared" si="255"/>
        <v>0</v>
      </c>
      <c r="Z45" s="414">
        <f t="shared" si="255"/>
        <v>0</v>
      </c>
      <c r="AA45" s="414">
        <f t="shared" si="255"/>
        <v>0</v>
      </c>
      <c r="AB45" s="414">
        <f t="shared" si="255"/>
        <v>0</v>
      </c>
      <c r="AC45" s="414">
        <f t="shared" si="255"/>
        <v>0</v>
      </c>
      <c r="AD45" s="414">
        <f t="shared" si="255"/>
        <v>0</v>
      </c>
      <c r="AE45" s="414">
        <f t="shared" si="255"/>
        <v>0</v>
      </c>
      <c r="AF45" s="414">
        <f t="shared" si="255"/>
        <v>0</v>
      </c>
      <c r="AG45" s="414">
        <f t="shared" si="255"/>
        <v>0</v>
      </c>
      <c r="AH45" s="414">
        <f t="shared" si="255"/>
        <v>0</v>
      </c>
      <c r="AI45" s="415">
        <f t="shared" si="255"/>
        <v>0</v>
      </c>
      <c r="AJ45" s="416">
        <f t="shared" si="255"/>
        <v>0</v>
      </c>
      <c r="AK45" s="414">
        <f t="shared" si="255"/>
        <v>0</v>
      </c>
      <c r="AL45" s="414">
        <f t="shared" si="255"/>
        <v>0</v>
      </c>
      <c r="AM45" s="414">
        <f t="shared" si="255"/>
        <v>0</v>
      </c>
      <c r="AN45" s="414">
        <f t="shared" si="255"/>
        <v>0</v>
      </c>
      <c r="AO45" s="414">
        <f t="shared" si="255"/>
        <v>0</v>
      </c>
      <c r="AP45" s="414">
        <f t="shared" si="255"/>
        <v>0</v>
      </c>
      <c r="AQ45" s="414">
        <f t="shared" si="255"/>
        <v>0</v>
      </c>
      <c r="AR45" s="414">
        <f t="shared" si="255"/>
        <v>0</v>
      </c>
      <c r="AS45" s="414">
        <f t="shared" si="255"/>
        <v>0</v>
      </c>
      <c r="AT45" s="414">
        <f t="shared" si="255"/>
        <v>0</v>
      </c>
      <c r="AU45" s="415">
        <f t="shared" si="255"/>
        <v>0</v>
      </c>
      <c r="AV45" s="416">
        <f t="shared" si="255"/>
        <v>0</v>
      </c>
      <c r="AW45" s="414">
        <f t="shared" si="255"/>
        <v>0</v>
      </c>
      <c r="AX45" s="414">
        <f t="shared" si="255"/>
        <v>0</v>
      </c>
      <c r="AY45" s="414">
        <f t="shared" si="255"/>
        <v>0</v>
      </c>
      <c r="AZ45" s="414">
        <f t="shared" si="255"/>
        <v>0</v>
      </c>
      <c r="BA45" s="414">
        <f t="shared" si="255"/>
        <v>0</v>
      </c>
      <c r="BB45" s="414">
        <f t="shared" si="255"/>
        <v>0</v>
      </c>
      <c r="BC45" s="414">
        <f t="shared" si="255"/>
        <v>0</v>
      </c>
      <c r="BD45" s="414">
        <f t="shared" si="255"/>
        <v>0</v>
      </c>
      <c r="BE45" s="414">
        <f t="shared" si="255"/>
        <v>0</v>
      </c>
      <c r="BF45" s="414">
        <f t="shared" si="255"/>
        <v>0</v>
      </c>
      <c r="BG45" s="415">
        <f t="shared" si="255"/>
        <v>0</v>
      </c>
      <c r="BH45" s="416">
        <f t="shared" ref="BH45:BS45" si="256">IF($F45&lt;(BH$3+1),$L45/12,0)*IF($G45&gt;(BH$3),1,0)*$I45</f>
        <v>0</v>
      </c>
      <c r="BI45" s="414">
        <f t="shared" si="256"/>
        <v>0</v>
      </c>
      <c r="BJ45" s="414">
        <f t="shared" si="256"/>
        <v>0</v>
      </c>
      <c r="BK45" s="414">
        <f t="shared" si="256"/>
        <v>0</v>
      </c>
      <c r="BL45" s="414">
        <f t="shared" si="256"/>
        <v>0</v>
      </c>
      <c r="BM45" s="414">
        <f t="shared" si="256"/>
        <v>0</v>
      </c>
      <c r="BN45" s="414">
        <f t="shared" si="256"/>
        <v>0</v>
      </c>
      <c r="BO45" s="414">
        <f t="shared" si="256"/>
        <v>0</v>
      </c>
      <c r="BP45" s="414">
        <f t="shared" si="256"/>
        <v>0</v>
      </c>
      <c r="BQ45" s="414">
        <f t="shared" si="256"/>
        <v>0</v>
      </c>
      <c r="BR45" s="414">
        <f t="shared" si="256"/>
        <v>0</v>
      </c>
      <c r="BS45" s="415">
        <f t="shared" si="256"/>
        <v>0</v>
      </c>
      <c r="BT45" s="416">
        <f t="shared" ref="BT45:CE45" si="257">IF($F45&lt;(BT$3+1),$M45/12,0)*IF($G45&gt;(BT$3),1,0)*$I45</f>
        <v>0</v>
      </c>
      <c r="BU45" s="414">
        <f t="shared" si="257"/>
        <v>0</v>
      </c>
      <c r="BV45" s="414">
        <f t="shared" si="257"/>
        <v>0</v>
      </c>
      <c r="BW45" s="414">
        <f t="shared" si="257"/>
        <v>0</v>
      </c>
      <c r="BX45" s="414">
        <f t="shared" si="257"/>
        <v>0</v>
      </c>
      <c r="BY45" s="414">
        <f t="shared" si="257"/>
        <v>0</v>
      </c>
      <c r="BZ45" s="414">
        <f t="shared" si="257"/>
        <v>0</v>
      </c>
      <c r="CA45" s="414">
        <f t="shared" si="257"/>
        <v>0</v>
      </c>
      <c r="CB45" s="414">
        <f t="shared" si="257"/>
        <v>0</v>
      </c>
      <c r="CC45" s="414">
        <f t="shared" si="257"/>
        <v>0</v>
      </c>
      <c r="CD45" s="414">
        <f t="shared" si="257"/>
        <v>0</v>
      </c>
      <c r="CE45" s="415">
        <f t="shared" si="257"/>
        <v>0</v>
      </c>
      <c r="CF45" s="416">
        <f t="shared" ref="CF45:CQ45" si="258">IF($F45&lt;(CF$3+1),$N45/12,0)*IF($G45&gt;(CF$3),1,0)*$I45</f>
        <v>0</v>
      </c>
      <c r="CG45" s="414">
        <f t="shared" si="258"/>
        <v>0</v>
      </c>
      <c r="CH45" s="414">
        <f t="shared" si="258"/>
        <v>0</v>
      </c>
      <c r="CI45" s="414">
        <f t="shared" si="258"/>
        <v>0</v>
      </c>
      <c r="CJ45" s="414">
        <f t="shared" si="258"/>
        <v>0</v>
      </c>
      <c r="CK45" s="414">
        <f t="shared" si="258"/>
        <v>0</v>
      </c>
      <c r="CL45" s="414">
        <f t="shared" si="258"/>
        <v>0</v>
      </c>
      <c r="CM45" s="414">
        <f t="shared" si="258"/>
        <v>0</v>
      </c>
      <c r="CN45" s="414">
        <f t="shared" si="258"/>
        <v>0</v>
      </c>
      <c r="CO45" s="414">
        <f t="shared" si="258"/>
        <v>0</v>
      </c>
      <c r="CP45" s="414">
        <f t="shared" si="258"/>
        <v>0</v>
      </c>
      <c r="CQ45" s="415">
        <f t="shared" si="258"/>
        <v>0</v>
      </c>
      <c r="CR45" s="407"/>
      <c r="CS45" s="407"/>
      <c r="CT45" s="407">
        <f t="shared" si="7"/>
        <v>0</v>
      </c>
      <c r="CU45" s="412">
        <f>'Annexe C  Plan produit'!$H$52</f>
        <v>46082</v>
      </c>
      <c r="CV45" s="412">
        <f>'Annexe C  Plan produit'!$I$54</f>
        <v>47090.5</v>
      </c>
    </row>
    <row r="46" spans="1:100" ht="15">
      <c r="A46" s="400" t="s">
        <v>270</v>
      </c>
      <c r="B46" s="401" t="s">
        <v>84</v>
      </c>
      <c r="C46" s="401" t="s">
        <v>309</v>
      </c>
      <c r="D46" s="4"/>
      <c r="E46" s="420"/>
      <c r="F46" s="421">
        <f>'Plan stratégique  likewatt'!G39+310</f>
        <v>47825</v>
      </c>
      <c r="G46" s="403">
        <v>51161</v>
      </c>
      <c r="H46" s="404"/>
      <c r="I46" s="405">
        <v>1</v>
      </c>
      <c r="J46" s="406">
        <v>40000</v>
      </c>
      <c r="K46" s="407">
        <f t="shared" ref="K46:O46" si="259">J46*(1+5%)</f>
        <v>42000</v>
      </c>
      <c r="L46" s="407">
        <f t="shared" si="259"/>
        <v>44100</v>
      </c>
      <c r="M46" s="407">
        <f t="shared" si="259"/>
        <v>46305</v>
      </c>
      <c r="N46" s="407">
        <f t="shared" si="259"/>
        <v>48620.25</v>
      </c>
      <c r="O46" s="407">
        <f t="shared" si="259"/>
        <v>51051.262500000004</v>
      </c>
      <c r="P46" s="408">
        <v>0.15</v>
      </c>
      <c r="Q46" s="414">
        <f t="shared" ref="Q46:W46" si="260">IF($F46&lt;(Q$3+1),$J46/12,0)*IF($G46&gt;(Q$3),1,0)*$I46</f>
        <v>0</v>
      </c>
      <c r="R46" s="414">
        <f t="shared" si="260"/>
        <v>0</v>
      </c>
      <c r="S46" s="414">
        <f t="shared" si="260"/>
        <v>0</v>
      </c>
      <c r="T46" s="414">
        <f t="shared" si="260"/>
        <v>0</v>
      </c>
      <c r="U46" s="414">
        <f t="shared" si="260"/>
        <v>0</v>
      </c>
      <c r="V46" s="414">
        <f t="shared" si="260"/>
        <v>0</v>
      </c>
      <c r="W46" s="415">
        <f t="shared" si="260"/>
        <v>0</v>
      </c>
      <c r="X46" s="416">
        <f t="shared" ref="X46:BG46" si="261">IF($F46&lt;(X$3+1),$K46/12,0)*IF($G46&gt;(X$3),1,0)*$I46</f>
        <v>0</v>
      </c>
      <c r="Y46" s="414">
        <f t="shared" si="261"/>
        <v>0</v>
      </c>
      <c r="Z46" s="414">
        <f t="shared" si="261"/>
        <v>0</v>
      </c>
      <c r="AA46" s="414">
        <f t="shared" si="261"/>
        <v>0</v>
      </c>
      <c r="AB46" s="414">
        <f t="shared" si="261"/>
        <v>0</v>
      </c>
      <c r="AC46" s="414">
        <f t="shared" si="261"/>
        <v>0</v>
      </c>
      <c r="AD46" s="414">
        <f t="shared" si="261"/>
        <v>0</v>
      </c>
      <c r="AE46" s="414">
        <f t="shared" si="261"/>
        <v>0</v>
      </c>
      <c r="AF46" s="414">
        <f t="shared" si="261"/>
        <v>0</v>
      </c>
      <c r="AG46" s="414">
        <f t="shared" si="261"/>
        <v>0</v>
      </c>
      <c r="AH46" s="414">
        <f t="shared" si="261"/>
        <v>0</v>
      </c>
      <c r="AI46" s="415">
        <f t="shared" si="261"/>
        <v>0</v>
      </c>
      <c r="AJ46" s="416">
        <f t="shared" si="261"/>
        <v>0</v>
      </c>
      <c r="AK46" s="414">
        <f t="shared" si="261"/>
        <v>0</v>
      </c>
      <c r="AL46" s="414">
        <f t="shared" si="261"/>
        <v>0</v>
      </c>
      <c r="AM46" s="414">
        <f t="shared" si="261"/>
        <v>0</v>
      </c>
      <c r="AN46" s="414">
        <f t="shared" si="261"/>
        <v>0</v>
      </c>
      <c r="AO46" s="414">
        <f t="shared" si="261"/>
        <v>0</v>
      </c>
      <c r="AP46" s="414">
        <f t="shared" si="261"/>
        <v>0</v>
      </c>
      <c r="AQ46" s="414">
        <f t="shared" si="261"/>
        <v>0</v>
      </c>
      <c r="AR46" s="414">
        <f t="shared" si="261"/>
        <v>0</v>
      </c>
      <c r="AS46" s="414">
        <f t="shared" si="261"/>
        <v>0</v>
      </c>
      <c r="AT46" s="414">
        <f t="shared" si="261"/>
        <v>0</v>
      </c>
      <c r="AU46" s="415">
        <f t="shared" si="261"/>
        <v>0</v>
      </c>
      <c r="AV46" s="416">
        <f t="shared" si="261"/>
        <v>0</v>
      </c>
      <c r="AW46" s="414">
        <f t="shared" si="261"/>
        <v>0</v>
      </c>
      <c r="AX46" s="414">
        <f t="shared" si="261"/>
        <v>0</v>
      </c>
      <c r="AY46" s="414">
        <f t="shared" si="261"/>
        <v>0</v>
      </c>
      <c r="AZ46" s="414">
        <f t="shared" si="261"/>
        <v>0</v>
      </c>
      <c r="BA46" s="414">
        <f t="shared" si="261"/>
        <v>0</v>
      </c>
      <c r="BB46" s="414">
        <f t="shared" si="261"/>
        <v>0</v>
      </c>
      <c r="BC46" s="414">
        <f t="shared" si="261"/>
        <v>0</v>
      </c>
      <c r="BD46" s="414">
        <f t="shared" si="261"/>
        <v>0</v>
      </c>
      <c r="BE46" s="414">
        <f t="shared" si="261"/>
        <v>0</v>
      </c>
      <c r="BF46" s="414">
        <f t="shared" si="261"/>
        <v>0</v>
      </c>
      <c r="BG46" s="415">
        <f t="shared" si="261"/>
        <v>0</v>
      </c>
      <c r="BH46" s="416">
        <f t="shared" ref="BH46:BS46" si="262">IF($F46&lt;(BH$3+1),$L46/12,0)*IF($G46&gt;(BH$3),1,0)*$I46</f>
        <v>0</v>
      </c>
      <c r="BI46" s="414">
        <f t="shared" si="262"/>
        <v>0</v>
      </c>
      <c r="BJ46" s="414">
        <f t="shared" si="262"/>
        <v>0</v>
      </c>
      <c r="BK46" s="414">
        <f t="shared" si="262"/>
        <v>0</v>
      </c>
      <c r="BL46" s="414">
        <f t="shared" si="262"/>
        <v>0</v>
      </c>
      <c r="BM46" s="414">
        <f t="shared" si="262"/>
        <v>0</v>
      </c>
      <c r="BN46" s="414">
        <f t="shared" si="262"/>
        <v>0</v>
      </c>
      <c r="BO46" s="414">
        <f t="shared" si="262"/>
        <v>0</v>
      </c>
      <c r="BP46" s="414">
        <f t="shared" si="262"/>
        <v>0</v>
      </c>
      <c r="BQ46" s="414">
        <f t="shared" si="262"/>
        <v>0</v>
      </c>
      <c r="BR46" s="414">
        <f t="shared" si="262"/>
        <v>0</v>
      </c>
      <c r="BS46" s="415">
        <f t="shared" si="262"/>
        <v>0</v>
      </c>
      <c r="BT46" s="416">
        <f t="shared" ref="BT46:CE46" si="263">IF($F46&lt;(BT$3+1),$M46/12,0)*IF($G46&gt;(BT$3),1,0)*$I46</f>
        <v>0</v>
      </c>
      <c r="BU46" s="414">
        <f t="shared" si="263"/>
        <v>0</v>
      </c>
      <c r="BV46" s="414">
        <f t="shared" si="263"/>
        <v>0</v>
      </c>
      <c r="BW46" s="414">
        <f t="shared" si="263"/>
        <v>0</v>
      </c>
      <c r="BX46" s="414">
        <f t="shared" si="263"/>
        <v>0</v>
      </c>
      <c r="BY46" s="414">
        <f t="shared" si="263"/>
        <v>0</v>
      </c>
      <c r="BZ46" s="414">
        <f t="shared" si="263"/>
        <v>0</v>
      </c>
      <c r="CA46" s="414">
        <f t="shared" si="263"/>
        <v>0</v>
      </c>
      <c r="CB46" s="414">
        <f t="shared" si="263"/>
        <v>0</v>
      </c>
      <c r="CC46" s="414">
        <f t="shared" si="263"/>
        <v>0</v>
      </c>
      <c r="CD46" s="414">
        <f t="shared" si="263"/>
        <v>0</v>
      </c>
      <c r="CE46" s="415">
        <f t="shared" si="263"/>
        <v>0</v>
      </c>
      <c r="CF46" s="416">
        <f t="shared" ref="CF46:CQ46" si="264">IF($F46&lt;(CF$3+1),$N46/12,0)*IF($G46&gt;(CF$3),1,0)*$I46</f>
        <v>4051.6875</v>
      </c>
      <c r="CG46" s="414">
        <f t="shared" si="264"/>
        <v>4051.6875</v>
      </c>
      <c r="CH46" s="414">
        <f t="shared" si="264"/>
        <v>4051.6875</v>
      </c>
      <c r="CI46" s="414">
        <f t="shared" si="264"/>
        <v>4051.6875</v>
      </c>
      <c r="CJ46" s="414">
        <f t="shared" si="264"/>
        <v>4051.6875</v>
      </c>
      <c r="CK46" s="414">
        <f t="shared" si="264"/>
        <v>4051.6875</v>
      </c>
      <c r="CL46" s="414">
        <f t="shared" si="264"/>
        <v>4051.6875</v>
      </c>
      <c r="CM46" s="414">
        <f t="shared" si="264"/>
        <v>4051.6875</v>
      </c>
      <c r="CN46" s="414">
        <f t="shared" si="264"/>
        <v>4051.6875</v>
      </c>
      <c r="CO46" s="414">
        <f t="shared" si="264"/>
        <v>4051.6875</v>
      </c>
      <c r="CP46" s="414">
        <f t="shared" si="264"/>
        <v>4051.6875</v>
      </c>
      <c r="CQ46" s="415">
        <f t="shared" si="264"/>
        <v>4051.6875</v>
      </c>
      <c r="CR46" s="407"/>
      <c r="CS46" s="407" t="e">
        <f t="shared" ref="CS46:CS48" ca="1" si="265">SUM($Q49:$CQ49)*(1+_xludf.IFS(B46="FR",$C$99,B46="ES",$D$99,B46="CH",$E$99,B46="BE",$F$99,B46="DE",$G$99))</f>
        <v>#NAME?</v>
      </c>
      <c r="CT46" s="407">
        <f t="shared" si="7"/>
        <v>0</v>
      </c>
      <c r="CU46" s="412">
        <f>'Annexe C  Plan produit'!$H$52</f>
        <v>46082</v>
      </c>
      <c r="CV46" s="412">
        <f>'Annexe C  Plan produit'!$I$54</f>
        <v>47090.5</v>
      </c>
    </row>
    <row r="47" spans="1:100" ht="15">
      <c r="A47" s="400" t="s">
        <v>261</v>
      </c>
      <c r="B47" s="401" t="s">
        <v>83</v>
      </c>
      <c r="C47" s="401" t="s">
        <v>310</v>
      </c>
      <c r="D47" s="4"/>
      <c r="E47" s="420"/>
      <c r="F47" s="421">
        <f>'Plan stratégique  likewatt'!C$43+11*30.5</f>
        <v>47850.5</v>
      </c>
      <c r="G47" s="403">
        <v>51161</v>
      </c>
      <c r="H47" s="404"/>
      <c r="I47" s="417">
        <v>1</v>
      </c>
      <c r="J47" s="406">
        <v>55000</v>
      </c>
      <c r="K47" s="407">
        <f t="shared" ref="K47:O47" si="266">J47*(1+5%)</f>
        <v>57750</v>
      </c>
      <c r="L47" s="407">
        <f t="shared" si="266"/>
        <v>60637.5</v>
      </c>
      <c r="M47" s="407">
        <f t="shared" si="266"/>
        <v>63669.375</v>
      </c>
      <c r="N47" s="407">
        <f t="shared" si="266"/>
        <v>66852.84375</v>
      </c>
      <c r="O47" s="407">
        <f t="shared" si="266"/>
        <v>70195.485937500009</v>
      </c>
      <c r="P47" s="408">
        <v>0.15</v>
      </c>
      <c r="Q47" s="414">
        <f t="shared" ref="Q47:W47" si="267">IF($F47&lt;(Q$3+1),$J47/12,0)*IF($G47&gt;(Q$3),1,0)*$I47</f>
        <v>0</v>
      </c>
      <c r="R47" s="414">
        <f t="shared" si="267"/>
        <v>0</v>
      </c>
      <c r="S47" s="414">
        <f t="shared" si="267"/>
        <v>0</v>
      </c>
      <c r="T47" s="414">
        <f t="shared" si="267"/>
        <v>0</v>
      </c>
      <c r="U47" s="414">
        <f t="shared" si="267"/>
        <v>0</v>
      </c>
      <c r="V47" s="414">
        <f t="shared" si="267"/>
        <v>0</v>
      </c>
      <c r="W47" s="415">
        <f t="shared" si="267"/>
        <v>0</v>
      </c>
      <c r="X47" s="416">
        <f t="shared" ref="X47:BG47" si="268">IF($F47&lt;(X$3+1),$K47/12,0)*IF($G47&gt;(X$3),1,0)*$I47</f>
        <v>0</v>
      </c>
      <c r="Y47" s="414">
        <f t="shared" si="268"/>
        <v>0</v>
      </c>
      <c r="Z47" s="414">
        <f t="shared" si="268"/>
        <v>0</v>
      </c>
      <c r="AA47" s="414">
        <f t="shared" si="268"/>
        <v>0</v>
      </c>
      <c r="AB47" s="414">
        <f t="shared" si="268"/>
        <v>0</v>
      </c>
      <c r="AC47" s="414">
        <f t="shared" si="268"/>
        <v>0</v>
      </c>
      <c r="AD47" s="414">
        <f t="shared" si="268"/>
        <v>0</v>
      </c>
      <c r="AE47" s="414">
        <f t="shared" si="268"/>
        <v>0</v>
      </c>
      <c r="AF47" s="414">
        <f t="shared" si="268"/>
        <v>0</v>
      </c>
      <c r="AG47" s="414">
        <f t="shared" si="268"/>
        <v>0</v>
      </c>
      <c r="AH47" s="414">
        <f t="shared" si="268"/>
        <v>0</v>
      </c>
      <c r="AI47" s="415">
        <f t="shared" si="268"/>
        <v>0</v>
      </c>
      <c r="AJ47" s="416">
        <f t="shared" si="268"/>
        <v>0</v>
      </c>
      <c r="AK47" s="414">
        <f t="shared" si="268"/>
        <v>0</v>
      </c>
      <c r="AL47" s="414">
        <f t="shared" si="268"/>
        <v>0</v>
      </c>
      <c r="AM47" s="414">
        <f t="shared" si="268"/>
        <v>0</v>
      </c>
      <c r="AN47" s="414">
        <f t="shared" si="268"/>
        <v>0</v>
      </c>
      <c r="AO47" s="414">
        <f t="shared" si="268"/>
        <v>0</v>
      </c>
      <c r="AP47" s="414">
        <f t="shared" si="268"/>
        <v>0</v>
      </c>
      <c r="AQ47" s="414">
        <f t="shared" si="268"/>
        <v>0</v>
      </c>
      <c r="AR47" s="414">
        <f t="shared" si="268"/>
        <v>0</v>
      </c>
      <c r="AS47" s="414">
        <f t="shared" si="268"/>
        <v>0</v>
      </c>
      <c r="AT47" s="414">
        <f t="shared" si="268"/>
        <v>0</v>
      </c>
      <c r="AU47" s="415">
        <f t="shared" si="268"/>
        <v>0</v>
      </c>
      <c r="AV47" s="416">
        <f t="shared" si="268"/>
        <v>0</v>
      </c>
      <c r="AW47" s="414">
        <f t="shared" si="268"/>
        <v>0</v>
      </c>
      <c r="AX47" s="414">
        <f t="shared" si="268"/>
        <v>0</v>
      </c>
      <c r="AY47" s="414">
        <f t="shared" si="268"/>
        <v>0</v>
      </c>
      <c r="AZ47" s="414">
        <f t="shared" si="268"/>
        <v>0</v>
      </c>
      <c r="BA47" s="414">
        <f t="shared" si="268"/>
        <v>0</v>
      </c>
      <c r="BB47" s="414">
        <f t="shared" si="268"/>
        <v>0</v>
      </c>
      <c r="BC47" s="414">
        <f t="shared" si="268"/>
        <v>0</v>
      </c>
      <c r="BD47" s="414">
        <f t="shared" si="268"/>
        <v>0</v>
      </c>
      <c r="BE47" s="414">
        <f t="shared" si="268"/>
        <v>0</v>
      </c>
      <c r="BF47" s="414">
        <f t="shared" si="268"/>
        <v>0</v>
      </c>
      <c r="BG47" s="415">
        <f t="shared" si="268"/>
        <v>0</v>
      </c>
      <c r="BH47" s="416">
        <f t="shared" ref="BH47:BS47" si="269">IF($F47&lt;(BH$3+1),$L47/12,0)*IF($G47&gt;(BH$3),1,0)*$I47</f>
        <v>0</v>
      </c>
      <c r="BI47" s="414">
        <f t="shared" si="269"/>
        <v>0</v>
      </c>
      <c r="BJ47" s="414">
        <f t="shared" si="269"/>
        <v>0</v>
      </c>
      <c r="BK47" s="414">
        <f t="shared" si="269"/>
        <v>0</v>
      </c>
      <c r="BL47" s="414">
        <f t="shared" si="269"/>
        <v>0</v>
      </c>
      <c r="BM47" s="414">
        <f t="shared" si="269"/>
        <v>0</v>
      </c>
      <c r="BN47" s="414">
        <f t="shared" si="269"/>
        <v>0</v>
      </c>
      <c r="BO47" s="414">
        <f t="shared" si="269"/>
        <v>0</v>
      </c>
      <c r="BP47" s="414">
        <f t="shared" si="269"/>
        <v>0</v>
      </c>
      <c r="BQ47" s="414">
        <f t="shared" si="269"/>
        <v>0</v>
      </c>
      <c r="BR47" s="414">
        <f t="shared" si="269"/>
        <v>0</v>
      </c>
      <c r="BS47" s="415">
        <f t="shared" si="269"/>
        <v>0</v>
      </c>
      <c r="BT47" s="416">
        <f t="shared" ref="BT47:CE47" si="270">IF($F47&lt;(BT$3+1),$M47/12,0)*IF($G47&gt;(BT$3),1,0)*$I47</f>
        <v>0</v>
      </c>
      <c r="BU47" s="414">
        <f t="shared" si="270"/>
        <v>0</v>
      </c>
      <c r="BV47" s="414">
        <f t="shared" si="270"/>
        <v>0</v>
      </c>
      <c r="BW47" s="414">
        <f t="shared" si="270"/>
        <v>0</v>
      </c>
      <c r="BX47" s="414">
        <f t="shared" si="270"/>
        <v>0</v>
      </c>
      <c r="BY47" s="414">
        <f t="shared" si="270"/>
        <v>0</v>
      </c>
      <c r="BZ47" s="414">
        <f t="shared" si="270"/>
        <v>0</v>
      </c>
      <c r="CA47" s="414">
        <f t="shared" si="270"/>
        <v>0</v>
      </c>
      <c r="CB47" s="414">
        <f t="shared" si="270"/>
        <v>0</v>
      </c>
      <c r="CC47" s="414">
        <f t="shared" si="270"/>
        <v>0</v>
      </c>
      <c r="CD47" s="414">
        <f t="shared" si="270"/>
        <v>0</v>
      </c>
      <c r="CE47" s="415">
        <f t="shared" si="270"/>
        <v>0</v>
      </c>
      <c r="CF47" s="416">
        <f t="shared" ref="CF47:CQ47" si="271">IF($F47&lt;(CF$3+1),$N47/12,0)*IF($G47&gt;(CF$3),1,0)*$I47</f>
        <v>0</v>
      </c>
      <c r="CG47" s="414">
        <f t="shared" si="271"/>
        <v>5571.0703125</v>
      </c>
      <c r="CH47" s="414">
        <f t="shared" si="271"/>
        <v>5571.0703125</v>
      </c>
      <c r="CI47" s="414">
        <f t="shared" si="271"/>
        <v>5571.0703125</v>
      </c>
      <c r="CJ47" s="414">
        <f t="shared" si="271"/>
        <v>5571.0703125</v>
      </c>
      <c r="CK47" s="414">
        <f t="shared" si="271"/>
        <v>5571.0703125</v>
      </c>
      <c r="CL47" s="414">
        <f t="shared" si="271"/>
        <v>5571.0703125</v>
      </c>
      <c r="CM47" s="414">
        <f t="shared" si="271"/>
        <v>5571.0703125</v>
      </c>
      <c r="CN47" s="414">
        <f t="shared" si="271"/>
        <v>5571.0703125</v>
      </c>
      <c r="CO47" s="414">
        <f t="shared" si="271"/>
        <v>5571.0703125</v>
      </c>
      <c r="CP47" s="414">
        <f t="shared" si="271"/>
        <v>5571.0703125</v>
      </c>
      <c r="CQ47" s="415">
        <f t="shared" si="271"/>
        <v>5571.0703125</v>
      </c>
      <c r="CR47" s="407"/>
      <c r="CS47" s="407" t="e">
        <f t="shared" ca="1" si="265"/>
        <v>#NAME?</v>
      </c>
      <c r="CT47" s="407">
        <f t="shared" si="7"/>
        <v>0</v>
      </c>
      <c r="CU47" s="412">
        <f>'Annexe C  Plan produit'!$H$52</f>
        <v>46082</v>
      </c>
      <c r="CV47" s="412">
        <f>'Annexe C  Plan produit'!$I$54</f>
        <v>47090.5</v>
      </c>
    </row>
    <row r="48" spans="1:100" ht="15">
      <c r="A48" s="400" t="s">
        <v>267</v>
      </c>
      <c r="B48" s="401" t="s">
        <v>83</v>
      </c>
      <c r="C48" s="11" t="s">
        <v>311</v>
      </c>
      <c r="D48" s="4"/>
      <c r="E48" s="420"/>
      <c r="F48" s="421">
        <f>'Plan stratégique  likewatt'!G39+360</f>
        <v>47875</v>
      </c>
      <c r="G48" s="403">
        <v>51162</v>
      </c>
      <c r="H48" s="404"/>
      <c r="I48" s="417">
        <v>0</v>
      </c>
      <c r="J48" s="406">
        <v>40000</v>
      </c>
      <c r="K48" s="407">
        <f t="shared" ref="K48:O48" si="272">J48*(1+5%)</f>
        <v>42000</v>
      </c>
      <c r="L48" s="407">
        <f t="shared" si="272"/>
        <v>44100</v>
      </c>
      <c r="M48" s="407">
        <f t="shared" si="272"/>
        <v>46305</v>
      </c>
      <c r="N48" s="407">
        <f t="shared" si="272"/>
        <v>48620.25</v>
      </c>
      <c r="O48" s="407">
        <f t="shared" si="272"/>
        <v>51051.262500000004</v>
      </c>
      <c r="P48" s="408">
        <v>0.15</v>
      </c>
      <c r="Q48" s="414">
        <f t="shared" ref="Q48:W48" si="273">IF($F48&lt;(Q$3+1),$J48/12,0)*IF($G48&gt;(Q$3),1,0)*$I48</f>
        <v>0</v>
      </c>
      <c r="R48" s="414">
        <f t="shared" si="273"/>
        <v>0</v>
      </c>
      <c r="S48" s="414">
        <f t="shared" si="273"/>
        <v>0</v>
      </c>
      <c r="T48" s="414">
        <f t="shared" si="273"/>
        <v>0</v>
      </c>
      <c r="U48" s="414">
        <f t="shared" si="273"/>
        <v>0</v>
      </c>
      <c r="V48" s="414">
        <f t="shared" si="273"/>
        <v>0</v>
      </c>
      <c r="W48" s="415">
        <f t="shared" si="273"/>
        <v>0</v>
      </c>
      <c r="X48" s="416">
        <f t="shared" ref="X48:BG48" si="274">IF($F48&lt;(X$3+1),$K48/12,0)*IF($G48&gt;(X$3),1,0)*$I48</f>
        <v>0</v>
      </c>
      <c r="Y48" s="414">
        <f t="shared" si="274"/>
        <v>0</v>
      </c>
      <c r="Z48" s="414">
        <f t="shared" si="274"/>
        <v>0</v>
      </c>
      <c r="AA48" s="414">
        <f t="shared" si="274"/>
        <v>0</v>
      </c>
      <c r="AB48" s="414">
        <f t="shared" si="274"/>
        <v>0</v>
      </c>
      <c r="AC48" s="414">
        <f t="shared" si="274"/>
        <v>0</v>
      </c>
      <c r="AD48" s="414">
        <f t="shared" si="274"/>
        <v>0</v>
      </c>
      <c r="AE48" s="414">
        <f t="shared" si="274"/>
        <v>0</v>
      </c>
      <c r="AF48" s="414">
        <f t="shared" si="274"/>
        <v>0</v>
      </c>
      <c r="AG48" s="414">
        <f t="shared" si="274"/>
        <v>0</v>
      </c>
      <c r="AH48" s="414">
        <f t="shared" si="274"/>
        <v>0</v>
      </c>
      <c r="AI48" s="415">
        <f t="shared" si="274"/>
        <v>0</v>
      </c>
      <c r="AJ48" s="416">
        <f t="shared" si="274"/>
        <v>0</v>
      </c>
      <c r="AK48" s="414">
        <f t="shared" si="274"/>
        <v>0</v>
      </c>
      <c r="AL48" s="414">
        <f t="shared" si="274"/>
        <v>0</v>
      </c>
      <c r="AM48" s="414">
        <f t="shared" si="274"/>
        <v>0</v>
      </c>
      <c r="AN48" s="414">
        <f t="shared" si="274"/>
        <v>0</v>
      </c>
      <c r="AO48" s="414">
        <f t="shared" si="274"/>
        <v>0</v>
      </c>
      <c r="AP48" s="414">
        <f t="shared" si="274"/>
        <v>0</v>
      </c>
      <c r="AQ48" s="414">
        <f t="shared" si="274"/>
        <v>0</v>
      </c>
      <c r="AR48" s="414">
        <f t="shared" si="274"/>
        <v>0</v>
      </c>
      <c r="AS48" s="414">
        <f t="shared" si="274"/>
        <v>0</v>
      </c>
      <c r="AT48" s="414">
        <f t="shared" si="274"/>
        <v>0</v>
      </c>
      <c r="AU48" s="415">
        <f t="shared" si="274"/>
        <v>0</v>
      </c>
      <c r="AV48" s="416">
        <f t="shared" si="274"/>
        <v>0</v>
      </c>
      <c r="AW48" s="414">
        <f t="shared" si="274"/>
        <v>0</v>
      </c>
      <c r="AX48" s="414">
        <f t="shared" si="274"/>
        <v>0</v>
      </c>
      <c r="AY48" s="414">
        <f t="shared" si="274"/>
        <v>0</v>
      </c>
      <c r="AZ48" s="414">
        <f t="shared" si="274"/>
        <v>0</v>
      </c>
      <c r="BA48" s="414">
        <f t="shared" si="274"/>
        <v>0</v>
      </c>
      <c r="BB48" s="414">
        <f t="shared" si="274"/>
        <v>0</v>
      </c>
      <c r="BC48" s="414">
        <f t="shared" si="274"/>
        <v>0</v>
      </c>
      <c r="BD48" s="414">
        <f t="shared" si="274"/>
        <v>0</v>
      </c>
      <c r="BE48" s="414">
        <f t="shared" si="274"/>
        <v>0</v>
      </c>
      <c r="BF48" s="414">
        <f t="shared" si="274"/>
        <v>0</v>
      </c>
      <c r="BG48" s="415">
        <f t="shared" si="274"/>
        <v>0</v>
      </c>
      <c r="BH48" s="416">
        <f t="shared" ref="BH48:BS48" si="275">IF($F48&lt;(BH$3+1),$L48/12,0)*IF($G48&gt;(BH$3),1,0)*$I48</f>
        <v>0</v>
      </c>
      <c r="BI48" s="414">
        <f t="shared" si="275"/>
        <v>0</v>
      </c>
      <c r="BJ48" s="414">
        <f t="shared" si="275"/>
        <v>0</v>
      </c>
      <c r="BK48" s="414">
        <f t="shared" si="275"/>
        <v>0</v>
      </c>
      <c r="BL48" s="414">
        <f t="shared" si="275"/>
        <v>0</v>
      </c>
      <c r="BM48" s="414">
        <f t="shared" si="275"/>
        <v>0</v>
      </c>
      <c r="BN48" s="414">
        <f t="shared" si="275"/>
        <v>0</v>
      </c>
      <c r="BO48" s="414">
        <f t="shared" si="275"/>
        <v>0</v>
      </c>
      <c r="BP48" s="414">
        <f t="shared" si="275"/>
        <v>0</v>
      </c>
      <c r="BQ48" s="414">
        <f t="shared" si="275"/>
        <v>0</v>
      </c>
      <c r="BR48" s="414">
        <f t="shared" si="275"/>
        <v>0</v>
      </c>
      <c r="BS48" s="415">
        <f t="shared" si="275"/>
        <v>0</v>
      </c>
      <c r="BT48" s="416">
        <f t="shared" ref="BT48:CE48" si="276">IF($F48&lt;(BT$3+1),$M48/12,0)*IF($G48&gt;(BT$3),1,0)*$I48</f>
        <v>0</v>
      </c>
      <c r="BU48" s="414">
        <f t="shared" si="276"/>
        <v>0</v>
      </c>
      <c r="BV48" s="414">
        <f t="shared" si="276"/>
        <v>0</v>
      </c>
      <c r="BW48" s="414">
        <f t="shared" si="276"/>
        <v>0</v>
      </c>
      <c r="BX48" s="414">
        <f t="shared" si="276"/>
        <v>0</v>
      </c>
      <c r="BY48" s="414">
        <f t="shared" si="276"/>
        <v>0</v>
      </c>
      <c r="BZ48" s="414">
        <f t="shared" si="276"/>
        <v>0</v>
      </c>
      <c r="CA48" s="414">
        <f t="shared" si="276"/>
        <v>0</v>
      </c>
      <c r="CB48" s="414">
        <f t="shared" si="276"/>
        <v>0</v>
      </c>
      <c r="CC48" s="414">
        <f t="shared" si="276"/>
        <v>0</v>
      </c>
      <c r="CD48" s="414">
        <f t="shared" si="276"/>
        <v>0</v>
      </c>
      <c r="CE48" s="415">
        <f t="shared" si="276"/>
        <v>0</v>
      </c>
      <c r="CF48" s="416">
        <f t="shared" ref="CF48:CQ48" si="277">IF($F48&lt;(CF$3+1),$N48/12,0)*IF($G48&gt;(CF$3),1,0)*$I48</f>
        <v>0</v>
      </c>
      <c r="CG48" s="414">
        <f t="shared" si="277"/>
        <v>0</v>
      </c>
      <c r="CH48" s="414">
        <f t="shared" si="277"/>
        <v>0</v>
      </c>
      <c r="CI48" s="414">
        <f t="shared" si="277"/>
        <v>0</v>
      </c>
      <c r="CJ48" s="414">
        <f t="shared" si="277"/>
        <v>0</v>
      </c>
      <c r="CK48" s="414">
        <f t="shared" si="277"/>
        <v>0</v>
      </c>
      <c r="CL48" s="414">
        <f t="shared" si="277"/>
        <v>0</v>
      </c>
      <c r="CM48" s="414">
        <f t="shared" si="277"/>
        <v>0</v>
      </c>
      <c r="CN48" s="414">
        <f t="shared" si="277"/>
        <v>0</v>
      </c>
      <c r="CO48" s="414">
        <f t="shared" si="277"/>
        <v>0</v>
      </c>
      <c r="CP48" s="414">
        <f t="shared" si="277"/>
        <v>0</v>
      </c>
      <c r="CQ48" s="415">
        <f t="shared" si="277"/>
        <v>0</v>
      </c>
      <c r="CR48" s="407"/>
      <c r="CS48" s="407" t="e">
        <f t="shared" ca="1" si="265"/>
        <v>#NAME?</v>
      </c>
      <c r="CT48" s="407">
        <f t="shared" si="7"/>
        <v>0</v>
      </c>
      <c r="CU48" s="412">
        <f>'Annexe C  Plan produit'!$H$52</f>
        <v>46082</v>
      </c>
      <c r="CV48" s="412">
        <f>'Annexe C  Plan produit'!$I$54</f>
        <v>47090.5</v>
      </c>
    </row>
    <row r="49" spans="1:100" ht="15">
      <c r="A49" s="400" t="s">
        <v>276</v>
      </c>
      <c r="B49" s="401" t="s">
        <v>83</v>
      </c>
      <c r="C49" s="401" t="s">
        <v>312</v>
      </c>
      <c r="D49" s="4"/>
      <c r="E49" s="420"/>
      <c r="F49" s="421">
        <f>'Plan stratégique  likewatt'!C$43+36*30.5</f>
        <v>48613</v>
      </c>
      <c r="G49" s="403">
        <v>51161</v>
      </c>
      <c r="H49" s="404"/>
      <c r="I49" s="417">
        <v>2</v>
      </c>
      <c r="J49" s="406">
        <v>35000</v>
      </c>
      <c r="K49" s="407">
        <f t="shared" ref="K49:O49" si="278">J49*(1+5%)</f>
        <v>36750</v>
      </c>
      <c r="L49" s="407">
        <f t="shared" si="278"/>
        <v>38587.5</v>
      </c>
      <c r="M49" s="407">
        <f t="shared" si="278"/>
        <v>40516.875</v>
      </c>
      <c r="N49" s="407">
        <f t="shared" si="278"/>
        <v>42542.71875</v>
      </c>
      <c r="O49" s="407">
        <f t="shared" si="278"/>
        <v>44669.854687500003</v>
      </c>
      <c r="P49" s="408">
        <v>0.15</v>
      </c>
      <c r="Q49" s="414">
        <f t="shared" ref="Q49:W49" si="279">IF($F49&lt;(Q$3+1),$J49/12,0)*IF($G49&gt;(Q$3),1,0)*$I49</f>
        <v>0</v>
      </c>
      <c r="R49" s="414">
        <f t="shared" si="279"/>
        <v>0</v>
      </c>
      <c r="S49" s="414">
        <f t="shared" si="279"/>
        <v>0</v>
      </c>
      <c r="T49" s="414">
        <f t="shared" si="279"/>
        <v>0</v>
      </c>
      <c r="U49" s="414">
        <f t="shared" si="279"/>
        <v>0</v>
      </c>
      <c r="V49" s="414">
        <f t="shared" si="279"/>
        <v>0</v>
      </c>
      <c r="W49" s="415">
        <f t="shared" si="279"/>
        <v>0</v>
      </c>
      <c r="X49" s="416">
        <f t="shared" ref="X49:BG49" si="280">IF($F49&lt;(X$3+1),$K49/12,0)*IF($G49&gt;(X$3),1,0)*$I49</f>
        <v>0</v>
      </c>
      <c r="Y49" s="414">
        <f t="shared" si="280"/>
        <v>0</v>
      </c>
      <c r="Z49" s="414">
        <f t="shared" si="280"/>
        <v>0</v>
      </c>
      <c r="AA49" s="414">
        <f t="shared" si="280"/>
        <v>0</v>
      </c>
      <c r="AB49" s="414">
        <f t="shared" si="280"/>
        <v>0</v>
      </c>
      <c r="AC49" s="414">
        <f t="shared" si="280"/>
        <v>0</v>
      </c>
      <c r="AD49" s="414">
        <f t="shared" si="280"/>
        <v>0</v>
      </c>
      <c r="AE49" s="414">
        <f t="shared" si="280"/>
        <v>0</v>
      </c>
      <c r="AF49" s="414">
        <f t="shared" si="280"/>
        <v>0</v>
      </c>
      <c r="AG49" s="414">
        <f t="shared" si="280"/>
        <v>0</v>
      </c>
      <c r="AH49" s="414">
        <f t="shared" si="280"/>
        <v>0</v>
      </c>
      <c r="AI49" s="415">
        <f t="shared" si="280"/>
        <v>0</v>
      </c>
      <c r="AJ49" s="416">
        <f t="shared" si="280"/>
        <v>0</v>
      </c>
      <c r="AK49" s="414">
        <f t="shared" si="280"/>
        <v>0</v>
      </c>
      <c r="AL49" s="414">
        <f t="shared" si="280"/>
        <v>0</v>
      </c>
      <c r="AM49" s="414">
        <f t="shared" si="280"/>
        <v>0</v>
      </c>
      <c r="AN49" s="414">
        <f t="shared" si="280"/>
        <v>0</v>
      </c>
      <c r="AO49" s="414">
        <f t="shared" si="280"/>
        <v>0</v>
      </c>
      <c r="AP49" s="414">
        <f t="shared" si="280"/>
        <v>0</v>
      </c>
      <c r="AQ49" s="414">
        <f t="shared" si="280"/>
        <v>0</v>
      </c>
      <c r="AR49" s="414">
        <f t="shared" si="280"/>
        <v>0</v>
      </c>
      <c r="AS49" s="414">
        <f t="shared" si="280"/>
        <v>0</v>
      </c>
      <c r="AT49" s="414">
        <f t="shared" si="280"/>
        <v>0</v>
      </c>
      <c r="AU49" s="415">
        <f t="shared" si="280"/>
        <v>0</v>
      </c>
      <c r="AV49" s="416">
        <f t="shared" si="280"/>
        <v>0</v>
      </c>
      <c r="AW49" s="414">
        <f t="shared" si="280"/>
        <v>0</v>
      </c>
      <c r="AX49" s="414">
        <f t="shared" si="280"/>
        <v>0</v>
      </c>
      <c r="AY49" s="414">
        <f t="shared" si="280"/>
        <v>0</v>
      </c>
      <c r="AZ49" s="414">
        <f t="shared" si="280"/>
        <v>0</v>
      </c>
      <c r="BA49" s="414">
        <f t="shared" si="280"/>
        <v>0</v>
      </c>
      <c r="BB49" s="414">
        <f t="shared" si="280"/>
        <v>0</v>
      </c>
      <c r="BC49" s="414">
        <f t="shared" si="280"/>
        <v>0</v>
      </c>
      <c r="BD49" s="414">
        <f t="shared" si="280"/>
        <v>0</v>
      </c>
      <c r="BE49" s="414">
        <f t="shared" si="280"/>
        <v>0</v>
      </c>
      <c r="BF49" s="414">
        <f t="shared" si="280"/>
        <v>0</v>
      </c>
      <c r="BG49" s="415">
        <f t="shared" si="280"/>
        <v>0</v>
      </c>
      <c r="BH49" s="416">
        <f t="shared" ref="BH49:BS49" si="281">IF($F49&lt;(BH$3+1),$L49/12,0)*IF($G49&gt;(BH$3),1,0)*$I49</f>
        <v>0</v>
      </c>
      <c r="BI49" s="414">
        <f t="shared" si="281"/>
        <v>0</v>
      </c>
      <c r="BJ49" s="414">
        <f t="shared" si="281"/>
        <v>0</v>
      </c>
      <c r="BK49" s="414">
        <f t="shared" si="281"/>
        <v>0</v>
      </c>
      <c r="BL49" s="414">
        <f t="shared" si="281"/>
        <v>0</v>
      </c>
      <c r="BM49" s="414">
        <f t="shared" si="281"/>
        <v>0</v>
      </c>
      <c r="BN49" s="414">
        <f t="shared" si="281"/>
        <v>0</v>
      </c>
      <c r="BO49" s="414">
        <f t="shared" si="281"/>
        <v>0</v>
      </c>
      <c r="BP49" s="414">
        <f t="shared" si="281"/>
        <v>0</v>
      </c>
      <c r="BQ49" s="414">
        <f t="shared" si="281"/>
        <v>0</v>
      </c>
      <c r="BR49" s="414">
        <f t="shared" si="281"/>
        <v>0</v>
      </c>
      <c r="BS49" s="415">
        <f t="shared" si="281"/>
        <v>0</v>
      </c>
      <c r="BT49" s="416">
        <f t="shared" ref="BT49:CE49" si="282">IF($F49&lt;(BT$3+1),$M49/12,0)*IF($G49&gt;(BT$3),1,0)*$I49</f>
        <v>0</v>
      </c>
      <c r="BU49" s="414">
        <f t="shared" si="282"/>
        <v>0</v>
      </c>
      <c r="BV49" s="414">
        <f t="shared" si="282"/>
        <v>0</v>
      </c>
      <c r="BW49" s="414">
        <f t="shared" si="282"/>
        <v>0</v>
      </c>
      <c r="BX49" s="414">
        <f t="shared" si="282"/>
        <v>0</v>
      </c>
      <c r="BY49" s="414">
        <f t="shared" si="282"/>
        <v>0</v>
      </c>
      <c r="BZ49" s="414">
        <f t="shared" si="282"/>
        <v>0</v>
      </c>
      <c r="CA49" s="414">
        <f t="shared" si="282"/>
        <v>0</v>
      </c>
      <c r="CB49" s="414">
        <f t="shared" si="282"/>
        <v>0</v>
      </c>
      <c r="CC49" s="414">
        <f t="shared" si="282"/>
        <v>0</v>
      </c>
      <c r="CD49" s="414">
        <f t="shared" si="282"/>
        <v>0</v>
      </c>
      <c r="CE49" s="415">
        <f t="shared" si="282"/>
        <v>0</v>
      </c>
      <c r="CF49" s="416">
        <f t="shared" ref="CF49:CQ49" si="283">IF($F49&lt;(CF$3+1),$N49/12,0)*IF($G49&gt;(CF$3),1,0)*$I49</f>
        <v>0</v>
      </c>
      <c r="CG49" s="414">
        <f t="shared" si="283"/>
        <v>0</v>
      </c>
      <c r="CH49" s="414">
        <f t="shared" si="283"/>
        <v>0</v>
      </c>
      <c r="CI49" s="414">
        <f t="shared" si="283"/>
        <v>0</v>
      </c>
      <c r="CJ49" s="414">
        <f t="shared" si="283"/>
        <v>0</v>
      </c>
      <c r="CK49" s="414">
        <f t="shared" si="283"/>
        <v>0</v>
      </c>
      <c r="CL49" s="414">
        <f t="shared" si="283"/>
        <v>0</v>
      </c>
      <c r="CM49" s="414">
        <f t="shared" si="283"/>
        <v>0</v>
      </c>
      <c r="CN49" s="414">
        <f t="shared" si="283"/>
        <v>0</v>
      </c>
      <c r="CO49" s="414">
        <f t="shared" si="283"/>
        <v>0</v>
      </c>
      <c r="CP49" s="414">
        <f t="shared" si="283"/>
        <v>0</v>
      </c>
      <c r="CQ49" s="415">
        <f t="shared" si="283"/>
        <v>0</v>
      </c>
      <c r="CR49" s="407"/>
      <c r="CS49" s="407"/>
      <c r="CT49" s="407">
        <f t="shared" si="7"/>
        <v>0</v>
      </c>
      <c r="CU49" s="412">
        <f>'Annexe C  Plan produit'!$H$52</f>
        <v>46082</v>
      </c>
      <c r="CV49" s="412">
        <f>'Annexe C  Plan produit'!$I$54</f>
        <v>47090.5</v>
      </c>
    </row>
    <row r="50" spans="1:100" ht="15">
      <c r="A50" s="400" t="s">
        <v>270</v>
      </c>
      <c r="B50" s="401" t="s">
        <v>85</v>
      </c>
      <c r="C50" s="401" t="s">
        <v>313</v>
      </c>
      <c r="D50" s="4"/>
      <c r="E50" s="420"/>
      <c r="F50" s="421">
        <f>'Plan stratégique  likewatt'!G40</f>
        <v>47881</v>
      </c>
      <c r="G50" s="403">
        <v>51161</v>
      </c>
      <c r="H50" s="404"/>
      <c r="I50" s="405">
        <v>1</v>
      </c>
      <c r="J50" s="406">
        <v>150000</v>
      </c>
      <c r="K50" s="407">
        <f t="shared" ref="K50:O50" si="284">J50*(1+5%)</f>
        <v>157500</v>
      </c>
      <c r="L50" s="407">
        <f t="shared" si="284"/>
        <v>165375</v>
      </c>
      <c r="M50" s="407">
        <f t="shared" si="284"/>
        <v>173643.75</v>
      </c>
      <c r="N50" s="407">
        <f t="shared" si="284"/>
        <v>182325.9375</v>
      </c>
      <c r="O50" s="407">
        <f t="shared" si="284"/>
        <v>191442.234375</v>
      </c>
      <c r="P50" s="408">
        <v>0.15</v>
      </c>
      <c r="Q50" s="414">
        <f t="shared" ref="Q50:W50" si="285">IF($F50&lt;(Q$3+1),$J50/12,0)*IF($G50&gt;(Q$3),1,0)*$I50</f>
        <v>0</v>
      </c>
      <c r="R50" s="414">
        <f t="shared" si="285"/>
        <v>0</v>
      </c>
      <c r="S50" s="414">
        <f t="shared" si="285"/>
        <v>0</v>
      </c>
      <c r="T50" s="414">
        <f t="shared" si="285"/>
        <v>0</v>
      </c>
      <c r="U50" s="414">
        <f t="shared" si="285"/>
        <v>0</v>
      </c>
      <c r="V50" s="414">
        <f t="shared" si="285"/>
        <v>0</v>
      </c>
      <c r="W50" s="415">
        <f t="shared" si="285"/>
        <v>0</v>
      </c>
      <c r="X50" s="416">
        <f t="shared" ref="X50:BG50" si="286">IF($F50&lt;(X$3+1),$K50/12,0)*IF($G50&gt;(X$3),1,0)*$I50</f>
        <v>0</v>
      </c>
      <c r="Y50" s="414">
        <f t="shared" si="286"/>
        <v>0</v>
      </c>
      <c r="Z50" s="414">
        <f t="shared" si="286"/>
        <v>0</v>
      </c>
      <c r="AA50" s="414">
        <f t="shared" si="286"/>
        <v>0</v>
      </c>
      <c r="AB50" s="414">
        <f t="shared" si="286"/>
        <v>0</v>
      </c>
      <c r="AC50" s="414">
        <f t="shared" si="286"/>
        <v>0</v>
      </c>
      <c r="AD50" s="414">
        <f t="shared" si="286"/>
        <v>0</v>
      </c>
      <c r="AE50" s="414">
        <f t="shared" si="286"/>
        <v>0</v>
      </c>
      <c r="AF50" s="414">
        <f t="shared" si="286"/>
        <v>0</v>
      </c>
      <c r="AG50" s="414">
        <f t="shared" si="286"/>
        <v>0</v>
      </c>
      <c r="AH50" s="414">
        <f t="shared" si="286"/>
        <v>0</v>
      </c>
      <c r="AI50" s="415">
        <f t="shared" si="286"/>
        <v>0</v>
      </c>
      <c r="AJ50" s="416">
        <f t="shared" si="286"/>
        <v>0</v>
      </c>
      <c r="AK50" s="414">
        <f t="shared" si="286"/>
        <v>0</v>
      </c>
      <c r="AL50" s="414">
        <f t="shared" si="286"/>
        <v>0</v>
      </c>
      <c r="AM50" s="414">
        <f t="shared" si="286"/>
        <v>0</v>
      </c>
      <c r="AN50" s="414">
        <f t="shared" si="286"/>
        <v>0</v>
      </c>
      <c r="AO50" s="414">
        <f t="shared" si="286"/>
        <v>0</v>
      </c>
      <c r="AP50" s="414">
        <f t="shared" si="286"/>
        <v>0</v>
      </c>
      <c r="AQ50" s="414">
        <f t="shared" si="286"/>
        <v>0</v>
      </c>
      <c r="AR50" s="414">
        <f t="shared" si="286"/>
        <v>0</v>
      </c>
      <c r="AS50" s="414">
        <f t="shared" si="286"/>
        <v>0</v>
      </c>
      <c r="AT50" s="414">
        <f t="shared" si="286"/>
        <v>0</v>
      </c>
      <c r="AU50" s="415">
        <f t="shared" si="286"/>
        <v>0</v>
      </c>
      <c r="AV50" s="416">
        <f t="shared" si="286"/>
        <v>0</v>
      </c>
      <c r="AW50" s="414">
        <f t="shared" si="286"/>
        <v>0</v>
      </c>
      <c r="AX50" s="414">
        <f t="shared" si="286"/>
        <v>0</v>
      </c>
      <c r="AY50" s="414">
        <f t="shared" si="286"/>
        <v>0</v>
      </c>
      <c r="AZ50" s="414">
        <f t="shared" si="286"/>
        <v>0</v>
      </c>
      <c r="BA50" s="414">
        <f t="shared" si="286"/>
        <v>0</v>
      </c>
      <c r="BB50" s="414">
        <f t="shared" si="286"/>
        <v>0</v>
      </c>
      <c r="BC50" s="414">
        <f t="shared" si="286"/>
        <v>0</v>
      </c>
      <c r="BD50" s="414">
        <f t="shared" si="286"/>
        <v>0</v>
      </c>
      <c r="BE50" s="414">
        <f t="shared" si="286"/>
        <v>0</v>
      </c>
      <c r="BF50" s="414">
        <f t="shared" si="286"/>
        <v>0</v>
      </c>
      <c r="BG50" s="415">
        <f t="shared" si="286"/>
        <v>0</v>
      </c>
      <c r="BH50" s="416">
        <f t="shared" ref="BH50:BS50" si="287">IF($F50&lt;(BH$3+1),$L50/12,0)*IF($G50&gt;(BH$3),1,0)*$I50</f>
        <v>0</v>
      </c>
      <c r="BI50" s="414">
        <f t="shared" si="287"/>
        <v>0</v>
      </c>
      <c r="BJ50" s="414">
        <f t="shared" si="287"/>
        <v>0</v>
      </c>
      <c r="BK50" s="414">
        <f t="shared" si="287"/>
        <v>0</v>
      </c>
      <c r="BL50" s="414">
        <f t="shared" si="287"/>
        <v>0</v>
      </c>
      <c r="BM50" s="414">
        <f t="shared" si="287"/>
        <v>0</v>
      </c>
      <c r="BN50" s="414">
        <f t="shared" si="287"/>
        <v>0</v>
      </c>
      <c r="BO50" s="414">
        <f t="shared" si="287"/>
        <v>0</v>
      </c>
      <c r="BP50" s="414">
        <f t="shared" si="287"/>
        <v>0</v>
      </c>
      <c r="BQ50" s="414">
        <f t="shared" si="287"/>
        <v>0</v>
      </c>
      <c r="BR50" s="414">
        <f t="shared" si="287"/>
        <v>0</v>
      </c>
      <c r="BS50" s="415">
        <f t="shared" si="287"/>
        <v>0</v>
      </c>
      <c r="BT50" s="416">
        <f t="shared" ref="BT50:CE50" si="288">IF($F50&lt;(BT$3+1),$M50/12,0)*IF($G50&gt;(BT$3),1,0)*$I50</f>
        <v>0</v>
      </c>
      <c r="BU50" s="414">
        <f t="shared" si="288"/>
        <v>0</v>
      </c>
      <c r="BV50" s="414">
        <f t="shared" si="288"/>
        <v>0</v>
      </c>
      <c r="BW50" s="414">
        <f t="shared" si="288"/>
        <v>0</v>
      </c>
      <c r="BX50" s="414">
        <f t="shared" si="288"/>
        <v>0</v>
      </c>
      <c r="BY50" s="414">
        <f t="shared" si="288"/>
        <v>0</v>
      </c>
      <c r="BZ50" s="414">
        <f t="shared" si="288"/>
        <v>0</v>
      </c>
      <c r="CA50" s="414">
        <f t="shared" si="288"/>
        <v>0</v>
      </c>
      <c r="CB50" s="414">
        <f t="shared" si="288"/>
        <v>0</v>
      </c>
      <c r="CC50" s="414">
        <f t="shared" si="288"/>
        <v>0</v>
      </c>
      <c r="CD50" s="414">
        <f t="shared" si="288"/>
        <v>0</v>
      </c>
      <c r="CE50" s="415">
        <f t="shared" si="288"/>
        <v>0</v>
      </c>
      <c r="CF50" s="416">
        <f t="shared" ref="CF50:CQ50" si="289">IF($F50&lt;(CF$3+1),$N50/12,0)*IF($G50&gt;(CF$3),1,0)*$I50</f>
        <v>0</v>
      </c>
      <c r="CG50" s="414">
        <f t="shared" si="289"/>
        <v>0</v>
      </c>
      <c r="CH50" s="414">
        <f t="shared" si="289"/>
        <v>15193.828125</v>
      </c>
      <c r="CI50" s="414">
        <f t="shared" si="289"/>
        <v>15193.828125</v>
      </c>
      <c r="CJ50" s="414">
        <f t="shared" si="289"/>
        <v>15193.828125</v>
      </c>
      <c r="CK50" s="414">
        <f t="shared" si="289"/>
        <v>15193.828125</v>
      </c>
      <c r="CL50" s="414">
        <f t="shared" si="289"/>
        <v>15193.828125</v>
      </c>
      <c r="CM50" s="414">
        <f t="shared" si="289"/>
        <v>15193.828125</v>
      </c>
      <c r="CN50" s="414">
        <f t="shared" si="289"/>
        <v>15193.828125</v>
      </c>
      <c r="CO50" s="414">
        <f t="shared" si="289"/>
        <v>15193.828125</v>
      </c>
      <c r="CP50" s="414">
        <f t="shared" si="289"/>
        <v>15193.828125</v>
      </c>
      <c r="CQ50" s="415">
        <f t="shared" si="289"/>
        <v>15193.828125</v>
      </c>
      <c r="CR50" s="407"/>
      <c r="CS50" s="407" t="e">
        <f t="shared" ref="CS50:CS51" ca="1" si="290">SUM($Q53:$CQ53)*(1+_xludf.IFS(B50="FR",$C$99,B50="ES",$D$99,B50="CH",$E$99,B50="BE",$F$99,B50="DE",$G$99))</f>
        <v>#NAME?</v>
      </c>
      <c r="CT50" s="407">
        <f t="shared" si="7"/>
        <v>0</v>
      </c>
      <c r="CU50" s="412">
        <f>'Annexe C  Plan produit'!$H$52</f>
        <v>46082</v>
      </c>
      <c r="CV50" s="412">
        <f>'Annexe C  Plan produit'!$I$54</f>
        <v>47090.5</v>
      </c>
    </row>
    <row r="51" spans="1:100" ht="15">
      <c r="A51" s="400" t="s">
        <v>267</v>
      </c>
      <c r="B51" s="401" t="s">
        <v>83</v>
      </c>
      <c r="C51" s="11" t="s">
        <v>314</v>
      </c>
      <c r="D51" s="4"/>
      <c r="E51" s="420"/>
      <c r="F51" s="421">
        <f>'Plan stratégique  likewatt'!G$41</f>
        <v>48247</v>
      </c>
      <c r="G51" s="403">
        <v>51161</v>
      </c>
      <c r="H51" s="404"/>
      <c r="I51" s="417">
        <v>6</v>
      </c>
      <c r="J51" s="406">
        <v>50000</v>
      </c>
      <c r="K51" s="407">
        <f t="shared" ref="K51:O51" si="291">J51*(1+5%)</f>
        <v>52500</v>
      </c>
      <c r="L51" s="407">
        <f t="shared" si="291"/>
        <v>55125</v>
      </c>
      <c r="M51" s="407">
        <f t="shared" si="291"/>
        <v>57881.25</v>
      </c>
      <c r="N51" s="407">
        <f t="shared" si="291"/>
        <v>60775.3125</v>
      </c>
      <c r="O51" s="407">
        <f t="shared" si="291"/>
        <v>63814.078125</v>
      </c>
      <c r="P51" s="408">
        <v>0.15</v>
      </c>
      <c r="Q51" s="414">
        <f t="shared" ref="Q51:W51" si="292">IF($F51&lt;(Q$3+1),$J51/12,0)*IF($G51&gt;(Q$3),1,0)*$I51</f>
        <v>0</v>
      </c>
      <c r="R51" s="414">
        <f t="shared" si="292"/>
        <v>0</v>
      </c>
      <c r="S51" s="414">
        <f t="shared" si="292"/>
        <v>0</v>
      </c>
      <c r="T51" s="414">
        <f t="shared" si="292"/>
        <v>0</v>
      </c>
      <c r="U51" s="414">
        <f t="shared" si="292"/>
        <v>0</v>
      </c>
      <c r="V51" s="414">
        <f t="shared" si="292"/>
        <v>0</v>
      </c>
      <c r="W51" s="415">
        <f t="shared" si="292"/>
        <v>0</v>
      </c>
      <c r="X51" s="416">
        <f t="shared" ref="X51:BG51" si="293">IF($F51&lt;(X$3+1),$K51/12,0)*IF($G51&gt;(X$3),1,0)*$I51</f>
        <v>0</v>
      </c>
      <c r="Y51" s="414">
        <f t="shared" si="293"/>
        <v>0</v>
      </c>
      <c r="Z51" s="414">
        <f t="shared" si="293"/>
        <v>0</v>
      </c>
      <c r="AA51" s="414">
        <f t="shared" si="293"/>
        <v>0</v>
      </c>
      <c r="AB51" s="414">
        <f t="shared" si="293"/>
        <v>0</v>
      </c>
      <c r="AC51" s="414">
        <f t="shared" si="293"/>
        <v>0</v>
      </c>
      <c r="AD51" s="414">
        <f t="shared" si="293"/>
        <v>0</v>
      </c>
      <c r="AE51" s="414">
        <f t="shared" si="293"/>
        <v>0</v>
      </c>
      <c r="AF51" s="414">
        <f t="shared" si="293"/>
        <v>0</v>
      </c>
      <c r="AG51" s="414">
        <f t="shared" si="293"/>
        <v>0</v>
      </c>
      <c r="AH51" s="414">
        <f t="shared" si="293"/>
        <v>0</v>
      </c>
      <c r="AI51" s="415">
        <f t="shared" si="293"/>
        <v>0</v>
      </c>
      <c r="AJ51" s="416">
        <f t="shared" si="293"/>
        <v>0</v>
      </c>
      <c r="AK51" s="414">
        <f t="shared" si="293"/>
        <v>0</v>
      </c>
      <c r="AL51" s="414">
        <f t="shared" si="293"/>
        <v>0</v>
      </c>
      <c r="AM51" s="414">
        <f t="shared" si="293"/>
        <v>0</v>
      </c>
      <c r="AN51" s="414">
        <f t="shared" si="293"/>
        <v>0</v>
      </c>
      <c r="AO51" s="414">
        <f t="shared" si="293"/>
        <v>0</v>
      </c>
      <c r="AP51" s="414">
        <f t="shared" si="293"/>
        <v>0</v>
      </c>
      <c r="AQ51" s="414">
        <f t="shared" si="293"/>
        <v>0</v>
      </c>
      <c r="AR51" s="414">
        <f t="shared" si="293"/>
        <v>0</v>
      </c>
      <c r="AS51" s="414">
        <f t="shared" si="293"/>
        <v>0</v>
      </c>
      <c r="AT51" s="414">
        <f t="shared" si="293"/>
        <v>0</v>
      </c>
      <c r="AU51" s="415">
        <f t="shared" si="293"/>
        <v>0</v>
      </c>
      <c r="AV51" s="416">
        <f t="shared" si="293"/>
        <v>0</v>
      </c>
      <c r="AW51" s="414">
        <f t="shared" si="293"/>
        <v>0</v>
      </c>
      <c r="AX51" s="414">
        <f t="shared" si="293"/>
        <v>0</v>
      </c>
      <c r="AY51" s="414">
        <f t="shared" si="293"/>
        <v>0</v>
      </c>
      <c r="AZ51" s="414">
        <f t="shared" si="293"/>
        <v>0</v>
      </c>
      <c r="BA51" s="414">
        <f t="shared" si="293"/>
        <v>0</v>
      </c>
      <c r="BB51" s="414">
        <f t="shared" si="293"/>
        <v>0</v>
      </c>
      <c r="BC51" s="414">
        <f t="shared" si="293"/>
        <v>0</v>
      </c>
      <c r="BD51" s="414">
        <f t="shared" si="293"/>
        <v>0</v>
      </c>
      <c r="BE51" s="414">
        <f t="shared" si="293"/>
        <v>0</v>
      </c>
      <c r="BF51" s="414">
        <f t="shared" si="293"/>
        <v>0</v>
      </c>
      <c r="BG51" s="415">
        <f t="shared" si="293"/>
        <v>0</v>
      </c>
      <c r="BH51" s="416">
        <f t="shared" ref="BH51:BS51" si="294">IF($F51&lt;(BH$3+1),$L51/12,0)*IF($G51&gt;(BH$3),1,0)*$I51</f>
        <v>0</v>
      </c>
      <c r="BI51" s="414">
        <f t="shared" si="294"/>
        <v>0</v>
      </c>
      <c r="BJ51" s="414">
        <f t="shared" si="294"/>
        <v>0</v>
      </c>
      <c r="BK51" s="414">
        <f t="shared" si="294"/>
        <v>0</v>
      </c>
      <c r="BL51" s="414">
        <f t="shared" si="294"/>
        <v>0</v>
      </c>
      <c r="BM51" s="414">
        <f t="shared" si="294"/>
        <v>0</v>
      </c>
      <c r="BN51" s="414">
        <f t="shared" si="294"/>
        <v>0</v>
      </c>
      <c r="BO51" s="414">
        <f t="shared" si="294"/>
        <v>0</v>
      </c>
      <c r="BP51" s="414">
        <f t="shared" si="294"/>
        <v>0</v>
      </c>
      <c r="BQ51" s="414">
        <f t="shared" si="294"/>
        <v>0</v>
      </c>
      <c r="BR51" s="414">
        <f t="shared" si="294"/>
        <v>0</v>
      </c>
      <c r="BS51" s="415">
        <f t="shared" si="294"/>
        <v>0</v>
      </c>
      <c r="BT51" s="416">
        <f t="shared" ref="BT51:CE51" si="295">IF($F51&lt;(BT$3+1),$M51/12,0)*IF($G51&gt;(BT$3),1,0)*$I51</f>
        <v>0</v>
      </c>
      <c r="BU51" s="414">
        <f t="shared" si="295"/>
        <v>0</v>
      </c>
      <c r="BV51" s="414">
        <f t="shared" si="295"/>
        <v>0</v>
      </c>
      <c r="BW51" s="414">
        <f t="shared" si="295"/>
        <v>0</v>
      </c>
      <c r="BX51" s="414">
        <f t="shared" si="295"/>
        <v>0</v>
      </c>
      <c r="BY51" s="414">
        <f t="shared" si="295"/>
        <v>0</v>
      </c>
      <c r="BZ51" s="414">
        <f t="shared" si="295"/>
        <v>0</v>
      </c>
      <c r="CA51" s="414">
        <f t="shared" si="295"/>
        <v>0</v>
      </c>
      <c r="CB51" s="414">
        <f t="shared" si="295"/>
        <v>0</v>
      </c>
      <c r="CC51" s="414">
        <f t="shared" si="295"/>
        <v>0</v>
      </c>
      <c r="CD51" s="414">
        <f t="shared" si="295"/>
        <v>0</v>
      </c>
      <c r="CE51" s="415">
        <f t="shared" si="295"/>
        <v>0</v>
      </c>
      <c r="CF51" s="416">
        <f t="shared" ref="CF51:CQ51" si="296">IF($F51&lt;(CF$3+1),$N51/12,0)*IF($G51&gt;(CF$3),1,0)*$I51</f>
        <v>0</v>
      </c>
      <c r="CG51" s="414">
        <f t="shared" si="296"/>
        <v>0</v>
      </c>
      <c r="CH51" s="414">
        <f t="shared" si="296"/>
        <v>0</v>
      </c>
      <c r="CI51" s="414">
        <f t="shared" si="296"/>
        <v>0</v>
      </c>
      <c r="CJ51" s="414">
        <f t="shared" si="296"/>
        <v>0</v>
      </c>
      <c r="CK51" s="414">
        <f t="shared" si="296"/>
        <v>0</v>
      </c>
      <c r="CL51" s="414">
        <f t="shared" si="296"/>
        <v>0</v>
      </c>
      <c r="CM51" s="414">
        <f t="shared" si="296"/>
        <v>0</v>
      </c>
      <c r="CN51" s="414">
        <f t="shared" si="296"/>
        <v>0</v>
      </c>
      <c r="CO51" s="414">
        <f t="shared" si="296"/>
        <v>0</v>
      </c>
      <c r="CP51" s="414">
        <f t="shared" si="296"/>
        <v>0</v>
      </c>
      <c r="CQ51" s="415">
        <f t="shared" si="296"/>
        <v>0</v>
      </c>
      <c r="CR51" s="407"/>
      <c r="CS51" s="407" t="e">
        <f t="shared" ca="1" si="290"/>
        <v>#NAME?</v>
      </c>
      <c r="CT51" s="407">
        <f t="shared" si="7"/>
        <v>0</v>
      </c>
      <c r="CU51" s="412">
        <f>'Annexe C  Plan produit'!$H$52</f>
        <v>46082</v>
      </c>
      <c r="CV51" s="412">
        <f>'Annexe C  Plan produit'!$I$54</f>
        <v>47090.5</v>
      </c>
    </row>
    <row r="52" spans="1:100" ht="15">
      <c r="A52" s="400" t="s">
        <v>276</v>
      </c>
      <c r="B52" s="401" t="s">
        <v>85</v>
      </c>
      <c r="C52" s="11" t="s">
        <v>277</v>
      </c>
      <c r="D52" s="4"/>
      <c r="E52" s="420"/>
      <c r="F52" s="421">
        <f>'Plan stratégique  likewatt'!G40+180</f>
        <v>48061</v>
      </c>
      <c r="G52" s="403">
        <v>51161</v>
      </c>
      <c r="H52" s="404"/>
      <c r="I52" s="417">
        <v>2</v>
      </c>
      <c r="J52" s="406">
        <v>80000</v>
      </c>
      <c r="K52" s="407">
        <f t="shared" ref="K52:O52" si="297">J52*(1+5%)</f>
        <v>84000</v>
      </c>
      <c r="L52" s="407">
        <f t="shared" si="297"/>
        <v>88200</v>
      </c>
      <c r="M52" s="407">
        <f t="shared" si="297"/>
        <v>92610</v>
      </c>
      <c r="N52" s="407">
        <f t="shared" si="297"/>
        <v>97240.5</v>
      </c>
      <c r="O52" s="407">
        <f t="shared" si="297"/>
        <v>102102.52500000001</v>
      </c>
      <c r="P52" s="408">
        <v>0.15</v>
      </c>
      <c r="Q52" s="414">
        <f t="shared" ref="Q52:W52" si="298">IF($F52&lt;(Q$3+1),$J52/12,0)*IF($G52&gt;(Q$3),1,0)*$I52</f>
        <v>0</v>
      </c>
      <c r="R52" s="414">
        <f t="shared" si="298"/>
        <v>0</v>
      </c>
      <c r="S52" s="414">
        <f t="shared" si="298"/>
        <v>0</v>
      </c>
      <c r="T52" s="414">
        <f t="shared" si="298"/>
        <v>0</v>
      </c>
      <c r="U52" s="414">
        <f t="shared" si="298"/>
        <v>0</v>
      </c>
      <c r="V52" s="414">
        <f t="shared" si="298"/>
        <v>0</v>
      </c>
      <c r="W52" s="415">
        <f t="shared" si="298"/>
        <v>0</v>
      </c>
      <c r="X52" s="416">
        <f t="shared" ref="X52:BG52" si="299">IF($F52&lt;(X$3+1),$K52/12,0)*IF($G52&gt;(X$3),1,0)*$I52</f>
        <v>0</v>
      </c>
      <c r="Y52" s="414">
        <f t="shared" si="299"/>
        <v>0</v>
      </c>
      <c r="Z52" s="414">
        <f t="shared" si="299"/>
        <v>0</v>
      </c>
      <c r="AA52" s="414">
        <f t="shared" si="299"/>
        <v>0</v>
      </c>
      <c r="AB52" s="414">
        <f t="shared" si="299"/>
        <v>0</v>
      </c>
      <c r="AC52" s="414">
        <f t="shared" si="299"/>
        <v>0</v>
      </c>
      <c r="AD52" s="414">
        <f t="shared" si="299"/>
        <v>0</v>
      </c>
      <c r="AE52" s="414">
        <f t="shared" si="299"/>
        <v>0</v>
      </c>
      <c r="AF52" s="414">
        <f t="shared" si="299"/>
        <v>0</v>
      </c>
      <c r="AG52" s="414">
        <f t="shared" si="299"/>
        <v>0</v>
      </c>
      <c r="AH52" s="414">
        <f t="shared" si="299"/>
        <v>0</v>
      </c>
      <c r="AI52" s="415">
        <f t="shared" si="299"/>
        <v>0</v>
      </c>
      <c r="AJ52" s="416">
        <f t="shared" si="299"/>
        <v>0</v>
      </c>
      <c r="AK52" s="414">
        <f t="shared" si="299"/>
        <v>0</v>
      </c>
      <c r="AL52" s="414">
        <f t="shared" si="299"/>
        <v>0</v>
      </c>
      <c r="AM52" s="414">
        <f t="shared" si="299"/>
        <v>0</v>
      </c>
      <c r="AN52" s="414">
        <f t="shared" si="299"/>
        <v>0</v>
      </c>
      <c r="AO52" s="414">
        <f t="shared" si="299"/>
        <v>0</v>
      </c>
      <c r="AP52" s="414">
        <f t="shared" si="299"/>
        <v>0</v>
      </c>
      <c r="AQ52" s="414">
        <f t="shared" si="299"/>
        <v>0</v>
      </c>
      <c r="AR52" s="414">
        <f t="shared" si="299"/>
        <v>0</v>
      </c>
      <c r="AS52" s="414">
        <f t="shared" si="299"/>
        <v>0</v>
      </c>
      <c r="AT52" s="414">
        <f t="shared" si="299"/>
        <v>0</v>
      </c>
      <c r="AU52" s="415">
        <f t="shared" si="299"/>
        <v>0</v>
      </c>
      <c r="AV52" s="416">
        <f t="shared" si="299"/>
        <v>0</v>
      </c>
      <c r="AW52" s="414">
        <f t="shared" si="299"/>
        <v>0</v>
      </c>
      <c r="AX52" s="414">
        <f t="shared" si="299"/>
        <v>0</v>
      </c>
      <c r="AY52" s="414">
        <f t="shared" si="299"/>
        <v>0</v>
      </c>
      <c r="AZ52" s="414">
        <f t="shared" si="299"/>
        <v>0</v>
      </c>
      <c r="BA52" s="414">
        <f t="shared" si="299"/>
        <v>0</v>
      </c>
      <c r="BB52" s="414">
        <f t="shared" si="299"/>
        <v>0</v>
      </c>
      <c r="BC52" s="414">
        <f t="shared" si="299"/>
        <v>0</v>
      </c>
      <c r="BD52" s="414">
        <f t="shared" si="299"/>
        <v>0</v>
      </c>
      <c r="BE52" s="414">
        <f t="shared" si="299"/>
        <v>0</v>
      </c>
      <c r="BF52" s="414">
        <f t="shared" si="299"/>
        <v>0</v>
      </c>
      <c r="BG52" s="415">
        <f t="shared" si="299"/>
        <v>0</v>
      </c>
      <c r="BH52" s="416">
        <f t="shared" ref="BH52:BS52" si="300">IF($F52&lt;(BH$3+1),$L52/12,0)*IF($G52&gt;(BH$3),1,0)*$I52</f>
        <v>0</v>
      </c>
      <c r="BI52" s="414">
        <f t="shared" si="300"/>
        <v>0</v>
      </c>
      <c r="BJ52" s="414">
        <f t="shared" si="300"/>
        <v>0</v>
      </c>
      <c r="BK52" s="414">
        <f t="shared" si="300"/>
        <v>0</v>
      </c>
      <c r="BL52" s="414">
        <f t="shared" si="300"/>
        <v>0</v>
      </c>
      <c r="BM52" s="414">
        <f t="shared" si="300"/>
        <v>0</v>
      </c>
      <c r="BN52" s="414">
        <f t="shared" si="300"/>
        <v>0</v>
      </c>
      <c r="BO52" s="414">
        <f t="shared" si="300"/>
        <v>0</v>
      </c>
      <c r="BP52" s="414">
        <f t="shared" si="300"/>
        <v>0</v>
      </c>
      <c r="BQ52" s="414">
        <f t="shared" si="300"/>
        <v>0</v>
      </c>
      <c r="BR52" s="414">
        <f t="shared" si="300"/>
        <v>0</v>
      </c>
      <c r="BS52" s="415">
        <f t="shared" si="300"/>
        <v>0</v>
      </c>
      <c r="BT52" s="416">
        <f t="shared" ref="BT52:CE52" si="301">IF($F52&lt;(BT$3+1),$M52/12,0)*IF($G52&gt;(BT$3),1,0)*$I52</f>
        <v>0</v>
      </c>
      <c r="BU52" s="414">
        <f t="shared" si="301"/>
        <v>0</v>
      </c>
      <c r="BV52" s="414">
        <f t="shared" si="301"/>
        <v>0</v>
      </c>
      <c r="BW52" s="414">
        <f t="shared" si="301"/>
        <v>0</v>
      </c>
      <c r="BX52" s="414">
        <f t="shared" si="301"/>
        <v>0</v>
      </c>
      <c r="BY52" s="414">
        <f t="shared" si="301"/>
        <v>0</v>
      </c>
      <c r="BZ52" s="414">
        <f t="shared" si="301"/>
        <v>0</v>
      </c>
      <c r="CA52" s="414">
        <f t="shared" si="301"/>
        <v>0</v>
      </c>
      <c r="CB52" s="414">
        <f t="shared" si="301"/>
        <v>0</v>
      </c>
      <c r="CC52" s="414">
        <f t="shared" si="301"/>
        <v>0</v>
      </c>
      <c r="CD52" s="414">
        <f t="shared" si="301"/>
        <v>0</v>
      </c>
      <c r="CE52" s="415">
        <f t="shared" si="301"/>
        <v>0</v>
      </c>
      <c r="CF52" s="416">
        <f t="shared" ref="CF52:CQ52" si="302">IF($F52&lt;(CF$3+1),$N52/12,0)*IF($G52&gt;(CF$3),1,0)*$I52</f>
        <v>0</v>
      </c>
      <c r="CG52" s="414">
        <f t="shared" si="302"/>
        <v>0</v>
      </c>
      <c r="CH52" s="414">
        <f t="shared" si="302"/>
        <v>0</v>
      </c>
      <c r="CI52" s="414">
        <f t="shared" si="302"/>
        <v>0</v>
      </c>
      <c r="CJ52" s="414">
        <f t="shared" si="302"/>
        <v>0</v>
      </c>
      <c r="CK52" s="414">
        <f t="shared" si="302"/>
        <v>0</v>
      </c>
      <c r="CL52" s="414">
        <f t="shared" si="302"/>
        <v>0</v>
      </c>
      <c r="CM52" s="414">
        <f t="shared" si="302"/>
        <v>16206.75</v>
      </c>
      <c r="CN52" s="414">
        <f t="shared" si="302"/>
        <v>16206.75</v>
      </c>
      <c r="CO52" s="414">
        <f t="shared" si="302"/>
        <v>16206.75</v>
      </c>
      <c r="CP52" s="414">
        <f t="shared" si="302"/>
        <v>16206.75</v>
      </c>
      <c r="CQ52" s="415">
        <f t="shared" si="302"/>
        <v>16206.75</v>
      </c>
      <c r="CR52" s="407"/>
      <c r="CS52" s="407"/>
      <c r="CT52" s="407">
        <f t="shared" si="7"/>
        <v>0</v>
      </c>
      <c r="CU52" s="412">
        <f>'Annexe C  Plan produit'!$H$52</f>
        <v>46082</v>
      </c>
      <c r="CV52" s="412">
        <f>'Annexe C  Plan produit'!$I$54</f>
        <v>47090.5</v>
      </c>
    </row>
    <row r="53" spans="1:100" ht="15">
      <c r="A53" s="400" t="s">
        <v>276</v>
      </c>
      <c r="B53" s="401" t="s">
        <v>84</v>
      </c>
      <c r="C53" s="401" t="s">
        <v>315</v>
      </c>
      <c r="D53" s="4"/>
      <c r="E53" s="420"/>
      <c r="F53" s="421">
        <f>'Plan stratégique  likewatt'!G39+36*30.5</f>
        <v>48613</v>
      </c>
      <c r="G53" s="403">
        <v>51161</v>
      </c>
      <c r="H53" s="404"/>
      <c r="I53" s="417">
        <v>2</v>
      </c>
      <c r="J53" s="406">
        <v>40000</v>
      </c>
      <c r="K53" s="407">
        <f t="shared" ref="K53:O53" si="303">J53*(1+5%)</f>
        <v>42000</v>
      </c>
      <c r="L53" s="407">
        <f t="shared" si="303"/>
        <v>44100</v>
      </c>
      <c r="M53" s="407">
        <f t="shared" si="303"/>
        <v>46305</v>
      </c>
      <c r="N53" s="407">
        <f t="shared" si="303"/>
        <v>48620.25</v>
      </c>
      <c r="O53" s="407">
        <f t="shared" si="303"/>
        <v>51051.262500000004</v>
      </c>
      <c r="P53" s="408">
        <v>0.15</v>
      </c>
      <c r="Q53" s="414">
        <f t="shared" ref="Q53:W53" si="304">IF($F53&lt;(Q$3+1),$J53/12,0)*IF($G53&gt;(Q$3),1,0)*$I53</f>
        <v>0</v>
      </c>
      <c r="R53" s="414">
        <f t="shared" si="304"/>
        <v>0</v>
      </c>
      <c r="S53" s="414">
        <f t="shared" si="304"/>
        <v>0</v>
      </c>
      <c r="T53" s="414">
        <f t="shared" si="304"/>
        <v>0</v>
      </c>
      <c r="U53" s="414">
        <f t="shared" si="304"/>
        <v>0</v>
      </c>
      <c r="V53" s="414">
        <f t="shared" si="304"/>
        <v>0</v>
      </c>
      <c r="W53" s="415">
        <f t="shared" si="304"/>
        <v>0</v>
      </c>
      <c r="X53" s="416">
        <f t="shared" ref="X53:BG53" si="305">IF($F53&lt;(X$3+1),$K53/12,0)*IF($G53&gt;(X$3),1,0)*$I53</f>
        <v>0</v>
      </c>
      <c r="Y53" s="414">
        <f t="shared" si="305"/>
        <v>0</v>
      </c>
      <c r="Z53" s="414">
        <f t="shared" si="305"/>
        <v>0</v>
      </c>
      <c r="AA53" s="414">
        <f t="shared" si="305"/>
        <v>0</v>
      </c>
      <c r="AB53" s="414">
        <f t="shared" si="305"/>
        <v>0</v>
      </c>
      <c r="AC53" s="414">
        <f t="shared" si="305"/>
        <v>0</v>
      </c>
      <c r="AD53" s="414">
        <f t="shared" si="305"/>
        <v>0</v>
      </c>
      <c r="AE53" s="414">
        <f t="shared" si="305"/>
        <v>0</v>
      </c>
      <c r="AF53" s="414">
        <f t="shared" si="305"/>
        <v>0</v>
      </c>
      <c r="AG53" s="414">
        <f t="shared" si="305"/>
        <v>0</v>
      </c>
      <c r="AH53" s="414">
        <f t="shared" si="305"/>
        <v>0</v>
      </c>
      <c r="AI53" s="415">
        <f t="shared" si="305"/>
        <v>0</v>
      </c>
      <c r="AJ53" s="416">
        <f t="shared" si="305"/>
        <v>0</v>
      </c>
      <c r="AK53" s="414">
        <f t="shared" si="305"/>
        <v>0</v>
      </c>
      <c r="AL53" s="414">
        <f t="shared" si="305"/>
        <v>0</v>
      </c>
      <c r="AM53" s="414">
        <f t="shared" si="305"/>
        <v>0</v>
      </c>
      <c r="AN53" s="414">
        <f t="shared" si="305"/>
        <v>0</v>
      </c>
      <c r="AO53" s="414">
        <f t="shared" si="305"/>
        <v>0</v>
      </c>
      <c r="AP53" s="414">
        <f t="shared" si="305"/>
        <v>0</v>
      </c>
      <c r="AQ53" s="414">
        <f t="shared" si="305"/>
        <v>0</v>
      </c>
      <c r="AR53" s="414">
        <f t="shared" si="305"/>
        <v>0</v>
      </c>
      <c r="AS53" s="414">
        <f t="shared" si="305"/>
        <v>0</v>
      </c>
      <c r="AT53" s="414">
        <f t="shared" si="305"/>
        <v>0</v>
      </c>
      <c r="AU53" s="415">
        <f t="shared" si="305"/>
        <v>0</v>
      </c>
      <c r="AV53" s="416">
        <f t="shared" si="305"/>
        <v>0</v>
      </c>
      <c r="AW53" s="414">
        <f t="shared" si="305"/>
        <v>0</v>
      </c>
      <c r="AX53" s="414">
        <f t="shared" si="305"/>
        <v>0</v>
      </c>
      <c r="AY53" s="414">
        <f t="shared" si="305"/>
        <v>0</v>
      </c>
      <c r="AZ53" s="414">
        <f t="shared" si="305"/>
        <v>0</v>
      </c>
      <c r="BA53" s="414">
        <f t="shared" si="305"/>
        <v>0</v>
      </c>
      <c r="BB53" s="414">
        <f t="shared" si="305"/>
        <v>0</v>
      </c>
      <c r="BC53" s="414">
        <f t="shared" si="305"/>
        <v>0</v>
      </c>
      <c r="BD53" s="414">
        <f t="shared" si="305"/>
        <v>0</v>
      </c>
      <c r="BE53" s="414">
        <f t="shared" si="305"/>
        <v>0</v>
      </c>
      <c r="BF53" s="414">
        <f t="shared" si="305"/>
        <v>0</v>
      </c>
      <c r="BG53" s="415">
        <f t="shared" si="305"/>
        <v>0</v>
      </c>
      <c r="BH53" s="416">
        <f t="shared" ref="BH53:BS53" si="306">IF($F53&lt;(BH$3+1),$L53/12,0)*IF($G53&gt;(BH$3),1,0)*$I53</f>
        <v>0</v>
      </c>
      <c r="BI53" s="414">
        <f t="shared" si="306"/>
        <v>0</v>
      </c>
      <c r="BJ53" s="414">
        <f t="shared" si="306"/>
        <v>0</v>
      </c>
      <c r="BK53" s="414">
        <f t="shared" si="306"/>
        <v>0</v>
      </c>
      <c r="BL53" s="414">
        <f t="shared" si="306"/>
        <v>0</v>
      </c>
      <c r="BM53" s="414">
        <f t="shared" si="306"/>
        <v>0</v>
      </c>
      <c r="BN53" s="414">
        <f t="shared" si="306"/>
        <v>0</v>
      </c>
      <c r="BO53" s="414">
        <f t="shared" si="306"/>
        <v>0</v>
      </c>
      <c r="BP53" s="414">
        <f t="shared" si="306"/>
        <v>0</v>
      </c>
      <c r="BQ53" s="414">
        <f t="shared" si="306"/>
        <v>0</v>
      </c>
      <c r="BR53" s="414">
        <f t="shared" si="306"/>
        <v>0</v>
      </c>
      <c r="BS53" s="415">
        <f t="shared" si="306"/>
        <v>0</v>
      </c>
      <c r="BT53" s="416">
        <f t="shared" ref="BT53:CE53" si="307">IF($F53&lt;(BT$3+1),$M53/12,0)*IF($G53&gt;(BT$3),1,0)*$I53</f>
        <v>0</v>
      </c>
      <c r="BU53" s="414">
        <f t="shared" si="307"/>
        <v>0</v>
      </c>
      <c r="BV53" s="414">
        <f t="shared" si="307"/>
        <v>0</v>
      </c>
      <c r="BW53" s="414">
        <f t="shared" si="307"/>
        <v>0</v>
      </c>
      <c r="BX53" s="414">
        <f t="shared" si="307"/>
        <v>0</v>
      </c>
      <c r="BY53" s="414">
        <f t="shared" si="307"/>
        <v>0</v>
      </c>
      <c r="BZ53" s="414">
        <f t="shared" si="307"/>
        <v>0</v>
      </c>
      <c r="CA53" s="414">
        <f t="shared" si="307"/>
        <v>0</v>
      </c>
      <c r="CB53" s="414">
        <f t="shared" si="307"/>
        <v>0</v>
      </c>
      <c r="CC53" s="414">
        <f t="shared" si="307"/>
        <v>0</v>
      </c>
      <c r="CD53" s="414">
        <f t="shared" si="307"/>
        <v>0</v>
      </c>
      <c r="CE53" s="415">
        <f t="shared" si="307"/>
        <v>0</v>
      </c>
      <c r="CF53" s="416">
        <f t="shared" ref="CF53:CQ53" si="308">IF($F53&lt;(CF$3+1),$N53/12,0)*IF($G53&gt;(CF$3),1,0)*$I53</f>
        <v>0</v>
      </c>
      <c r="CG53" s="414">
        <f t="shared" si="308"/>
        <v>0</v>
      </c>
      <c r="CH53" s="414">
        <f t="shared" si="308"/>
        <v>0</v>
      </c>
      <c r="CI53" s="414">
        <f t="shared" si="308"/>
        <v>0</v>
      </c>
      <c r="CJ53" s="414">
        <f t="shared" si="308"/>
        <v>0</v>
      </c>
      <c r="CK53" s="414">
        <f t="shared" si="308"/>
        <v>0</v>
      </c>
      <c r="CL53" s="414">
        <f t="shared" si="308"/>
        <v>0</v>
      </c>
      <c r="CM53" s="414">
        <f t="shared" si="308"/>
        <v>0</v>
      </c>
      <c r="CN53" s="414">
        <f t="shared" si="308"/>
        <v>0</v>
      </c>
      <c r="CO53" s="414">
        <f t="shared" si="308"/>
        <v>0</v>
      </c>
      <c r="CP53" s="414">
        <f t="shared" si="308"/>
        <v>0</v>
      </c>
      <c r="CQ53" s="415">
        <f t="shared" si="308"/>
        <v>0</v>
      </c>
      <c r="CR53" s="407"/>
      <c r="CS53" s="407" t="e">
        <f t="shared" ref="CS53:CS60" ca="1" si="309">SUM($Q56:$CQ56)*(1+_xludf.IFS(B53="FR",$C$99,B53="ES",$D$99,B53="CH",$E$99,B53="BE",$F$99,B53="DE",$G$99))</f>
        <v>#NAME?</v>
      </c>
      <c r="CT53" s="407">
        <f t="shared" si="7"/>
        <v>0</v>
      </c>
      <c r="CU53" s="412">
        <f>'Annexe C  Plan produit'!$H$52</f>
        <v>46082</v>
      </c>
      <c r="CV53" s="412">
        <f>'Annexe C  Plan produit'!$I$54</f>
        <v>47090.5</v>
      </c>
    </row>
    <row r="54" spans="1:100" ht="15">
      <c r="A54" s="400" t="s">
        <v>270</v>
      </c>
      <c r="B54" s="401" t="s">
        <v>84</v>
      </c>
      <c r="C54" s="401" t="s">
        <v>309</v>
      </c>
      <c r="D54" s="4"/>
      <c r="E54" s="420"/>
      <c r="F54" s="421">
        <f>'Plan stratégique  likewatt'!G39+460</f>
        <v>47975</v>
      </c>
      <c r="G54" s="403">
        <v>51161</v>
      </c>
      <c r="H54" s="404"/>
      <c r="I54" s="417">
        <v>2</v>
      </c>
      <c r="J54" s="406">
        <v>40000</v>
      </c>
      <c r="K54" s="407">
        <f t="shared" ref="K54:O54" si="310">J54*(1+5%)</f>
        <v>42000</v>
      </c>
      <c r="L54" s="407">
        <f t="shared" si="310"/>
        <v>44100</v>
      </c>
      <c r="M54" s="407">
        <f t="shared" si="310"/>
        <v>46305</v>
      </c>
      <c r="N54" s="407">
        <f t="shared" si="310"/>
        <v>48620.25</v>
      </c>
      <c r="O54" s="407">
        <f t="shared" si="310"/>
        <v>51051.262500000004</v>
      </c>
      <c r="P54" s="408">
        <v>0.15</v>
      </c>
      <c r="Q54" s="414">
        <f t="shared" ref="Q54:W54" si="311">IF($F54&lt;(Q$3+1),$J54/12,0)*IF($G54&gt;(Q$3),1,0)*$I54</f>
        <v>0</v>
      </c>
      <c r="R54" s="414">
        <f t="shared" si="311"/>
        <v>0</v>
      </c>
      <c r="S54" s="414">
        <f t="shared" si="311"/>
        <v>0</v>
      </c>
      <c r="T54" s="414">
        <f t="shared" si="311"/>
        <v>0</v>
      </c>
      <c r="U54" s="414">
        <f t="shared" si="311"/>
        <v>0</v>
      </c>
      <c r="V54" s="414">
        <f t="shared" si="311"/>
        <v>0</v>
      </c>
      <c r="W54" s="415">
        <f t="shared" si="311"/>
        <v>0</v>
      </c>
      <c r="X54" s="416">
        <f t="shared" ref="X54:BG54" si="312">IF($F54&lt;(X$3+1),$K54/12,0)*IF($G54&gt;(X$3),1,0)*$I54</f>
        <v>0</v>
      </c>
      <c r="Y54" s="414">
        <f t="shared" si="312"/>
        <v>0</v>
      </c>
      <c r="Z54" s="414">
        <f t="shared" si="312"/>
        <v>0</v>
      </c>
      <c r="AA54" s="414">
        <f t="shared" si="312"/>
        <v>0</v>
      </c>
      <c r="AB54" s="414">
        <f t="shared" si="312"/>
        <v>0</v>
      </c>
      <c r="AC54" s="414">
        <f t="shared" si="312"/>
        <v>0</v>
      </c>
      <c r="AD54" s="414">
        <f t="shared" si="312"/>
        <v>0</v>
      </c>
      <c r="AE54" s="414">
        <f t="shared" si="312"/>
        <v>0</v>
      </c>
      <c r="AF54" s="414">
        <f t="shared" si="312"/>
        <v>0</v>
      </c>
      <c r="AG54" s="414">
        <f t="shared" si="312"/>
        <v>0</v>
      </c>
      <c r="AH54" s="414">
        <f t="shared" si="312"/>
        <v>0</v>
      </c>
      <c r="AI54" s="415">
        <f t="shared" si="312"/>
        <v>0</v>
      </c>
      <c r="AJ54" s="416">
        <f t="shared" si="312"/>
        <v>0</v>
      </c>
      <c r="AK54" s="414">
        <f t="shared" si="312"/>
        <v>0</v>
      </c>
      <c r="AL54" s="414">
        <f t="shared" si="312"/>
        <v>0</v>
      </c>
      <c r="AM54" s="414">
        <f t="shared" si="312"/>
        <v>0</v>
      </c>
      <c r="AN54" s="414">
        <f t="shared" si="312"/>
        <v>0</v>
      </c>
      <c r="AO54" s="414">
        <f t="shared" si="312"/>
        <v>0</v>
      </c>
      <c r="AP54" s="414">
        <f t="shared" si="312"/>
        <v>0</v>
      </c>
      <c r="AQ54" s="414">
        <f t="shared" si="312"/>
        <v>0</v>
      </c>
      <c r="AR54" s="414">
        <f t="shared" si="312"/>
        <v>0</v>
      </c>
      <c r="AS54" s="414">
        <f t="shared" si="312"/>
        <v>0</v>
      </c>
      <c r="AT54" s="414">
        <f t="shared" si="312"/>
        <v>0</v>
      </c>
      <c r="AU54" s="415">
        <f t="shared" si="312"/>
        <v>0</v>
      </c>
      <c r="AV54" s="416">
        <f t="shared" si="312"/>
        <v>0</v>
      </c>
      <c r="AW54" s="414">
        <f t="shared" si="312"/>
        <v>0</v>
      </c>
      <c r="AX54" s="414">
        <f t="shared" si="312"/>
        <v>0</v>
      </c>
      <c r="AY54" s="414">
        <f t="shared" si="312"/>
        <v>0</v>
      </c>
      <c r="AZ54" s="414">
        <f t="shared" si="312"/>
        <v>0</v>
      </c>
      <c r="BA54" s="414">
        <f t="shared" si="312"/>
        <v>0</v>
      </c>
      <c r="BB54" s="414">
        <f t="shared" si="312"/>
        <v>0</v>
      </c>
      <c r="BC54" s="414">
        <f t="shared" si="312"/>
        <v>0</v>
      </c>
      <c r="BD54" s="414">
        <f t="shared" si="312"/>
        <v>0</v>
      </c>
      <c r="BE54" s="414">
        <f t="shared" si="312"/>
        <v>0</v>
      </c>
      <c r="BF54" s="414">
        <f t="shared" si="312"/>
        <v>0</v>
      </c>
      <c r="BG54" s="415">
        <f t="shared" si="312"/>
        <v>0</v>
      </c>
      <c r="BH54" s="416">
        <f t="shared" ref="BH54:BS54" si="313">IF($F54&lt;(BH$3+1),$L54/12,0)*IF($G54&gt;(BH$3),1,0)*$I54</f>
        <v>0</v>
      </c>
      <c r="BI54" s="414">
        <f t="shared" si="313"/>
        <v>0</v>
      </c>
      <c r="BJ54" s="414">
        <f t="shared" si="313"/>
        <v>0</v>
      </c>
      <c r="BK54" s="414">
        <f t="shared" si="313"/>
        <v>0</v>
      </c>
      <c r="BL54" s="414">
        <f t="shared" si="313"/>
        <v>0</v>
      </c>
      <c r="BM54" s="414">
        <f t="shared" si="313"/>
        <v>0</v>
      </c>
      <c r="BN54" s="414">
        <f t="shared" si="313"/>
        <v>0</v>
      </c>
      <c r="BO54" s="414">
        <f t="shared" si="313"/>
        <v>0</v>
      </c>
      <c r="BP54" s="414">
        <f t="shared" si="313"/>
        <v>0</v>
      </c>
      <c r="BQ54" s="414">
        <f t="shared" si="313"/>
        <v>0</v>
      </c>
      <c r="BR54" s="414">
        <f t="shared" si="313"/>
        <v>0</v>
      </c>
      <c r="BS54" s="415">
        <f t="shared" si="313"/>
        <v>0</v>
      </c>
      <c r="BT54" s="416">
        <f t="shared" ref="BT54:CE54" si="314">IF($F54&lt;(BT$3+1),$M54/12,0)*IF($G54&gt;(BT$3),1,0)*$I54</f>
        <v>0</v>
      </c>
      <c r="BU54" s="414">
        <f t="shared" si="314"/>
        <v>0</v>
      </c>
      <c r="BV54" s="414">
        <f t="shared" si="314"/>
        <v>0</v>
      </c>
      <c r="BW54" s="414">
        <f t="shared" si="314"/>
        <v>0</v>
      </c>
      <c r="BX54" s="414">
        <f t="shared" si="314"/>
        <v>0</v>
      </c>
      <c r="BY54" s="414">
        <f t="shared" si="314"/>
        <v>0</v>
      </c>
      <c r="BZ54" s="414">
        <f t="shared" si="314"/>
        <v>0</v>
      </c>
      <c r="CA54" s="414">
        <f t="shared" si="314"/>
        <v>0</v>
      </c>
      <c r="CB54" s="414">
        <f t="shared" si="314"/>
        <v>0</v>
      </c>
      <c r="CC54" s="414">
        <f t="shared" si="314"/>
        <v>0</v>
      </c>
      <c r="CD54" s="414">
        <f t="shared" si="314"/>
        <v>0</v>
      </c>
      <c r="CE54" s="415">
        <f t="shared" si="314"/>
        <v>0</v>
      </c>
      <c r="CF54" s="416">
        <f t="shared" ref="CF54:CQ54" si="315">IF($F54&lt;(CF$3+1),$N54/12,0)*IF($G54&gt;(CF$3),1,0)*$I54</f>
        <v>0</v>
      </c>
      <c r="CG54" s="414">
        <f t="shared" si="315"/>
        <v>0</v>
      </c>
      <c r="CH54" s="414">
        <f t="shared" si="315"/>
        <v>0</v>
      </c>
      <c r="CI54" s="414">
        <f t="shared" si="315"/>
        <v>0</v>
      </c>
      <c r="CJ54" s="414">
        <f t="shared" si="315"/>
        <v>0</v>
      </c>
      <c r="CK54" s="414">
        <f t="shared" si="315"/>
        <v>8103.375</v>
      </c>
      <c r="CL54" s="414">
        <f t="shared" si="315"/>
        <v>8103.375</v>
      </c>
      <c r="CM54" s="414">
        <f t="shared" si="315"/>
        <v>8103.375</v>
      </c>
      <c r="CN54" s="414">
        <f t="shared" si="315"/>
        <v>8103.375</v>
      </c>
      <c r="CO54" s="414">
        <f t="shared" si="315"/>
        <v>8103.375</v>
      </c>
      <c r="CP54" s="414">
        <f t="shared" si="315"/>
        <v>8103.375</v>
      </c>
      <c r="CQ54" s="415">
        <f t="shared" si="315"/>
        <v>8103.375</v>
      </c>
      <c r="CR54" s="407"/>
      <c r="CS54" s="407" t="e">
        <f t="shared" ca="1" si="309"/>
        <v>#NAME?</v>
      </c>
      <c r="CT54" s="407">
        <f t="shared" si="7"/>
        <v>0</v>
      </c>
      <c r="CU54" s="412">
        <f>'Annexe C  Plan produit'!$H$52</f>
        <v>46082</v>
      </c>
      <c r="CV54" s="412">
        <f>'Annexe C  Plan produit'!$I$54</f>
        <v>47090.5</v>
      </c>
    </row>
    <row r="55" spans="1:100" ht="15">
      <c r="A55" s="400" t="s">
        <v>279</v>
      </c>
      <c r="B55" s="401" t="s">
        <v>84</v>
      </c>
      <c r="C55" s="401" t="s">
        <v>316</v>
      </c>
      <c r="D55" s="4"/>
      <c r="E55" s="420"/>
      <c r="F55" s="421">
        <f>F$41+460</f>
        <v>48191</v>
      </c>
      <c r="G55" s="403">
        <v>51161</v>
      </c>
      <c r="H55" s="404"/>
      <c r="I55" s="417">
        <v>1</v>
      </c>
      <c r="J55" s="406">
        <v>40000</v>
      </c>
      <c r="K55" s="407">
        <f t="shared" ref="K55:O55" si="316">J55*(1+5%)</f>
        <v>42000</v>
      </c>
      <c r="L55" s="407">
        <f t="shared" si="316"/>
        <v>44100</v>
      </c>
      <c r="M55" s="407">
        <f t="shared" si="316"/>
        <v>46305</v>
      </c>
      <c r="N55" s="407">
        <f t="shared" si="316"/>
        <v>48620.25</v>
      </c>
      <c r="O55" s="407">
        <f t="shared" si="316"/>
        <v>51051.262500000004</v>
      </c>
      <c r="P55" s="408">
        <v>0.15</v>
      </c>
      <c r="Q55" s="414">
        <f t="shared" ref="Q55:W55" si="317">IF($F55&lt;(Q$3+1),$J55/12,0)*IF($G55&gt;(Q$3),1,0)*$I55</f>
        <v>0</v>
      </c>
      <c r="R55" s="414">
        <f t="shared" si="317"/>
        <v>0</v>
      </c>
      <c r="S55" s="414">
        <f t="shared" si="317"/>
        <v>0</v>
      </c>
      <c r="T55" s="414">
        <f t="shared" si="317"/>
        <v>0</v>
      </c>
      <c r="U55" s="414">
        <f t="shared" si="317"/>
        <v>0</v>
      </c>
      <c r="V55" s="414">
        <f t="shared" si="317"/>
        <v>0</v>
      </c>
      <c r="W55" s="415">
        <f t="shared" si="317"/>
        <v>0</v>
      </c>
      <c r="X55" s="416">
        <f t="shared" ref="X55:BG55" si="318">IF($F55&lt;(X$3+1),$K55/12,0)*IF($G55&gt;(X$3),1,0)*$I55</f>
        <v>0</v>
      </c>
      <c r="Y55" s="414">
        <f t="shared" si="318"/>
        <v>0</v>
      </c>
      <c r="Z55" s="414">
        <f t="shared" si="318"/>
        <v>0</v>
      </c>
      <c r="AA55" s="414">
        <f t="shared" si="318"/>
        <v>0</v>
      </c>
      <c r="AB55" s="414">
        <f t="shared" si="318"/>
        <v>0</v>
      </c>
      <c r="AC55" s="414">
        <f t="shared" si="318"/>
        <v>0</v>
      </c>
      <c r="AD55" s="414">
        <f t="shared" si="318"/>
        <v>0</v>
      </c>
      <c r="AE55" s="414">
        <f t="shared" si="318"/>
        <v>0</v>
      </c>
      <c r="AF55" s="414">
        <f t="shared" si="318"/>
        <v>0</v>
      </c>
      <c r="AG55" s="414">
        <f t="shared" si="318"/>
        <v>0</v>
      </c>
      <c r="AH55" s="414">
        <f t="shared" si="318"/>
        <v>0</v>
      </c>
      <c r="AI55" s="415">
        <f t="shared" si="318"/>
        <v>0</v>
      </c>
      <c r="AJ55" s="416">
        <f t="shared" si="318"/>
        <v>0</v>
      </c>
      <c r="AK55" s="414">
        <f t="shared" si="318"/>
        <v>0</v>
      </c>
      <c r="AL55" s="414">
        <f t="shared" si="318"/>
        <v>0</v>
      </c>
      <c r="AM55" s="414">
        <f t="shared" si="318"/>
        <v>0</v>
      </c>
      <c r="AN55" s="414">
        <f t="shared" si="318"/>
        <v>0</v>
      </c>
      <c r="AO55" s="414">
        <f t="shared" si="318"/>
        <v>0</v>
      </c>
      <c r="AP55" s="414">
        <f t="shared" si="318"/>
        <v>0</v>
      </c>
      <c r="AQ55" s="414">
        <f t="shared" si="318"/>
        <v>0</v>
      </c>
      <c r="AR55" s="414">
        <f t="shared" si="318"/>
        <v>0</v>
      </c>
      <c r="AS55" s="414">
        <f t="shared" si="318"/>
        <v>0</v>
      </c>
      <c r="AT55" s="414">
        <f t="shared" si="318"/>
        <v>0</v>
      </c>
      <c r="AU55" s="415">
        <f t="shared" si="318"/>
        <v>0</v>
      </c>
      <c r="AV55" s="416">
        <f t="shared" si="318"/>
        <v>0</v>
      </c>
      <c r="AW55" s="414">
        <f t="shared" si="318"/>
        <v>0</v>
      </c>
      <c r="AX55" s="414">
        <f t="shared" si="318"/>
        <v>0</v>
      </c>
      <c r="AY55" s="414">
        <f t="shared" si="318"/>
        <v>0</v>
      </c>
      <c r="AZ55" s="414">
        <f t="shared" si="318"/>
        <v>0</v>
      </c>
      <c r="BA55" s="414">
        <f t="shared" si="318"/>
        <v>0</v>
      </c>
      <c r="BB55" s="414">
        <f t="shared" si="318"/>
        <v>0</v>
      </c>
      <c r="BC55" s="414">
        <f t="shared" si="318"/>
        <v>0</v>
      </c>
      <c r="BD55" s="414">
        <f t="shared" si="318"/>
        <v>0</v>
      </c>
      <c r="BE55" s="414">
        <f t="shared" si="318"/>
        <v>0</v>
      </c>
      <c r="BF55" s="414">
        <f t="shared" si="318"/>
        <v>0</v>
      </c>
      <c r="BG55" s="415">
        <f t="shared" si="318"/>
        <v>0</v>
      </c>
      <c r="BH55" s="416">
        <f t="shared" ref="BH55:BS55" si="319">IF($F55&lt;(BH$3+1),$L55/12,0)*IF($G55&gt;(BH$3),1,0)*$I55</f>
        <v>0</v>
      </c>
      <c r="BI55" s="414">
        <f t="shared" si="319"/>
        <v>0</v>
      </c>
      <c r="BJ55" s="414">
        <f t="shared" si="319"/>
        <v>0</v>
      </c>
      <c r="BK55" s="414">
        <f t="shared" si="319"/>
        <v>0</v>
      </c>
      <c r="BL55" s="414">
        <f t="shared" si="319"/>
        <v>0</v>
      </c>
      <c r="BM55" s="414">
        <f t="shared" si="319"/>
        <v>0</v>
      </c>
      <c r="BN55" s="414">
        <f t="shared" si="319"/>
        <v>0</v>
      </c>
      <c r="BO55" s="414">
        <f t="shared" si="319"/>
        <v>0</v>
      </c>
      <c r="BP55" s="414">
        <f t="shared" si="319"/>
        <v>0</v>
      </c>
      <c r="BQ55" s="414">
        <f t="shared" si="319"/>
        <v>0</v>
      </c>
      <c r="BR55" s="414">
        <f t="shared" si="319"/>
        <v>0</v>
      </c>
      <c r="BS55" s="415">
        <f t="shared" si="319"/>
        <v>0</v>
      </c>
      <c r="BT55" s="416">
        <f t="shared" ref="BT55:CE55" si="320">IF($F55&lt;(BT$3+1),$M55/12,0)*IF($G55&gt;(BT$3),1,0)*$I55</f>
        <v>0</v>
      </c>
      <c r="BU55" s="414">
        <f t="shared" si="320"/>
        <v>0</v>
      </c>
      <c r="BV55" s="414">
        <f t="shared" si="320"/>
        <v>0</v>
      </c>
      <c r="BW55" s="414">
        <f t="shared" si="320"/>
        <v>0</v>
      </c>
      <c r="BX55" s="414">
        <f t="shared" si="320"/>
        <v>0</v>
      </c>
      <c r="BY55" s="414">
        <f t="shared" si="320"/>
        <v>0</v>
      </c>
      <c r="BZ55" s="414">
        <f t="shared" si="320"/>
        <v>0</v>
      </c>
      <c r="CA55" s="414">
        <f t="shared" si="320"/>
        <v>0</v>
      </c>
      <c r="CB55" s="414">
        <f t="shared" si="320"/>
        <v>0</v>
      </c>
      <c r="CC55" s="414">
        <f t="shared" si="320"/>
        <v>0</v>
      </c>
      <c r="CD55" s="414">
        <f t="shared" si="320"/>
        <v>0</v>
      </c>
      <c r="CE55" s="415">
        <f t="shared" si="320"/>
        <v>0</v>
      </c>
      <c r="CF55" s="416">
        <f t="shared" ref="CF55:CQ55" si="321">IF($F55&lt;(CF$3+1),$N55/12,0)*IF($G55&gt;(CF$3),1,0)*$I55</f>
        <v>0</v>
      </c>
      <c r="CG55" s="414">
        <f t="shared" si="321"/>
        <v>0</v>
      </c>
      <c r="CH55" s="414">
        <f t="shared" si="321"/>
        <v>0</v>
      </c>
      <c r="CI55" s="414">
        <f t="shared" si="321"/>
        <v>0</v>
      </c>
      <c r="CJ55" s="414">
        <f t="shared" si="321"/>
        <v>0</v>
      </c>
      <c r="CK55" s="414">
        <f t="shared" si="321"/>
        <v>0</v>
      </c>
      <c r="CL55" s="414">
        <f t="shared" si="321"/>
        <v>0</v>
      </c>
      <c r="CM55" s="414">
        <f t="shared" si="321"/>
        <v>0</v>
      </c>
      <c r="CN55" s="414">
        <f t="shared" si="321"/>
        <v>0</v>
      </c>
      <c r="CO55" s="414">
        <f t="shared" si="321"/>
        <v>0</v>
      </c>
      <c r="CP55" s="414">
        <f t="shared" si="321"/>
        <v>0</v>
      </c>
      <c r="CQ55" s="415">
        <f t="shared" si="321"/>
        <v>0</v>
      </c>
      <c r="CR55" s="407"/>
      <c r="CS55" s="407" t="e">
        <f t="shared" ca="1" si="309"/>
        <v>#NAME?</v>
      </c>
      <c r="CT55" s="407">
        <f t="shared" si="7"/>
        <v>0</v>
      </c>
      <c r="CU55" s="412">
        <f>'Annexe C  Plan produit'!$H$52</f>
        <v>46082</v>
      </c>
      <c r="CV55" s="412">
        <f>'Annexe C  Plan produit'!$I$54</f>
        <v>47090.5</v>
      </c>
    </row>
    <row r="56" spans="1:100" ht="15">
      <c r="A56" s="400" t="s">
        <v>270</v>
      </c>
      <c r="B56" s="401" t="s">
        <v>85</v>
      </c>
      <c r="C56" s="401" t="s">
        <v>317</v>
      </c>
      <c r="D56" s="4"/>
      <c r="E56" s="420"/>
      <c r="F56" s="421">
        <f>'Plan stratégique  likewatt'!G40+100</f>
        <v>47981</v>
      </c>
      <c r="G56" s="403">
        <v>51161</v>
      </c>
      <c r="H56" s="404"/>
      <c r="I56" s="417">
        <v>1</v>
      </c>
      <c r="J56" s="406">
        <v>100000</v>
      </c>
      <c r="K56" s="407">
        <f t="shared" ref="K56:O56" si="322">J56*(1+5%)</f>
        <v>105000</v>
      </c>
      <c r="L56" s="407">
        <f t="shared" si="322"/>
        <v>110250</v>
      </c>
      <c r="M56" s="407">
        <f t="shared" si="322"/>
        <v>115762.5</v>
      </c>
      <c r="N56" s="407">
        <f t="shared" si="322"/>
        <v>121550.625</v>
      </c>
      <c r="O56" s="407">
        <f t="shared" si="322"/>
        <v>127628.15625</v>
      </c>
      <c r="P56" s="408">
        <v>0.15</v>
      </c>
      <c r="Q56" s="414">
        <f t="shared" ref="Q56:W56" si="323">IF($F56&lt;(Q$3+1),$J56/12,0)*IF($G56&gt;(Q$3),1,0)*$I56</f>
        <v>0</v>
      </c>
      <c r="R56" s="414">
        <f t="shared" si="323"/>
        <v>0</v>
      </c>
      <c r="S56" s="414">
        <f t="shared" si="323"/>
        <v>0</v>
      </c>
      <c r="T56" s="414">
        <f t="shared" si="323"/>
        <v>0</v>
      </c>
      <c r="U56" s="414">
        <f t="shared" si="323"/>
        <v>0</v>
      </c>
      <c r="V56" s="414">
        <f t="shared" si="323"/>
        <v>0</v>
      </c>
      <c r="W56" s="415">
        <f t="shared" si="323"/>
        <v>0</v>
      </c>
      <c r="X56" s="416">
        <f t="shared" ref="X56:BG56" si="324">IF($F56&lt;(X$3+1),$K56/12,0)*IF($G56&gt;(X$3),1,0)*$I56</f>
        <v>0</v>
      </c>
      <c r="Y56" s="414">
        <f t="shared" si="324"/>
        <v>0</v>
      </c>
      <c r="Z56" s="414">
        <f t="shared" si="324"/>
        <v>0</v>
      </c>
      <c r="AA56" s="414">
        <f t="shared" si="324"/>
        <v>0</v>
      </c>
      <c r="AB56" s="414">
        <f t="shared" si="324"/>
        <v>0</v>
      </c>
      <c r="AC56" s="414">
        <f t="shared" si="324"/>
        <v>0</v>
      </c>
      <c r="AD56" s="414">
        <f t="shared" si="324"/>
        <v>0</v>
      </c>
      <c r="AE56" s="414">
        <f t="shared" si="324"/>
        <v>0</v>
      </c>
      <c r="AF56" s="414">
        <f t="shared" si="324"/>
        <v>0</v>
      </c>
      <c r="AG56" s="414">
        <f t="shared" si="324"/>
        <v>0</v>
      </c>
      <c r="AH56" s="414">
        <f t="shared" si="324"/>
        <v>0</v>
      </c>
      <c r="AI56" s="415">
        <f t="shared" si="324"/>
        <v>0</v>
      </c>
      <c r="AJ56" s="416">
        <f t="shared" si="324"/>
        <v>0</v>
      </c>
      <c r="AK56" s="414">
        <f t="shared" si="324"/>
        <v>0</v>
      </c>
      <c r="AL56" s="414">
        <f t="shared" si="324"/>
        <v>0</v>
      </c>
      <c r="AM56" s="414">
        <f t="shared" si="324"/>
        <v>0</v>
      </c>
      <c r="AN56" s="414">
        <f t="shared" si="324"/>
        <v>0</v>
      </c>
      <c r="AO56" s="414">
        <f t="shared" si="324"/>
        <v>0</v>
      </c>
      <c r="AP56" s="414">
        <f t="shared" si="324"/>
        <v>0</v>
      </c>
      <c r="AQ56" s="414">
        <f t="shared" si="324"/>
        <v>0</v>
      </c>
      <c r="AR56" s="414">
        <f t="shared" si="324"/>
        <v>0</v>
      </c>
      <c r="AS56" s="414">
        <f t="shared" si="324"/>
        <v>0</v>
      </c>
      <c r="AT56" s="414">
        <f t="shared" si="324"/>
        <v>0</v>
      </c>
      <c r="AU56" s="415">
        <f t="shared" si="324"/>
        <v>0</v>
      </c>
      <c r="AV56" s="416">
        <f t="shared" si="324"/>
        <v>0</v>
      </c>
      <c r="AW56" s="414">
        <f t="shared" si="324"/>
        <v>0</v>
      </c>
      <c r="AX56" s="414">
        <f t="shared" si="324"/>
        <v>0</v>
      </c>
      <c r="AY56" s="414">
        <f t="shared" si="324"/>
        <v>0</v>
      </c>
      <c r="AZ56" s="414">
        <f t="shared" si="324"/>
        <v>0</v>
      </c>
      <c r="BA56" s="414">
        <f t="shared" si="324"/>
        <v>0</v>
      </c>
      <c r="BB56" s="414">
        <f t="shared" si="324"/>
        <v>0</v>
      </c>
      <c r="BC56" s="414">
        <f t="shared" si="324"/>
        <v>0</v>
      </c>
      <c r="BD56" s="414">
        <f t="shared" si="324"/>
        <v>0</v>
      </c>
      <c r="BE56" s="414">
        <f t="shared" si="324"/>
        <v>0</v>
      </c>
      <c r="BF56" s="414">
        <f t="shared" si="324"/>
        <v>0</v>
      </c>
      <c r="BG56" s="415">
        <f t="shared" si="324"/>
        <v>0</v>
      </c>
      <c r="BH56" s="416">
        <f t="shared" ref="BH56:BS56" si="325">IF($F56&lt;(BH$3+1),$L56/12,0)*IF($G56&gt;(BH$3),1,0)*$I56</f>
        <v>0</v>
      </c>
      <c r="BI56" s="414">
        <f t="shared" si="325"/>
        <v>0</v>
      </c>
      <c r="BJ56" s="414">
        <f t="shared" si="325"/>
        <v>0</v>
      </c>
      <c r="BK56" s="414">
        <f t="shared" si="325"/>
        <v>0</v>
      </c>
      <c r="BL56" s="414">
        <f t="shared" si="325"/>
        <v>0</v>
      </c>
      <c r="BM56" s="414">
        <f t="shared" si="325"/>
        <v>0</v>
      </c>
      <c r="BN56" s="414">
        <f t="shared" si="325"/>
        <v>0</v>
      </c>
      <c r="BO56" s="414">
        <f t="shared" si="325"/>
        <v>0</v>
      </c>
      <c r="BP56" s="414">
        <f t="shared" si="325"/>
        <v>0</v>
      </c>
      <c r="BQ56" s="414">
        <f t="shared" si="325"/>
        <v>0</v>
      </c>
      <c r="BR56" s="414">
        <f t="shared" si="325"/>
        <v>0</v>
      </c>
      <c r="BS56" s="415">
        <f t="shared" si="325"/>
        <v>0</v>
      </c>
      <c r="BT56" s="416">
        <f t="shared" ref="BT56:CE56" si="326">IF($F56&lt;(BT$3+1),$M56/12,0)*IF($G56&gt;(BT$3),1,0)*$I56</f>
        <v>0</v>
      </c>
      <c r="BU56" s="414">
        <f t="shared" si="326"/>
        <v>0</v>
      </c>
      <c r="BV56" s="414">
        <f t="shared" si="326"/>
        <v>0</v>
      </c>
      <c r="BW56" s="414">
        <f t="shared" si="326"/>
        <v>0</v>
      </c>
      <c r="BX56" s="414">
        <f t="shared" si="326"/>
        <v>0</v>
      </c>
      <c r="BY56" s="414">
        <f t="shared" si="326"/>
        <v>0</v>
      </c>
      <c r="BZ56" s="414">
        <f t="shared" si="326"/>
        <v>0</v>
      </c>
      <c r="CA56" s="414">
        <f t="shared" si="326"/>
        <v>0</v>
      </c>
      <c r="CB56" s="414">
        <f t="shared" si="326"/>
        <v>0</v>
      </c>
      <c r="CC56" s="414">
        <f t="shared" si="326"/>
        <v>0</v>
      </c>
      <c r="CD56" s="414">
        <f t="shared" si="326"/>
        <v>0</v>
      </c>
      <c r="CE56" s="415">
        <f t="shared" si="326"/>
        <v>0</v>
      </c>
      <c r="CF56" s="416">
        <f t="shared" ref="CF56:CQ56" si="327">IF($F56&lt;(CF$3+1),$N56/12,0)*IF($G56&gt;(CF$3),1,0)*$I56</f>
        <v>0</v>
      </c>
      <c r="CG56" s="414">
        <f t="shared" si="327"/>
        <v>0</v>
      </c>
      <c r="CH56" s="414">
        <f t="shared" si="327"/>
        <v>0</v>
      </c>
      <c r="CI56" s="414">
        <f t="shared" si="327"/>
        <v>0</v>
      </c>
      <c r="CJ56" s="414">
        <f t="shared" si="327"/>
        <v>0</v>
      </c>
      <c r="CK56" s="414">
        <f t="shared" si="327"/>
        <v>10129.21875</v>
      </c>
      <c r="CL56" s="414">
        <f t="shared" si="327"/>
        <v>10129.21875</v>
      </c>
      <c r="CM56" s="414">
        <f t="shared" si="327"/>
        <v>10129.21875</v>
      </c>
      <c r="CN56" s="414">
        <f t="shared" si="327"/>
        <v>10129.21875</v>
      </c>
      <c r="CO56" s="414">
        <f t="shared" si="327"/>
        <v>10129.21875</v>
      </c>
      <c r="CP56" s="414">
        <f t="shared" si="327"/>
        <v>10129.21875</v>
      </c>
      <c r="CQ56" s="415">
        <f t="shared" si="327"/>
        <v>10129.21875</v>
      </c>
      <c r="CR56" s="407"/>
      <c r="CS56" s="407" t="e">
        <f t="shared" ca="1" si="309"/>
        <v>#NAME?</v>
      </c>
      <c r="CT56" s="407">
        <f t="shared" si="7"/>
        <v>0</v>
      </c>
      <c r="CU56" s="412">
        <f>'Annexe C  Plan produit'!$H$52</f>
        <v>46082</v>
      </c>
      <c r="CV56" s="412">
        <f>'Annexe C  Plan produit'!$I$54</f>
        <v>47090.5</v>
      </c>
    </row>
    <row r="57" spans="1:100" ht="15">
      <c r="A57" s="400" t="s">
        <v>279</v>
      </c>
      <c r="B57" s="401" t="s">
        <v>83</v>
      </c>
      <c r="C57" s="401" t="s">
        <v>318</v>
      </c>
      <c r="D57" s="4"/>
      <c r="E57" s="420"/>
      <c r="F57" s="421">
        <f>'Plan stratégique  likewatt'!C$43+16*30.5</f>
        <v>48003</v>
      </c>
      <c r="G57" s="403">
        <v>51161</v>
      </c>
      <c r="H57" s="404"/>
      <c r="I57" s="405">
        <v>1</v>
      </c>
      <c r="J57" s="406">
        <v>80000</v>
      </c>
      <c r="K57" s="407">
        <f t="shared" ref="K57:O57" si="328">J57*(1+5%)</f>
        <v>84000</v>
      </c>
      <c r="L57" s="407">
        <f t="shared" si="328"/>
        <v>88200</v>
      </c>
      <c r="M57" s="407">
        <f t="shared" si="328"/>
        <v>92610</v>
      </c>
      <c r="N57" s="407">
        <f t="shared" si="328"/>
        <v>97240.5</v>
      </c>
      <c r="O57" s="407">
        <f t="shared" si="328"/>
        <v>102102.52500000001</v>
      </c>
      <c r="P57" s="408">
        <v>0.15</v>
      </c>
      <c r="Q57" s="414">
        <f t="shared" ref="Q57:W57" si="329">IF($F57&lt;(Q$3+1),$J57/12,0)*IF($G57&gt;(Q$3),1,0)*$I57</f>
        <v>0</v>
      </c>
      <c r="R57" s="414">
        <f t="shared" si="329"/>
        <v>0</v>
      </c>
      <c r="S57" s="414">
        <f t="shared" si="329"/>
        <v>0</v>
      </c>
      <c r="T57" s="414">
        <f t="shared" si="329"/>
        <v>0</v>
      </c>
      <c r="U57" s="414">
        <f t="shared" si="329"/>
        <v>0</v>
      </c>
      <c r="V57" s="414">
        <f t="shared" si="329"/>
        <v>0</v>
      </c>
      <c r="W57" s="415">
        <f t="shared" si="329"/>
        <v>0</v>
      </c>
      <c r="X57" s="416">
        <f t="shared" ref="X57:BG57" si="330">IF($F57&lt;(X$3+1),$K57/12,0)*IF($G57&gt;(X$3),1,0)*$I57</f>
        <v>0</v>
      </c>
      <c r="Y57" s="414">
        <f t="shared" si="330"/>
        <v>0</v>
      </c>
      <c r="Z57" s="414">
        <f t="shared" si="330"/>
        <v>0</v>
      </c>
      <c r="AA57" s="414">
        <f t="shared" si="330"/>
        <v>0</v>
      </c>
      <c r="AB57" s="414">
        <f t="shared" si="330"/>
        <v>0</v>
      </c>
      <c r="AC57" s="414">
        <f t="shared" si="330"/>
        <v>0</v>
      </c>
      <c r="AD57" s="414">
        <f t="shared" si="330"/>
        <v>0</v>
      </c>
      <c r="AE57" s="414">
        <f t="shared" si="330"/>
        <v>0</v>
      </c>
      <c r="AF57" s="414">
        <f t="shared" si="330"/>
        <v>0</v>
      </c>
      <c r="AG57" s="414">
        <f t="shared" si="330"/>
        <v>0</v>
      </c>
      <c r="AH57" s="414">
        <f t="shared" si="330"/>
        <v>0</v>
      </c>
      <c r="AI57" s="415">
        <f t="shared" si="330"/>
        <v>0</v>
      </c>
      <c r="AJ57" s="416">
        <f t="shared" si="330"/>
        <v>0</v>
      </c>
      <c r="AK57" s="414">
        <f t="shared" si="330"/>
        <v>0</v>
      </c>
      <c r="AL57" s="414">
        <f t="shared" si="330"/>
        <v>0</v>
      </c>
      <c r="AM57" s="414">
        <f t="shared" si="330"/>
        <v>0</v>
      </c>
      <c r="AN57" s="414">
        <f t="shared" si="330"/>
        <v>0</v>
      </c>
      <c r="AO57" s="414">
        <f t="shared" si="330"/>
        <v>0</v>
      </c>
      <c r="AP57" s="414">
        <f t="shared" si="330"/>
        <v>0</v>
      </c>
      <c r="AQ57" s="414">
        <f t="shared" si="330"/>
        <v>0</v>
      </c>
      <c r="AR57" s="414">
        <f t="shared" si="330"/>
        <v>0</v>
      </c>
      <c r="AS57" s="414">
        <f t="shared" si="330"/>
        <v>0</v>
      </c>
      <c r="AT57" s="414">
        <f t="shared" si="330"/>
        <v>0</v>
      </c>
      <c r="AU57" s="415">
        <f t="shared" si="330"/>
        <v>0</v>
      </c>
      <c r="AV57" s="416">
        <f t="shared" si="330"/>
        <v>0</v>
      </c>
      <c r="AW57" s="414">
        <f t="shared" si="330"/>
        <v>0</v>
      </c>
      <c r="AX57" s="414">
        <f t="shared" si="330"/>
        <v>0</v>
      </c>
      <c r="AY57" s="414">
        <f t="shared" si="330"/>
        <v>0</v>
      </c>
      <c r="AZ57" s="414">
        <f t="shared" si="330"/>
        <v>0</v>
      </c>
      <c r="BA57" s="414">
        <f t="shared" si="330"/>
        <v>0</v>
      </c>
      <c r="BB57" s="414">
        <f t="shared" si="330"/>
        <v>0</v>
      </c>
      <c r="BC57" s="414">
        <f t="shared" si="330"/>
        <v>0</v>
      </c>
      <c r="BD57" s="414">
        <f t="shared" si="330"/>
        <v>0</v>
      </c>
      <c r="BE57" s="414">
        <f t="shared" si="330"/>
        <v>0</v>
      </c>
      <c r="BF57" s="414">
        <f t="shared" si="330"/>
        <v>0</v>
      </c>
      <c r="BG57" s="415">
        <f t="shared" si="330"/>
        <v>0</v>
      </c>
      <c r="BH57" s="416">
        <f t="shared" ref="BH57:BS57" si="331">IF($F57&lt;(BH$3+1),$L57/12,0)*IF($G57&gt;(BH$3),1,0)*$I57</f>
        <v>0</v>
      </c>
      <c r="BI57" s="414">
        <f t="shared" si="331"/>
        <v>0</v>
      </c>
      <c r="BJ57" s="414">
        <f t="shared" si="331"/>
        <v>0</v>
      </c>
      <c r="BK57" s="414">
        <f t="shared" si="331"/>
        <v>0</v>
      </c>
      <c r="BL57" s="414">
        <f t="shared" si="331"/>
        <v>0</v>
      </c>
      <c r="BM57" s="414">
        <f t="shared" si="331"/>
        <v>0</v>
      </c>
      <c r="BN57" s="414">
        <f t="shared" si="331"/>
        <v>0</v>
      </c>
      <c r="BO57" s="414">
        <f t="shared" si="331"/>
        <v>0</v>
      </c>
      <c r="BP57" s="414">
        <f t="shared" si="331"/>
        <v>0</v>
      </c>
      <c r="BQ57" s="414">
        <f t="shared" si="331"/>
        <v>0</v>
      </c>
      <c r="BR57" s="414">
        <f t="shared" si="331"/>
        <v>0</v>
      </c>
      <c r="BS57" s="415">
        <f t="shared" si="331"/>
        <v>0</v>
      </c>
      <c r="BT57" s="416">
        <f t="shared" ref="BT57:CE57" si="332">IF($F57&lt;(BT$3+1),$M57/12,0)*IF($G57&gt;(BT$3),1,0)*$I57</f>
        <v>0</v>
      </c>
      <c r="BU57" s="414">
        <f t="shared" si="332"/>
        <v>0</v>
      </c>
      <c r="BV57" s="414">
        <f t="shared" si="332"/>
        <v>0</v>
      </c>
      <c r="BW57" s="414">
        <f t="shared" si="332"/>
        <v>0</v>
      </c>
      <c r="BX57" s="414">
        <f t="shared" si="332"/>
        <v>0</v>
      </c>
      <c r="BY57" s="414">
        <f t="shared" si="332"/>
        <v>0</v>
      </c>
      <c r="BZ57" s="414">
        <f t="shared" si="332"/>
        <v>0</v>
      </c>
      <c r="CA57" s="414">
        <f t="shared" si="332"/>
        <v>0</v>
      </c>
      <c r="CB57" s="414">
        <f t="shared" si="332"/>
        <v>0</v>
      </c>
      <c r="CC57" s="414">
        <f t="shared" si="332"/>
        <v>0</v>
      </c>
      <c r="CD57" s="414">
        <f t="shared" si="332"/>
        <v>0</v>
      </c>
      <c r="CE57" s="415">
        <f t="shared" si="332"/>
        <v>0</v>
      </c>
      <c r="CF57" s="416">
        <f t="shared" ref="CF57:CQ57" si="333">IF($F57&lt;(CF$3+1),$N57/12,0)*IF($G57&gt;(CF$3),1,0)*$I57</f>
        <v>0</v>
      </c>
      <c r="CG57" s="414">
        <f t="shared" si="333"/>
        <v>0</v>
      </c>
      <c r="CH57" s="414">
        <f t="shared" si="333"/>
        <v>0</v>
      </c>
      <c r="CI57" s="414">
        <f t="shared" si="333"/>
        <v>0</v>
      </c>
      <c r="CJ57" s="414">
        <f t="shared" si="333"/>
        <v>0</v>
      </c>
      <c r="CK57" s="414">
        <f t="shared" si="333"/>
        <v>0</v>
      </c>
      <c r="CL57" s="414">
        <f t="shared" si="333"/>
        <v>8103.375</v>
      </c>
      <c r="CM57" s="414">
        <f t="shared" si="333"/>
        <v>8103.375</v>
      </c>
      <c r="CN57" s="414">
        <f t="shared" si="333"/>
        <v>8103.375</v>
      </c>
      <c r="CO57" s="414">
        <f t="shared" si="333"/>
        <v>8103.375</v>
      </c>
      <c r="CP57" s="414">
        <f t="shared" si="333"/>
        <v>8103.375</v>
      </c>
      <c r="CQ57" s="415">
        <f t="shared" si="333"/>
        <v>8103.375</v>
      </c>
      <c r="CR57" s="407"/>
      <c r="CS57" s="407" t="e">
        <f t="shared" ca="1" si="309"/>
        <v>#NAME?</v>
      </c>
      <c r="CT57" s="407">
        <f t="shared" si="7"/>
        <v>0</v>
      </c>
      <c r="CU57" s="412">
        <f>'Annexe C  Plan produit'!$H$52</f>
        <v>46082</v>
      </c>
      <c r="CV57" s="412">
        <f>'Annexe C  Plan produit'!$I$54</f>
        <v>47090.5</v>
      </c>
    </row>
    <row r="58" spans="1:100" ht="15">
      <c r="A58" s="400" t="s">
        <v>270</v>
      </c>
      <c r="B58" s="401" t="s">
        <v>84</v>
      </c>
      <c r="C58" s="401" t="s">
        <v>309</v>
      </c>
      <c r="D58" s="4"/>
      <c r="E58" s="420"/>
      <c r="F58" s="421">
        <f>'Plan stratégique  likewatt'!G39+600</f>
        <v>48115</v>
      </c>
      <c r="G58" s="403">
        <v>51161</v>
      </c>
      <c r="H58" s="404"/>
      <c r="I58" s="417">
        <v>2</v>
      </c>
      <c r="J58" s="406">
        <v>40000</v>
      </c>
      <c r="K58" s="407">
        <f t="shared" ref="K58:O58" si="334">J58*(1+5%)</f>
        <v>42000</v>
      </c>
      <c r="L58" s="407">
        <f t="shared" si="334"/>
        <v>44100</v>
      </c>
      <c r="M58" s="407">
        <f t="shared" si="334"/>
        <v>46305</v>
      </c>
      <c r="N58" s="407">
        <f t="shared" si="334"/>
        <v>48620.25</v>
      </c>
      <c r="O58" s="407">
        <f t="shared" si="334"/>
        <v>51051.262500000004</v>
      </c>
      <c r="P58" s="408">
        <v>0.15</v>
      </c>
      <c r="Q58" s="414">
        <f t="shared" ref="Q58:W58" si="335">IF($F58&lt;(Q$3+1),$J58/12,0)*IF($G58&gt;(Q$3),1,0)*$I58</f>
        <v>0</v>
      </c>
      <c r="R58" s="414">
        <f t="shared" si="335"/>
        <v>0</v>
      </c>
      <c r="S58" s="414">
        <f t="shared" si="335"/>
        <v>0</v>
      </c>
      <c r="T58" s="414">
        <f t="shared" si="335"/>
        <v>0</v>
      </c>
      <c r="U58" s="414">
        <f t="shared" si="335"/>
        <v>0</v>
      </c>
      <c r="V58" s="414">
        <f t="shared" si="335"/>
        <v>0</v>
      </c>
      <c r="W58" s="415">
        <f t="shared" si="335"/>
        <v>0</v>
      </c>
      <c r="X58" s="416">
        <f t="shared" ref="X58:BG58" si="336">IF($F58&lt;(X$3+1),$K58/12,0)*IF($G58&gt;(X$3),1,0)*$I58</f>
        <v>0</v>
      </c>
      <c r="Y58" s="414">
        <f t="shared" si="336"/>
        <v>0</v>
      </c>
      <c r="Z58" s="414">
        <f t="shared" si="336"/>
        <v>0</v>
      </c>
      <c r="AA58" s="414">
        <f t="shared" si="336"/>
        <v>0</v>
      </c>
      <c r="AB58" s="414">
        <f t="shared" si="336"/>
        <v>0</v>
      </c>
      <c r="AC58" s="414">
        <f t="shared" si="336"/>
        <v>0</v>
      </c>
      <c r="AD58" s="414">
        <f t="shared" si="336"/>
        <v>0</v>
      </c>
      <c r="AE58" s="414">
        <f t="shared" si="336"/>
        <v>0</v>
      </c>
      <c r="AF58" s="414">
        <f t="shared" si="336"/>
        <v>0</v>
      </c>
      <c r="AG58" s="414">
        <f t="shared" si="336"/>
        <v>0</v>
      </c>
      <c r="AH58" s="414">
        <f t="shared" si="336"/>
        <v>0</v>
      </c>
      <c r="AI58" s="415">
        <f t="shared" si="336"/>
        <v>0</v>
      </c>
      <c r="AJ58" s="416">
        <f t="shared" si="336"/>
        <v>0</v>
      </c>
      <c r="AK58" s="414">
        <f t="shared" si="336"/>
        <v>0</v>
      </c>
      <c r="AL58" s="414">
        <f t="shared" si="336"/>
        <v>0</v>
      </c>
      <c r="AM58" s="414">
        <f t="shared" si="336"/>
        <v>0</v>
      </c>
      <c r="AN58" s="414">
        <f t="shared" si="336"/>
        <v>0</v>
      </c>
      <c r="AO58" s="414">
        <f t="shared" si="336"/>
        <v>0</v>
      </c>
      <c r="AP58" s="414">
        <f t="shared" si="336"/>
        <v>0</v>
      </c>
      <c r="AQ58" s="414">
        <f t="shared" si="336"/>
        <v>0</v>
      </c>
      <c r="AR58" s="414">
        <f t="shared" si="336"/>
        <v>0</v>
      </c>
      <c r="AS58" s="414">
        <f t="shared" si="336"/>
        <v>0</v>
      </c>
      <c r="AT58" s="414">
        <f t="shared" si="336"/>
        <v>0</v>
      </c>
      <c r="AU58" s="415">
        <f t="shared" si="336"/>
        <v>0</v>
      </c>
      <c r="AV58" s="416">
        <f t="shared" si="336"/>
        <v>0</v>
      </c>
      <c r="AW58" s="414">
        <f t="shared" si="336"/>
        <v>0</v>
      </c>
      <c r="AX58" s="414">
        <f t="shared" si="336"/>
        <v>0</v>
      </c>
      <c r="AY58" s="414">
        <f t="shared" si="336"/>
        <v>0</v>
      </c>
      <c r="AZ58" s="414">
        <f t="shared" si="336"/>
        <v>0</v>
      </c>
      <c r="BA58" s="414">
        <f t="shared" si="336"/>
        <v>0</v>
      </c>
      <c r="BB58" s="414">
        <f t="shared" si="336"/>
        <v>0</v>
      </c>
      <c r="BC58" s="414">
        <f t="shared" si="336"/>
        <v>0</v>
      </c>
      <c r="BD58" s="414">
        <f t="shared" si="336"/>
        <v>0</v>
      </c>
      <c r="BE58" s="414">
        <f t="shared" si="336"/>
        <v>0</v>
      </c>
      <c r="BF58" s="414">
        <f t="shared" si="336"/>
        <v>0</v>
      </c>
      <c r="BG58" s="415">
        <f t="shared" si="336"/>
        <v>0</v>
      </c>
      <c r="BH58" s="416">
        <f t="shared" ref="BH58:BS58" si="337">IF($F58&lt;(BH$3+1),$L58/12,0)*IF($G58&gt;(BH$3),1,0)*$I58</f>
        <v>0</v>
      </c>
      <c r="BI58" s="414">
        <f t="shared" si="337"/>
        <v>0</v>
      </c>
      <c r="BJ58" s="414">
        <f t="shared" si="337"/>
        <v>0</v>
      </c>
      <c r="BK58" s="414">
        <f t="shared" si="337"/>
        <v>0</v>
      </c>
      <c r="BL58" s="414">
        <f t="shared" si="337"/>
        <v>0</v>
      </c>
      <c r="BM58" s="414">
        <f t="shared" si="337"/>
        <v>0</v>
      </c>
      <c r="BN58" s="414">
        <f t="shared" si="337"/>
        <v>0</v>
      </c>
      <c r="BO58" s="414">
        <f t="shared" si="337"/>
        <v>0</v>
      </c>
      <c r="BP58" s="414">
        <f t="shared" si="337"/>
        <v>0</v>
      </c>
      <c r="BQ58" s="414">
        <f t="shared" si="337"/>
        <v>0</v>
      </c>
      <c r="BR58" s="414">
        <f t="shared" si="337"/>
        <v>0</v>
      </c>
      <c r="BS58" s="415">
        <f t="shared" si="337"/>
        <v>0</v>
      </c>
      <c r="BT58" s="416">
        <f t="shared" ref="BT58:CE58" si="338">IF($F58&lt;(BT$3+1),$M58/12,0)*IF($G58&gt;(BT$3),1,0)*$I58</f>
        <v>0</v>
      </c>
      <c r="BU58" s="414">
        <f t="shared" si="338"/>
        <v>0</v>
      </c>
      <c r="BV58" s="414">
        <f t="shared" si="338"/>
        <v>0</v>
      </c>
      <c r="BW58" s="414">
        <f t="shared" si="338"/>
        <v>0</v>
      </c>
      <c r="BX58" s="414">
        <f t="shared" si="338"/>
        <v>0</v>
      </c>
      <c r="BY58" s="414">
        <f t="shared" si="338"/>
        <v>0</v>
      </c>
      <c r="BZ58" s="414">
        <f t="shared" si="338"/>
        <v>0</v>
      </c>
      <c r="CA58" s="414">
        <f t="shared" si="338"/>
        <v>0</v>
      </c>
      <c r="CB58" s="414">
        <f t="shared" si="338"/>
        <v>0</v>
      </c>
      <c r="CC58" s="414">
        <f t="shared" si="338"/>
        <v>0</v>
      </c>
      <c r="CD58" s="414">
        <f t="shared" si="338"/>
        <v>0</v>
      </c>
      <c r="CE58" s="415">
        <f t="shared" si="338"/>
        <v>0</v>
      </c>
      <c r="CF58" s="416">
        <f t="shared" ref="CF58:CQ58" si="339">IF($F58&lt;(CF$3+1),$N58/12,0)*IF($G58&gt;(CF$3),1,0)*$I58</f>
        <v>0</v>
      </c>
      <c r="CG58" s="414">
        <f t="shared" si="339"/>
        <v>0</v>
      </c>
      <c r="CH58" s="414">
        <f t="shared" si="339"/>
        <v>0</v>
      </c>
      <c r="CI58" s="414">
        <f t="shared" si="339"/>
        <v>0</v>
      </c>
      <c r="CJ58" s="414">
        <f t="shared" si="339"/>
        <v>0</v>
      </c>
      <c r="CK58" s="414">
        <f t="shared" si="339"/>
        <v>0</v>
      </c>
      <c r="CL58" s="414">
        <f t="shared" si="339"/>
        <v>0</v>
      </c>
      <c r="CM58" s="414">
        <f t="shared" si="339"/>
        <v>0</v>
      </c>
      <c r="CN58" s="414">
        <f t="shared" si="339"/>
        <v>0</v>
      </c>
      <c r="CO58" s="414">
        <f t="shared" si="339"/>
        <v>8103.375</v>
      </c>
      <c r="CP58" s="414">
        <f t="shared" si="339"/>
        <v>8103.375</v>
      </c>
      <c r="CQ58" s="415">
        <f t="shared" si="339"/>
        <v>8103.375</v>
      </c>
      <c r="CR58" s="407"/>
      <c r="CS58" s="407" t="e">
        <f t="shared" ca="1" si="309"/>
        <v>#NAME?</v>
      </c>
      <c r="CT58" s="407">
        <f t="shared" si="7"/>
        <v>0</v>
      </c>
      <c r="CU58" s="412">
        <f>'Annexe C  Plan produit'!$H$52</f>
        <v>46082</v>
      </c>
      <c r="CV58" s="412">
        <f>'Annexe C  Plan produit'!$I$54</f>
        <v>47090.5</v>
      </c>
    </row>
    <row r="59" spans="1:100" ht="15">
      <c r="A59" s="400" t="s">
        <v>276</v>
      </c>
      <c r="B59" s="401" t="s">
        <v>84</v>
      </c>
      <c r="C59" s="401" t="s">
        <v>315</v>
      </c>
      <c r="D59" s="4"/>
      <c r="E59" s="420"/>
      <c r="F59" s="421">
        <f>'Plan stratégique  likewatt'!G39+24*30.5</f>
        <v>48247</v>
      </c>
      <c r="G59" s="403">
        <v>51161</v>
      </c>
      <c r="H59" s="404"/>
      <c r="I59" s="417">
        <v>3</v>
      </c>
      <c r="J59" s="406">
        <v>40000</v>
      </c>
      <c r="K59" s="407">
        <f t="shared" ref="K59:O59" si="340">J59*(1+5%)</f>
        <v>42000</v>
      </c>
      <c r="L59" s="407">
        <f t="shared" si="340"/>
        <v>44100</v>
      </c>
      <c r="M59" s="407">
        <f t="shared" si="340"/>
        <v>46305</v>
      </c>
      <c r="N59" s="407">
        <f t="shared" si="340"/>
        <v>48620.25</v>
      </c>
      <c r="O59" s="407">
        <f t="shared" si="340"/>
        <v>51051.262500000004</v>
      </c>
      <c r="P59" s="408">
        <v>0.15</v>
      </c>
      <c r="Q59" s="414">
        <f t="shared" ref="Q59:W59" si="341">IF($F59&lt;(Q$3+1),$J59/12,0)*IF($G59&gt;(Q$3),1,0)*$I59</f>
        <v>0</v>
      </c>
      <c r="R59" s="414">
        <f t="shared" si="341"/>
        <v>0</v>
      </c>
      <c r="S59" s="414">
        <f t="shared" si="341"/>
        <v>0</v>
      </c>
      <c r="T59" s="414">
        <f t="shared" si="341"/>
        <v>0</v>
      </c>
      <c r="U59" s="414">
        <f t="shared" si="341"/>
        <v>0</v>
      </c>
      <c r="V59" s="414">
        <f t="shared" si="341"/>
        <v>0</v>
      </c>
      <c r="W59" s="415">
        <f t="shared" si="341"/>
        <v>0</v>
      </c>
      <c r="X59" s="416">
        <f t="shared" ref="X59:BG59" si="342">IF($F59&lt;(X$3+1),$K59/12,0)*IF($G59&gt;(X$3),1,0)*$I59</f>
        <v>0</v>
      </c>
      <c r="Y59" s="414">
        <f t="shared" si="342"/>
        <v>0</v>
      </c>
      <c r="Z59" s="414">
        <f t="shared" si="342"/>
        <v>0</v>
      </c>
      <c r="AA59" s="414">
        <f t="shared" si="342"/>
        <v>0</v>
      </c>
      <c r="AB59" s="414">
        <f t="shared" si="342"/>
        <v>0</v>
      </c>
      <c r="AC59" s="414">
        <f t="shared" si="342"/>
        <v>0</v>
      </c>
      <c r="AD59" s="414">
        <f t="shared" si="342"/>
        <v>0</v>
      </c>
      <c r="AE59" s="414">
        <f t="shared" si="342"/>
        <v>0</v>
      </c>
      <c r="AF59" s="414">
        <f t="shared" si="342"/>
        <v>0</v>
      </c>
      <c r="AG59" s="414">
        <f t="shared" si="342"/>
        <v>0</v>
      </c>
      <c r="AH59" s="414">
        <f t="shared" si="342"/>
        <v>0</v>
      </c>
      <c r="AI59" s="415">
        <f t="shared" si="342"/>
        <v>0</v>
      </c>
      <c r="AJ59" s="416">
        <f t="shared" si="342"/>
        <v>0</v>
      </c>
      <c r="AK59" s="414">
        <f t="shared" si="342"/>
        <v>0</v>
      </c>
      <c r="AL59" s="414">
        <f t="shared" si="342"/>
        <v>0</v>
      </c>
      <c r="AM59" s="414">
        <f t="shared" si="342"/>
        <v>0</v>
      </c>
      <c r="AN59" s="414">
        <f t="shared" si="342"/>
        <v>0</v>
      </c>
      <c r="AO59" s="414">
        <f t="shared" si="342"/>
        <v>0</v>
      </c>
      <c r="AP59" s="414">
        <f t="shared" si="342"/>
        <v>0</v>
      </c>
      <c r="AQ59" s="414">
        <f t="shared" si="342"/>
        <v>0</v>
      </c>
      <c r="AR59" s="414">
        <f t="shared" si="342"/>
        <v>0</v>
      </c>
      <c r="AS59" s="414">
        <f t="shared" si="342"/>
        <v>0</v>
      </c>
      <c r="AT59" s="414">
        <f t="shared" si="342"/>
        <v>0</v>
      </c>
      <c r="AU59" s="415">
        <f t="shared" si="342"/>
        <v>0</v>
      </c>
      <c r="AV59" s="416">
        <f t="shared" si="342"/>
        <v>0</v>
      </c>
      <c r="AW59" s="414">
        <f t="shared" si="342"/>
        <v>0</v>
      </c>
      <c r="AX59" s="414">
        <f t="shared" si="342"/>
        <v>0</v>
      </c>
      <c r="AY59" s="414">
        <f t="shared" si="342"/>
        <v>0</v>
      </c>
      <c r="AZ59" s="414">
        <f t="shared" si="342"/>
        <v>0</v>
      </c>
      <c r="BA59" s="414">
        <f t="shared" si="342"/>
        <v>0</v>
      </c>
      <c r="BB59" s="414">
        <f t="shared" si="342"/>
        <v>0</v>
      </c>
      <c r="BC59" s="414">
        <f t="shared" si="342"/>
        <v>0</v>
      </c>
      <c r="BD59" s="414">
        <f t="shared" si="342"/>
        <v>0</v>
      </c>
      <c r="BE59" s="414">
        <f t="shared" si="342"/>
        <v>0</v>
      </c>
      <c r="BF59" s="414">
        <f t="shared" si="342"/>
        <v>0</v>
      </c>
      <c r="BG59" s="415">
        <f t="shared" si="342"/>
        <v>0</v>
      </c>
      <c r="BH59" s="416">
        <f t="shared" ref="BH59:BS59" si="343">IF($F59&lt;(BH$3+1),$L59/12,0)*IF($G59&gt;(BH$3),1,0)*$I59</f>
        <v>0</v>
      </c>
      <c r="BI59" s="414">
        <f t="shared" si="343"/>
        <v>0</v>
      </c>
      <c r="BJ59" s="414">
        <f t="shared" si="343"/>
        <v>0</v>
      </c>
      <c r="BK59" s="414">
        <f t="shared" si="343"/>
        <v>0</v>
      </c>
      <c r="BL59" s="414">
        <f t="shared" si="343"/>
        <v>0</v>
      </c>
      <c r="BM59" s="414">
        <f t="shared" si="343"/>
        <v>0</v>
      </c>
      <c r="BN59" s="414">
        <f t="shared" si="343"/>
        <v>0</v>
      </c>
      <c r="BO59" s="414">
        <f t="shared" si="343"/>
        <v>0</v>
      </c>
      <c r="BP59" s="414">
        <f t="shared" si="343"/>
        <v>0</v>
      </c>
      <c r="BQ59" s="414">
        <f t="shared" si="343"/>
        <v>0</v>
      </c>
      <c r="BR59" s="414">
        <f t="shared" si="343"/>
        <v>0</v>
      </c>
      <c r="BS59" s="415">
        <f t="shared" si="343"/>
        <v>0</v>
      </c>
      <c r="BT59" s="416">
        <f t="shared" ref="BT59:CE59" si="344">IF($F59&lt;(BT$3+1),$M59/12,0)*IF($G59&gt;(BT$3),1,0)*$I59</f>
        <v>0</v>
      </c>
      <c r="BU59" s="414">
        <f t="shared" si="344"/>
        <v>0</v>
      </c>
      <c r="BV59" s="414">
        <f t="shared" si="344"/>
        <v>0</v>
      </c>
      <c r="BW59" s="414">
        <f t="shared" si="344"/>
        <v>0</v>
      </c>
      <c r="BX59" s="414">
        <f t="shared" si="344"/>
        <v>0</v>
      </c>
      <c r="BY59" s="414">
        <f t="shared" si="344"/>
        <v>0</v>
      </c>
      <c r="BZ59" s="414">
        <f t="shared" si="344"/>
        <v>0</v>
      </c>
      <c r="CA59" s="414">
        <f t="shared" si="344"/>
        <v>0</v>
      </c>
      <c r="CB59" s="414">
        <f t="shared" si="344"/>
        <v>0</v>
      </c>
      <c r="CC59" s="414">
        <f t="shared" si="344"/>
        <v>0</v>
      </c>
      <c r="CD59" s="414">
        <f t="shared" si="344"/>
        <v>0</v>
      </c>
      <c r="CE59" s="415">
        <f t="shared" si="344"/>
        <v>0</v>
      </c>
      <c r="CF59" s="416">
        <f t="shared" ref="CF59:CQ59" si="345">IF($F59&lt;(CF$3+1),$N59/12,0)*IF($G59&gt;(CF$3),1,0)*$I59</f>
        <v>0</v>
      </c>
      <c r="CG59" s="414">
        <f t="shared" si="345"/>
        <v>0</v>
      </c>
      <c r="CH59" s="414">
        <f t="shared" si="345"/>
        <v>0</v>
      </c>
      <c r="CI59" s="414">
        <f t="shared" si="345"/>
        <v>0</v>
      </c>
      <c r="CJ59" s="414">
        <f t="shared" si="345"/>
        <v>0</v>
      </c>
      <c r="CK59" s="414">
        <f t="shared" si="345"/>
        <v>0</v>
      </c>
      <c r="CL59" s="414">
        <f t="shared" si="345"/>
        <v>0</v>
      </c>
      <c r="CM59" s="414">
        <f t="shared" si="345"/>
        <v>0</v>
      </c>
      <c r="CN59" s="414">
        <f t="shared" si="345"/>
        <v>0</v>
      </c>
      <c r="CO59" s="414">
        <f t="shared" si="345"/>
        <v>0</v>
      </c>
      <c r="CP59" s="414">
        <f t="shared" si="345"/>
        <v>0</v>
      </c>
      <c r="CQ59" s="415">
        <f t="shared" si="345"/>
        <v>0</v>
      </c>
      <c r="CR59" s="407"/>
      <c r="CS59" s="407" t="e">
        <f t="shared" ca="1" si="309"/>
        <v>#NAME?</v>
      </c>
      <c r="CT59" s="407">
        <f t="shared" si="7"/>
        <v>0</v>
      </c>
      <c r="CU59" s="412">
        <f>'Annexe C  Plan produit'!$H$52</f>
        <v>46082</v>
      </c>
      <c r="CV59" s="412">
        <f>'Annexe C  Plan produit'!$I$54</f>
        <v>47090.5</v>
      </c>
    </row>
    <row r="60" spans="1:100" ht="15">
      <c r="A60" s="400" t="s">
        <v>270</v>
      </c>
      <c r="B60" s="401" t="s">
        <v>83</v>
      </c>
      <c r="C60" s="401" t="s">
        <v>294</v>
      </c>
      <c r="D60" s="4"/>
      <c r="E60" s="420"/>
      <c r="F60" s="421">
        <f>'Plan stratégique  likewatt'!C$43+17*30.5</f>
        <v>48033.5</v>
      </c>
      <c r="G60" s="403">
        <v>51164</v>
      </c>
      <c r="H60" s="404"/>
      <c r="I60" s="417">
        <v>1</v>
      </c>
      <c r="J60" s="406">
        <v>35000</v>
      </c>
      <c r="K60" s="407">
        <f t="shared" ref="K60:O60" si="346">J60*(1+5%)</f>
        <v>36750</v>
      </c>
      <c r="L60" s="407">
        <f t="shared" si="346"/>
        <v>38587.5</v>
      </c>
      <c r="M60" s="407">
        <f t="shared" si="346"/>
        <v>40516.875</v>
      </c>
      <c r="N60" s="407">
        <f t="shared" si="346"/>
        <v>42542.71875</v>
      </c>
      <c r="O60" s="407">
        <f t="shared" si="346"/>
        <v>44669.854687500003</v>
      </c>
      <c r="P60" s="408">
        <v>0.15</v>
      </c>
      <c r="Q60" s="414">
        <f t="shared" ref="Q60:W60" si="347">IF($F60&lt;(Q$3+1),$J60/12,0)*IF($G60&gt;(Q$3),1,0)*$I60</f>
        <v>0</v>
      </c>
      <c r="R60" s="414">
        <f t="shared" si="347"/>
        <v>0</v>
      </c>
      <c r="S60" s="414">
        <f t="shared" si="347"/>
        <v>0</v>
      </c>
      <c r="T60" s="414">
        <f t="shared" si="347"/>
        <v>0</v>
      </c>
      <c r="U60" s="414">
        <f t="shared" si="347"/>
        <v>0</v>
      </c>
      <c r="V60" s="414">
        <f t="shared" si="347"/>
        <v>0</v>
      </c>
      <c r="W60" s="415">
        <f t="shared" si="347"/>
        <v>0</v>
      </c>
      <c r="X60" s="416">
        <f t="shared" ref="X60:BG60" si="348">IF($F60&lt;(X$3+1),$K60/12,0)*IF($G60&gt;(X$3),1,0)*$I60</f>
        <v>0</v>
      </c>
      <c r="Y60" s="414">
        <f t="shared" si="348"/>
        <v>0</v>
      </c>
      <c r="Z60" s="414">
        <f t="shared" si="348"/>
        <v>0</v>
      </c>
      <c r="AA60" s="414">
        <f t="shared" si="348"/>
        <v>0</v>
      </c>
      <c r="AB60" s="414">
        <f t="shared" si="348"/>
        <v>0</v>
      </c>
      <c r="AC60" s="414">
        <f t="shared" si="348"/>
        <v>0</v>
      </c>
      <c r="AD60" s="414">
        <f t="shared" si="348"/>
        <v>0</v>
      </c>
      <c r="AE60" s="414">
        <f t="shared" si="348"/>
        <v>0</v>
      </c>
      <c r="AF60" s="414">
        <f t="shared" si="348"/>
        <v>0</v>
      </c>
      <c r="AG60" s="414">
        <f t="shared" si="348"/>
        <v>0</v>
      </c>
      <c r="AH60" s="414">
        <f t="shared" si="348"/>
        <v>0</v>
      </c>
      <c r="AI60" s="415">
        <f t="shared" si="348"/>
        <v>0</v>
      </c>
      <c r="AJ60" s="416">
        <f t="shared" si="348"/>
        <v>0</v>
      </c>
      <c r="AK60" s="414">
        <f t="shared" si="348"/>
        <v>0</v>
      </c>
      <c r="AL60" s="414">
        <f t="shared" si="348"/>
        <v>0</v>
      </c>
      <c r="AM60" s="414">
        <f t="shared" si="348"/>
        <v>0</v>
      </c>
      <c r="AN60" s="414">
        <f t="shared" si="348"/>
        <v>0</v>
      </c>
      <c r="AO60" s="414">
        <f t="shared" si="348"/>
        <v>0</v>
      </c>
      <c r="AP60" s="414">
        <f t="shared" si="348"/>
        <v>0</v>
      </c>
      <c r="AQ60" s="414">
        <f t="shared" si="348"/>
        <v>0</v>
      </c>
      <c r="AR60" s="414">
        <f t="shared" si="348"/>
        <v>0</v>
      </c>
      <c r="AS60" s="414">
        <f t="shared" si="348"/>
        <v>0</v>
      </c>
      <c r="AT60" s="414">
        <f t="shared" si="348"/>
        <v>0</v>
      </c>
      <c r="AU60" s="415">
        <f t="shared" si="348"/>
        <v>0</v>
      </c>
      <c r="AV60" s="416">
        <f t="shared" si="348"/>
        <v>0</v>
      </c>
      <c r="AW60" s="414">
        <f t="shared" si="348"/>
        <v>0</v>
      </c>
      <c r="AX60" s="414">
        <f t="shared" si="348"/>
        <v>0</v>
      </c>
      <c r="AY60" s="414">
        <f t="shared" si="348"/>
        <v>0</v>
      </c>
      <c r="AZ60" s="414">
        <f t="shared" si="348"/>
        <v>0</v>
      </c>
      <c r="BA60" s="414">
        <f t="shared" si="348"/>
        <v>0</v>
      </c>
      <c r="BB60" s="414">
        <f t="shared" si="348"/>
        <v>0</v>
      </c>
      <c r="BC60" s="414">
        <f t="shared" si="348"/>
        <v>0</v>
      </c>
      <c r="BD60" s="414">
        <f t="shared" si="348"/>
        <v>0</v>
      </c>
      <c r="BE60" s="414">
        <f t="shared" si="348"/>
        <v>0</v>
      </c>
      <c r="BF60" s="414">
        <f t="shared" si="348"/>
        <v>0</v>
      </c>
      <c r="BG60" s="415">
        <f t="shared" si="348"/>
        <v>0</v>
      </c>
      <c r="BH60" s="416">
        <f t="shared" ref="BH60:BS60" si="349">IF($F60&lt;(BH$3+1),$L60/12,0)*IF($G60&gt;(BH$3),1,0)*$I60</f>
        <v>0</v>
      </c>
      <c r="BI60" s="414">
        <f t="shared" si="349"/>
        <v>0</v>
      </c>
      <c r="BJ60" s="414">
        <f t="shared" si="349"/>
        <v>0</v>
      </c>
      <c r="BK60" s="414">
        <f t="shared" si="349"/>
        <v>0</v>
      </c>
      <c r="BL60" s="414">
        <f t="shared" si="349"/>
        <v>0</v>
      </c>
      <c r="BM60" s="414">
        <f t="shared" si="349"/>
        <v>0</v>
      </c>
      <c r="BN60" s="414">
        <f t="shared" si="349"/>
        <v>0</v>
      </c>
      <c r="BO60" s="414">
        <f t="shared" si="349"/>
        <v>0</v>
      </c>
      <c r="BP60" s="414">
        <f t="shared" si="349"/>
        <v>0</v>
      </c>
      <c r="BQ60" s="414">
        <f t="shared" si="349"/>
        <v>0</v>
      </c>
      <c r="BR60" s="414">
        <f t="shared" si="349"/>
        <v>0</v>
      </c>
      <c r="BS60" s="415">
        <f t="shared" si="349"/>
        <v>0</v>
      </c>
      <c r="BT60" s="416">
        <f t="shared" ref="BT60:CE60" si="350">IF($F60&lt;(BT$3+1),$M60/12,0)*IF($G60&gt;(BT$3),1,0)*$I60</f>
        <v>0</v>
      </c>
      <c r="BU60" s="414">
        <f t="shared" si="350"/>
        <v>0</v>
      </c>
      <c r="BV60" s="414">
        <f t="shared" si="350"/>
        <v>0</v>
      </c>
      <c r="BW60" s="414">
        <f t="shared" si="350"/>
        <v>0</v>
      </c>
      <c r="BX60" s="414">
        <f t="shared" si="350"/>
        <v>0</v>
      </c>
      <c r="BY60" s="414">
        <f t="shared" si="350"/>
        <v>0</v>
      </c>
      <c r="BZ60" s="414">
        <f t="shared" si="350"/>
        <v>0</v>
      </c>
      <c r="CA60" s="414">
        <f t="shared" si="350"/>
        <v>0</v>
      </c>
      <c r="CB60" s="414">
        <f t="shared" si="350"/>
        <v>0</v>
      </c>
      <c r="CC60" s="414">
        <f t="shared" si="350"/>
        <v>0</v>
      </c>
      <c r="CD60" s="414">
        <f t="shared" si="350"/>
        <v>0</v>
      </c>
      <c r="CE60" s="415">
        <f t="shared" si="350"/>
        <v>0</v>
      </c>
      <c r="CF60" s="416">
        <f t="shared" ref="CF60:CQ60" si="351">IF($F60&lt;(CF$3+1),$N60/12,0)*IF($G60&gt;(CF$3),1,0)*$I60</f>
        <v>0</v>
      </c>
      <c r="CG60" s="414">
        <f t="shared" si="351"/>
        <v>0</v>
      </c>
      <c r="CH60" s="414">
        <f t="shared" si="351"/>
        <v>0</v>
      </c>
      <c r="CI60" s="414">
        <f t="shared" si="351"/>
        <v>0</v>
      </c>
      <c r="CJ60" s="414">
        <f t="shared" si="351"/>
        <v>0</v>
      </c>
      <c r="CK60" s="414">
        <f t="shared" si="351"/>
        <v>0</v>
      </c>
      <c r="CL60" s="414">
        <f t="shared" si="351"/>
        <v>0</v>
      </c>
      <c r="CM60" s="414">
        <f t="shared" si="351"/>
        <v>3545.2265625</v>
      </c>
      <c r="CN60" s="414">
        <f t="shared" si="351"/>
        <v>3545.2265625</v>
      </c>
      <c r="CO60" s="414">
        <f t="shared" si="351"/>
        <v>3545.2265625</v>
      </c>
      <c r="CP60" s="414">
        <f t="shared" si="351"/>
        <v>3545.2265625</v>
      </c>
      <c r="CQ60" s="415">
        <f t="shared" si="351"/>
        <v>3545.2265625</v>
      </c>
      <c r="CR60" s="407"/>
      <c r="CS60" s="407" t="e">
        <f t="shared" ca="1" si="309"/>
        <v>#NAME?</v>
      </c>
      <c r="CT60" s="407">
        <f t="shared" si="7"/>
        <v>0</v>
      </c>
      <c r="CU60" s="412">
        <f>'Annexe C  Plan produit'!$H$52</f>
        <v>46082</v>
      </c>
      <c r="CV60" s="412">
        <f>'Annexe C  Plan produit'!$I$54</f>
        <v>47090.5</v>
      </c>
    </row>
    <row r="61" spans="1:100" ht="15">
      <c r="A61" s="400" t="s">
        <v>276</v>
      </c>
      <c r="B61" s="401" t="s">
        <v>83</v>
      </c>
      <c r="C61" s="11" t="s">
        <v>319</v>
      </c>
      <c r="D61" s="4"/>
      <c r="E61" s="420"/>
      <c r="F61" s="421">
        <f>'Plan stratégique  likewatt'!C$43+365</f>
        <v>47880</v>
      </c>
      <c r="G61" s="403">
        <v>51161</v>
      </c>
      <c r="H61" s="404"/>
      <c r="I61" s="405">
        <v>1</v>
      </c>
      <c r="J61" s="406">
        <v>80000</v>
      </c>
      <c r="K61" s="407">
        <f t="shared" ref="K61:O61" si="352">J61*(1+5%)</f>
        <v>84000</v>
      </c>
      <c r="L61" s="407">
        <f t="shared" si="352"/>
        <v>88200</v>
      </c>
      <c r="M61" s="407">
        <f t="shared" si="352"/>
        <v>92610</v>
      </c>
      <c r="N61" s="407">
        <f t="shared" si="352"/>
        <v>97240.5</v>
      </c>
      <c r="O61" s="407">
        <f t="shared" si="352"/>
        <v>102102.52500000001</v>
      </c>
      <c r="P61" s="408">
        <v>0.15</v>
      </c>
      <c r="Q61" s="414">
        <f t="shared" ref="Q61:W61" si="353">IF($F61&lt;(Q$3+1),$J61/12,0)*IF($G61&gt;(Q$3),1,0)*$I61</f>
        <v>0</v>
      </c>
      <c r="R61" s="414">
        <f t="shared" si="353"/>
        <v>0</v>
      </c>
      <c r="S61" s="414">
        <f t="shared" si="353"/>
        <v>0</v>
      </c>
      <c r="T61" s="414">
        <f t="shared" si="353"/>
        <v>0</v>
      </c>
      <c r="U61" s="414">
        <f t="shared" si="353"/>
        <v>0</v>
      </c>
      <c r="V61" s="414">
        <f t="shared" si="353"/>
        <v>0</v>
      </c>
      <c r="W61" s="415">
        <f t="shared" si="353"/>
        <v>0</v>
      </c>
      <c r="X61" s="416">
        <f t="shared" ref="X61:BG61" si="354">IF($F61&lt;(X$3+1),$K61/12,0)*IF($G61&gt;(X$3),1,0)*$I61</f>
        <v>0</v>
      </c>
      <c r="Y61" s="414">
        <f t="shared" si="354"/>
        <v>0</v>
      </c>
      <c r="Z61" s="414">
        <f t="shared" si="354"/>
        <v>0</v>
      </c>
      <c r="AA61" s="414">
        <f t="shared" si="354"/>
        <v>0</v>
      </c>
      <c r="AB61" s="414">
        <f t="shared" si="354"/>
        <v>0</v>
      </c>
      <c r="AC61" s="414">
        <f t="shared" si="354"/>
        <v>0</v>
      </c>
      <c r="AD61" s="414">
        <f t="shared" si="354"/>
        <v>0</v>
      </c>
      <c r="AE61" s="414">
        <f t="shared" si="354"/>
        <v>0</v>
      </c>
      <c r="AF61" s="414">
        <f t="shared" si="354"/>
        <v>0</v>
      </c>
      <c r="AG61" s="414">
        <f t="shared" si="354"/>
        <v>0</v>
      </c>
      <c r="AH61" s="414">
        <f t="shared" si="354"/>
        <v>0</v>
      </c>
      <c r="AI61" s="415">
        <f t="shared" si="354"/>
        <v>0</v>
      </c>
      <c r="AJ61" s="416">
        <f t="shared" si="354"/>
        <v>0</v>
      </c>
      <c r="AK61" s="414">
        <f t="shared" si="354"/>
        <v>0</v>
      </c>
      <c r="AL61" s="414">
        <f t="shared" si="354"/>
        <v>0</v>
      </c>
      <c r="AM61" s="414">
        <f t="shared" si="354"/>
        <v>0</v>
      </c>
      <c r="AN61" s="414">
        <f t="shared" si="354"/>
        <v>0</v>
      </c>
      <c r="AO61" s="414">
        <f t="shared" si="354"/>
        <v>0</v>
      </c>
      <c r="AP61" s="414">
        <f t="shared" si="354"/>
        <v>0</v>
      </c>
      <c r="AQ61" s="414">
        <f t="shared" si="354"/>
        <v>0</v>
      </c>
      <c r="AR61" s="414">
        <f t="shared" si="354"/>
        <v>0</v>
      </c>
      <c r="AS61" s="414">
        <f t="shared" si="354"/>
        <v>0</v>
      </c>
      <c r="AT61" s="414">
        <f t="shared" si="354"/>
        <v>0</v>
      </c>
      <c r="AU61" s="415">
        <f t="shared" si="354"/>
        <v>0</v>
      </c>
      <c r="AV61" s="416">
        <f t="shared" si="354"/>
        <v>0</v>
      </c>
      <c r="AW61" s="414">
        <f t="shared" si="354"/>
        <v>0</v>
      </c>
      <c r="AX61" s="414">
        <f t="shared" si="354"/>
        <v>0</v>
      </c>
      <c r="AY61" s="414">
        <f t="shared" si="354"/>
        <v>0</v>
      </c>
      <c r="AZ61" s="414">
        <f t="shared" si="354"/>
        <v>0</v>
      </c>
      <c r="BA61" s="414">
        <f t="shared" si="354"/>
        <v>0</v>
      </c>
      <c r="BB61" s="414">
        <f t="shared" si="354"/>
        <v>0</v>
      </c>
      <c r="BC61" s="414">
        <f t="shared" si="354"/>
        <v>0</v>
      </c>
      <c r="BD61" s="414">
        <f t="shared" si="354"/>
        <v>0</v>
      </c>
      <c r="BE61" s="414">
        <f t="shared" si="354"/>
        <v>0</v>
      </c>
      <c r="BF61" s="414">
        <f t="shared" si="354"/>
        <v>0</v>
      </c>
      <c r="BG61" s="415">
        <f t="shared" si="354"/>
        <v>0</v>
      </c>
      <c r="BH61" s="416">
        <f t="shared" ref="BH61:BS61" si="355">IF($F61&lt;(BH$3+1),$L61/12,0)*IF($G61&gt;(BH$3),1,0)*$I61</f>
        <v>0</v>
      </c>
      <c r="BI61" s="414">
        <f t="shared" si="355"/>
        <v>0</v>
      </c>
      <c r="BJ61" s="414">
        <f t="shared" si="355"/>
        <v>0</v>
      </c>
      <c r="BK61" s="414">
        <f t="shared" si="355"/>
        <v>0</v>
      </c>
      <c r="BL61" s="414">
        <f t="shared" si="355"/>
        <v>0</v>
      </c>
      <c r="BM61" s="414">
        <f t="shared" si="355"/>
        <v>0</v>
      </c>
      <c r="BN61" s="414">
        <f t="shared" si="355"/>
        <v>0</v>
      </c>
      <c r="BO61" s="414">
        <f t="shared" si="355"/>
        <v>0</v>
      </c>
      <c r="BP61" s="414">
        <f t="shared" si="355"/>
        <v>0</v>
      </c>
      <c r="BQ61" s="414">
        <f t="shared" si="355"/>
        <v>0</v>
      </c>
      <c r="BR61" s="414">
        <f t="shared" si="355"/>
        <v>0</v>
      </c>
      <c r="BS61" s="415">
        <f t="shared" si="355"/>
        <v>0</v>
      </c>
      <c r="BT61" s="416">
        <f t="shared" ref="BT61:CE61" si="356">IF($F61&lt;(BT$3+1),$M61/12,0)*IF($G61&gt;(BT$3),1,0)*$I61</f>
        <v>0</v>
      </c>
      <c r="BU61" s="414">
        <f t="shared" si="356"/>
        <v>0</v>
      </c>
      <c r="BV61" s="414">
        <f t="shared" si="356"/>
        <v>0</v>
      </c>
      <c r="BW61" s="414">
        <f t="shared" si="356"/>
        <v>0</v>
      </c>
      <c r="BX61" s="414">
        <f t="shared" si="356"/>
        <v>0</v>
      </c>
      <c r="BY61" s="414">
        <f t="shared" si="356"/>
        <v>0</v>
      </c>
      <c r="BZ61" s="414">
        <f t="shared" si="356"/>
        <v>0</v>
      </c>
      <c r="CA61" s="414">
        <f t="shared" si="356"/>
        <v>0</v>
      </c>
      <c r="CB61" s="414">
        <f t="shared" si="356"/>
        <v>0</v>
      </c>
      <c r="CC61" s="414">
        <f t="shared" si="356"/>
        <v>0</v>
      </c>
      <c r="CD61" s="414">
        <f t="shared" si="356"/>
        <v>0</v>
      </c>
      <c r="CE61" s="415">
        <f t="shared" si="356"/>
        <v>0</v>
      </c>
      <c r="CF61" s="416">
        <f t="shared" ref="CF61:CQ61" si="357">IF($F61&lt;(CF$3+1),$N61/12,0)*IF($G61&gt;(CF$3),1,0)*$I61</f>
        <v>0</v>
      </c>
      <c r="CG61" s="414">
        <f t="shared" si="357"/>
        <v>8103.375</v>
      </c>
      <c r="CH61" s="414">
        <f t="shared" si="357"/>
        <v>8103.375</v>
      </c>
      <c r="CI61" s="414">
        <f t="shared" si="357"/>
        <v>8103.375</v>
      </c>
      <c r="CJ61" s="414">
        <f t="shared" si="357"/>
        <v>8103.375</v>
      </c>
      <c r="CK61" s="414">
        <f t="shared" si="357"/>
        <v>8103.375</v>
      </c>
      <c r="CL61" s="414">
        <f t="shared" si="357"/>
        <v>8103.375</v>
      </c>
      <c r="CM61" s="414">
        <f t="shared" si="357"/>
        <v>8103.375</v>
      </c>
      <c r="CN61" s="414">
        <f t="shared" si="357"/>
        <v>8103.375</v>
      </c>
      <c r="CO61" s="414">
        <f t="shared" si="357"/>
        <v>8103.375</v>
      </c>
      <c r="CP61" s="414">
        <f t="shared" si="357"/>
        <v>8103.375</v>
      </c>
      <c r="CQ61" s="415">
        <f t="shared" si="357"/>
        <v>8103.375</v>
      </c>
      <c r="CR61" s="407"/>
      <c r="CS61" s="407"/>
      <c r="CT61" s="407">
        <f t="shared" si="7"/>
        <v>0</v>
      </c>
      <c r="CU61" s="412">
        <f>'Annexe C  Plan produit'!$H$52</f>
        <v>46082</v>
      </c>
      <c r="CV61" s="412">
        <f>'Annexe C  Plan produit'!$I$54</f>
        <v>47090.5</v>
      </c>
    </row>
    <row r="62" spans="1:100" ht="15">
      <c r="A62" s="400" t="s">
        <v>276</v>
      </c>
      <c r="B62" s="401" t="s">
        <v>83</v>
      </c>
      <c r="C62" s="11" t="s">
        <v>277</v>
      </c>
      <c r="D62" s="4"/>
      <c r="E62" s="420"/>
      <c r="F62" s="421">
        <f>'Plan stratégique  likewatt'!C$43+48*30.5</f>
        <v>48979</v>
      </c>
      <c r="G62" s="403">
        <v>51161</v>
      </c>
      <c r="H62" s="404"/>
      <c r="I62" s="417">
        <v>1</v>
      </c>
      <c r="J62" s="406">
        <v>35000</v>
      </c>
      <c r="K62" s="407">
        <f t="shared" ref="K62:O62" si="358">J62*(1+5%)</f>
        <v>36750</v>
      </c>
      <c r="L62" s="407">
        <f t="shared" si="358"/>
        <v>38587.5</v>
      </c>
      <c r="M62" s="407">
        <f t="shared" si="358"/>
        <v>40516.875</v>
      </c>
      <c r="N62" s="407">
        <f t="shared" si="358"/>
        <v>42542.71875</v>
      </c>
      <c r="O62" s="407">
        <f t="shared" si="358"/>
        <v>44669.854687500003</v>
      </c>
      <c r="P62" s="408">
        <v>0.15</v>
      </c>
      <c r="Q62" s="414">
        <f t="shared" ref="Q62:W62" si="359">IF($F62&lt;(Q$3+1),$J62/12,0)*IF($G62&gt;(Q$3),1,0)*$I62</f>
        <v>0</v>
      </c>
      <c r="R62" s="414">
        <f t="shared" si="359"/>
        <v>0</v>
      </c>
      <c r="S62" s="414">
        <f t="shared" si="359"/>
        <v>0</v>
      </c>
      <c r="T62" s="414">
        <f t="shared" si="359"/>
        <v>0</v>
      </c>
      <c r="U62" s="414">
        <f t="shared" si="359"/>
        <v>0</v>
      </c>
      <c r="V62" s="414">
        <f t="shared" si="359"/>
        <v>0</v>
      </c>
      <c r="W62" s="415">
        <f t="shared" si="359"/>
        <v>0</v>
      </c>
      <c r="X62" s="416">
        <f t="shared" ref="X62:BG62" si="360">IF($F62&lt;(X$3+1),$K62/12,0)*IF($G62&gt;(X$3),1,0)*$I62</f>
        <v>0</v>
      </c>
      <c r="Y62" s="414">
        <f t="shared" si="360"/>
        <v>0</v>
      </c>
      <c r="Z62" s="414">
        <f t="shared" si="360"/>
        <v>0</v>
      </c>
      <c r="AA62" s="414">
        <f t="shared" si="360"/>
        <v>0</v>
      </c>
      <c r="AB62" s="414">
        <f t="shared" si="360"/>
        <v>0</v>
      </c>
      <c r="AC62" s="414">
        <f t="shared" si="360"/>
        <v>0</v>
      </c>
      <c r="AD62" s="414">
        <f t="shared" si="360"/>
        <v>0</v>
      </c>
      <c r="AE62" s="414">
        <f t="shared" si="360"/>
        <v>0</v>
      </c>
      <c r="AF62" s="414">
        <f t="shared" si="360"/>
        <v>0</v>
      </c>
      <c r="AG62" s="414">
        <f t="shared" si="360"/>
        <v>0</v>
      </c>
      <c r="AH62" s="414">
        <f t="shared" si="360"/>
        <v>0</v>
      </c>
      <c r="AI62" s="415">
        <f t="shared" si="360"/>
        <v>0</v>
      </c>
      <c r="AJ62" s="416">
        <f t="shared" si="360"/>
        <v>0</v>
      </c>
      <c r="AK62" s="414">
        <f t="shared" si="360"/>
        <v>0</v>
      </c>
      <c r="AL62" s="414">
        <f t="shared" si="360"/>
        <v>0</v>
      </c>
      <c r="AM62" s="414">
        <f t="shared" si="360"/>
        <v>0</v>
      </c>
      <c r="AN62" s="414">
        <f t="shared" si="360"/>
        <v>0</v>
      </c>
      <c r="AO62" s="414">
        <f t="shared" si="360"/>
        <v>0</v>
      </c>
      <c r="AP62" s="414">
        <f t="shared" si="360"/>
        <v>0</v>
      </c>
      <c r="AQ62" s="414">
        <f t="shared" si="360"/>
        <v>0</v>
      </c>
      <c r="AR62" s="414">
        <f t="shared" si="360"/>
        <v>0</v>
      </c>
      <c r="AS62" s="414">
        <f t="shared" si="360"/>
        <v>0</v>
      </c>
      <c r="AT62" s="414">
        <f t="shared" si="360"/>
        <v>0</v>
      </c>
      <c r="AU62" s="415">
        <f t="shared" si="360"/>
        <v>0</v>
      </c>
      <c r="AV62" s="416">
        <f t="shared" si="360"/>
        <v>0</v>
      </c>
      <c r="AW62" s="414">
        <f t="shared" si="360"/>
        <v>0</v>
      </c>
      <c r="AX62" s="414">
        <f t="shared" si="360"/>
        <v>0</v>
      </c>
      <c r="AY62" s="414">
        <f t="shared" si="360"/>
        <v>0</v>
      </c>
      <c r="AZ62" s="414">
        <f t="shared" si="360"/>
        <v>0</v>
      </c>
      <c r="BA62" s="414">
        <f t="shared" si="360"/>
        <v>0</v>
      </c>
      <c r="BB62" s="414">
        <f t="shared" si="360"/>
        <v>0</v>
      </c>
      <c r="BC62" s="414">
        <f t="shared" si="360"/>
        <v>0</v>
      </c>
      <c r="BD62" s="414">
        <f t="shared" si="360"/>
        <v>0</v>
      </c>
      <c r="BE62" s="414">
        <f t="shared" si="360"/>
        <v>0</v>
      </c>
      <c r="BF62" s="414">
        <f t="shared" si="360"/>
        <v>0</v>
      </c>
      <c r="BG62" s="415">
        <f t="shared" si="360"/>
        <v>0</v>
      </c>
      <c r="BH62" s="416">
        <f t="shared" ref="BH62:BS62" si="361">IF($F62&lt;(BH$3+1),$L62/12,0)*IF($G62&gt;(BH$3),1,0)*$I62</f>
        <v>0</v>
      </c>
      <c r="BI62" s="414">
        <f t="shared" si="361"/>
        <v>0</v>
      </c>
      <c r="BJ62" s="414">
        <f t="shared" si="361"/>
        <v>0</v>
      </c>
      <c r="BK62" s="414">
        <f t="shared" si="361"/>
        <v>0</v>
      </c>
      <c r="BL62" s="414">
        <f t="shared" si="361"/>
        <v>0</v>
      </c>
      <c r="BM62" s="414">
        <f t="shared" si="361"/>
        <v>0</v>
      </c>
      <c r="BN62" s="414">
        <f t="shared" si="361"/>
        <v>0</v>
      </c>
      <c r="BO62" s="414">
        <f t="shared" si="361"/>
        <v>0</v>
      </c>
      <c r="BP62" s="414">
        <f t="shared" si="361"/>
        <v>0</v>
      </c>
      <c r="BQ62" s="414">
        <f t="shared" si="361"/>
        <v>0</v>
      </c>
      <c r="BR62" s="414">
        <f t="shared" si="361"/>
        <v>0</v>
      </c>
      <c r="BS62" s="415">
        <f t="shared" si="361"/>
        <v>0</v>
      </c>
      <c r="BT62" s="416">
        <f t="shared" ref="BT62:CE62" si="362">IF($F62&lt;(BT$3+1),$M62/12,0)*IF($G62&gt;(BT$3),1,0)*$I62</f>
        <v>0</v>
      </c>
      <c r="BU62" s="414">
        <f t="shared" si="362"/>
        <v>0</v>
      </c>
      <c r="BV62" s="414">
        <f t="shared" si="362"/>
        <v>0</v>
      </c>
      <c r="BW62" s="414">
        <f t="shared" si="362"/>
        <v>0</v>
      </c>
      <c r="BX62" s="414">
        <f t="shared" si="362"/>
        <v>0</v>
      </c>
      <c r="BY62" s="414">
        <f t="shared" si="362"/>
        <v>0</v>
      </c>
      <c r="BZ62" s="414">
        <f t="shared" si="362"/>
        <v>0</v>
      </c>
      <c r="CA62" s="414">
        <f t="shared" si="362"/>
        <v>0</v>
      </c>
      <c r="CB62" s="414">
        <f t="shared" si="362"/>
        <v>0</v>
      </c>
      <c r="CC62" s="414">
        <f t="shared" si="362"/>
        <v>0</v>
      </c>
      <c r="CD62" s="414">
        <f t="shared" si="362"/>
        <v>0</v>
      </c>
      <c r="CE62" s="415">
        <f t="shared" si="362"/>
        <v>0</v>
      </c>
      <c r="CF62" s="416">
        <f t="shared" ref="CF62:CQ62" si="363">IF($F62&lt;(CF$3+1),$N62/12,0)*IF($G62&gt;(CF$3),1,0)*$I62</f>
        <v>0</v>
      </c>
      <c r="CG62" s="414">
        <f t="shared" si="363"/>
        <v>0</v>
      </c>
      <c r="CH62" s="414">
        <f t="shared" si="363"/>
        <v>0</v>
      </c>
      <c r="CI62" s="414">
        <f t="shared" si="363"/>
        <v>0</v>
      </c>
      <c r="CJ62" s="414">
        <f t="shared" si="363"/>
        <v>0</v>
      </c>
      <c r="CK62" s="414">
        <f t="shared" si="363"/>
        <v>0</v>
      </c>
      <c r="CL62" s="414">
        <f t="shared" si="363"/>
        <v>0</v>
      </c>
      <c r="CM62" s="414">
        <f t="shared" si="363"/>
        <v>0</v>
      </c>
      <c r="CN62" s="414">
        <f t="shared" si="363"/>
        <v>0</v>
      </c>
      <c r="CO62" s="414">
        <f t="shared" si="363"/>
        <v>0</v>
      </c>
      <c r="CP62" s="414">
        <f t="shared" si="363"/>
        <v>0</v>
      </c>
      <c r="CQ62" s="415">
        <f t="shared" si="363"/>
        <v>0</v>
      </c>
      <c r="CR62" s="407"/>
      <c r="CS62" s="407"/>
      <c r="CT62" s="407">
        <f t="shared" si="7"/>
        <v>0</v>
      </c>
      <c r="CU62" s="412">
        <f>'Annexe C  Plan produit'!$H$52</f>
        <v>46082</v>
      </c>
      <c r="CV62" s="412">
        <f>'Annexe C  Plan produit'!$I$54</f>
        <v>47090.5</v>
      </c>
    </row>
    <row r="63" spans="1:100" ht="15">
      <c r="A63" s="400" t="s">
        <v>276</v>
      </c>
      <c r="B63" s="401" t="s">
        <v>83</v>
      </c>
      <c r="C63" s="11" t="s">
        <v>277</v>
      </c>
      <c r="D63" s="4"/>
      <c r="E63" s="420"/>
      <c r="F63" s="421">
        <f>'Plan stratégique  likewatt'!C$43+36*30.5</f>
        <v>48613</v>
      </c>
      <c r="G63" s="403">
        <v>51161</v>
      </c>
      <c r="H63" s="404"/>
      <c r="I63" s="417">
        <v>2</v>
      </c>
      <c r="J63" s="406">
        <v>35000</v>
      </c>
      <c r="K63" s="407">
        <f t="shared" ref="K63:O63" si="364">J63*(1+5%)</f>
        <v>36750</v>
      </c>
      <c r="L63" s="407">
        <f t="shared" si="364"/>
        <v>38587.5</v>
      </c>
      <c r="M63" s="407">
        <f t="shared" si="364"/>
        <v>40516.875</v>
      </c>
      <c r="N63" s="407">
        <f t="shared" si="364"/>
        <v>42542.71875</v>
      </c>
      <c r="O63" s="407">
        <f t="shared" si="364"/>
        <v>44669.854687500003</v>
      </c>
      <c r="P63" s="408">
        <v>0.15</v>
      </c>
      <c r="Q63" s="414">
        <f t="shared" ref="Q63:W63" si="365">IF($F63&lt;(Q$3+1),$J63/12,0)*IF($G63&gt;(Q$3),1,0)*$I63</f>
        <v>0</v>
      </c>
      <c r="R63" s="414">
        <f t="shared" si="365"/>
        <v>0</v>
      </c>
      <c r="S63" s="414">
        <f t="shared" si="365"/>
        <v>0</v>
      </c>
      <c r="T63" s="414">
        <f t="shared" si="365"/>
        <v>0</v>
      </c>
      <c r="U63" s="414">
        <f t="shared" si="365"/>
        <v>0</v>
      </c>
      <c r="V63" s="414">
        <f t="shared" si="365"/>
        <v>0</v>
      </c>
      <c r="W63" s="415">
        <f t="shared" si="365"/>
        <v>0</v>
      </c>
      <c r="X63" s="416">
        <f t="shared" ref="X63:BG63" si="366">IF($F63&lt;(X$3+1),$K63/12,0)*IF($G63&gt;(X$3),1,0)*$I63</f>
        <v>0</v>
      </c>
      <c r="Y63" s="414">
        <f t="shared" si="366"/>
        <v>0</v>
      </c>
      <c r="Z63" s="414">
        <f t="shared" si="366"/>
        <v>0</v>
      </c>
      <c r="AA63" s="414">
        <f t="shared" si="366"/>
        <v>0</v>
      </c>
      <c r="AB63" s="414">
        <f t="shared" si="366"/>
        <v>0</v>
      </c>
      <c r="AC63" s="414">
        <f t="shared" si="366"/>
        <v>0</v>
      </c>
      <c r="AD63" s="414">
        <f t="shared" si="366"/>
        <v>0</v>
      </c>
      <c r="AE63" s="414">
        <f t="shared" si="366"/>
        <v>0</v>
      </c>
      <c r="AF63" s="414">
        <f t="shared" si="366"/>
        <v>0</v>
      </c>
      <c r="AG63" s="414">
        <f t="shared" si="366"/>
        <v>0</v>
      </c>
      <c r="AH63" s="414">
        <f t="shared" si="366"/>
        <v>0</v>
      </c>
      <c r="AI63" s="415">
        <f t="shared" si="366"/>
        <v>0</v>
      </c>
      <c r="AJ63" s="416">
        <f t="shared" si="366"/>
        <v>0</v>
      </c>
      <c r="AK63" s="414">
        <f t="shared" si="366"/>
        <v>0</v>
      </c>
      <c r="AL63" s="414">
        <f t="shared" si="366"/>
        <v>0</v>
      </c>
      <c r="AM63" s="414">
        <f t="shared" si="366"/>
        <v>0</v>
      </c>
      <c r="AN63" s="414">
        <f t="shared" si="366"/>
        <v>0</v>
      </c>
      <c r="AO63" s="414">
        <f t="shared" si="366"/>
        <v>0</v>
      </c>
      <c r="AP63" s="414">
        <f t="shared" si="366"/>
        <v>0</v>
      </c>
      <c r="AQ63" s="414">
        <f t="shared" si="366"/>
        <v>0</v>
      </c>
      <c r="AR63" s="414">
        <f t="shared" si="366"/>
        <v>0</v>
      </c>
      <c r="AS63" s="414">
        <f t="shared" si="366"/>
        <v>0</v>
      </c>
      <c r="AT63" s="414">
        <f t="shared" si="366"/>
        <v>0</v>
      </c>
      <c r="AU63" s="415">
        <f t="shared" si="366"/>
        <v>0</v>
      </c>
      <c r="AV63" s="416">
        <f t="shared" si="366"/>
        <v>0</v>
      </c>
      <c r="AW63" s="414">
        <f t="shared" si="366"/>
        <v>0</v>
      </c>
      <c r="AX63" s="414">
        <f t="shared" si="366"/>
        <v>0</v>
      </c>
      <c r="AY63" s="414">
        <f t="shared" si="366"/>
        <v>0</v>
      </c>
      <c r="AZ63" s="414">
        <f t="shared" si="366"/>
        <v>0</v>
      </c>
      <c r="BA63" s="414">
        <f t="shared" si="366"/>
        <v>0</v>
      </c>
      <c r="BB63" s="414">
        <f t="shared" si="366"/>
        <v>0</v>
      </c>
      <c r="BC63" s="414">
        <f t="shared" si="366"/>
        <v>0</v>
      </c>
      <c r="BD63" s="414">
        <f t="shared" si="366"/>
        <v>0</v>
      </c>
      <c r="BE63" s="414">
        <f t="shared" si="366"/>
        <v>0</v>
      </c>
      <c r="BF63" s="414">
        <f t="shared" si="366"/>
        <v>0</v>
      </c>
      <c r="BG63" s="415">
        <f t="shared" si="366"/>
        <v>0</v>
      </c>
      <c r="BH63" s="416">
        <f t="shared" ref="BH63:BS63" si="367">IF($F63&lt;(BH$3+1),$L63/12,0)*IF($G63&gt;(BH$3),1,0)*$I63</f>
        <v>0</v>
      </c>
      <c r="BI63" s="414">
        <f t="shared" si="367"/>
        <v>0</v>
      </c>
      <c r="BJ63" s="414">
        <f t="shared" si="367"/>
        <v>0</v>
      </c>
      <c r="BK63" s="414">
        <f t="shared" si="367"/>
        <v>0</v>
      </c>
      <c r="BL63" s="414">
        <f t="shared" si="367"/>
        <v>0</v>
      </c>
      <c r="BM63" s="414">
        <f t="shared" si="367"/>
        <v>0</v>
      </c>
      <c r="BN63" s="414">
        <f t="shared" si="367"/>
        <v>0</v>
      </c>
      <c r="BO63" s="414">
        <f t="shared" si="367"/>
        <v>0</v>
      </c>
      <c r="BP63" s="414">
        <f t="shared" si="367"/>
        <v>0</v>
      </c>
      <c r="BQ63" s="414">
        <f t="shared" si="367"/>
        <v>0</v>
      </c>
      <c r="BR63" s="414">
        <f t="shared" si="367"/>
        <v>0</v>
      </c>
      <c r="BS63" s="415">
        <f t="shared" si="367"/>
        <v>0</v>
      </c>
      <c r="BT63" s="416">
        <f t="shared" ref="BT63:CE63" si="368">IF($F63&lt;(BT$3+1),$M63/12,0)*IF($G63&gt;(BT$3),1,0)*$I63</f>
        <v>0</v>
      </c>
      <c r="BU63" s="414">
        <f t="shared" si="368"/>
        <v>0</v>
      </c>
      <c r="BV63" s="414">
        <f t="shared" si="368"/>
        <v>0</v>
      </c>
      <c r="BW63" s="414">
        <f t="shared" si="368"/>
        <v>0</v>
      </c>
      <c r="BX63" s="414">
        <f t="shared" si="368"/>
        <v>0</v>
      </c>
      <c r="BY63" s="414">
        <f t="shared" si="368"/>
        <v>0</v>
      </c>
      <c r="BZ63" s="414">
        <f t="shared" si="368"/>
        <v>0</v>
      </c>
      <c r="CA63" s="414">
        <f t="shared" si="368"/>
        <v>0</v>
      </c>
      <c r="CB63" s="414">
        <f t="shared" si="368"/>
        <v>0</v>
      </c>
      <c r="CC63" s="414">
        <f t="shared" si="368"/>
        <v>0</v>
      </c>
      <c r="CD63" s="414">
        <f t="shared" si="368"/>
        <v>0</v>
      </c>
      <c r="CE63" s="415">
        <f t="shared" si="368"/>
        <v>0</v>
      </c>
      <c r="CF63" s="416">
        <f t="shared" ref="CF63:CQ63" si="369">IF($F63&lt;(CF$3+1),$N63/12,0)*IF($G63&gt;(CF$3),1,0)*$I63</f>
        <v>0</v>
      </c>
      <c r="CG63" s="414">
        <f t="shared" si="369"/>
        <v>0</v>
      </c>
      <c r="CH63" s="414">
        <f t="shared" si="369"/>
        <v>0</v>
      </c>
      <c r="CI63" s="414">
        <f t="shared" si="369"/>
        <v>0</v>
      </c>
      <c r="CJ63" s="414">
        <f t="shared" si="369"/>
        <v>0</v>
      </c>
      <c r="CK63" s="414">
        <f t="shared" si="369"/>
        <v>0</v>
      </c>
      <c r="CL63" s="414">
        <f t="shared" si="369"/>
        <v>0</v>
      </c>
      <c r="CM63" s="414">
        <f t="shared" si="369"/>
        <v>0</v>
      </c>
      <c r="CN63" s="414">
        <f t="shared" si="369"/>
        <v>0</v>
      </c>
      <c r="CO63" s="414">
        <f t="shared" si="369"/>
        <v>0</v>
      </c>
      <c r="CP63" s="414">
        <f t="shared" si="369"/>
        <v>0</v>
      </c>
      <c r="CQ63" s="415">
        <f t="shared" si="369"/>
        <v>0</v>
      </c>
      <c r="CR63" s="407"/>
      <c r="CS63" s="407"/>
      <c r="CT63" s="407">
        <f t="shared" si="7"/>
        <v>0</v>
      </c>
      <c r="CU63" s="412">
        <f>'Annexe C  Plan produit'!$H$52</f>
        <v>46082</v>
      </c>
      <c r="CV63" s="412">
        <f>'Annexe C  Plan produit'!$I$54</f>
        <v>47090.5</v>
      </c>
    </row>
    <row r="64" spans="1:100" ht="15">
      <c r="A64" s="400" t="s">
        <v>270</v>
      </c>
      <c r="B64" s="401" t="s">
        <v>85</v>
      </c>
      <c r="C64" s="401" t="s">
        <v>317</v>
      </c>
      <c r="D64" s="4"/>
      <c r="E64" s="420"/>
      <c r="F64" s="421">
        <f>'Plan stratégique  likewatt'!G40+360</f>
        <v>48241</v>
      </c>
      <c r="G64" s="403">
        <v>51161</v>
      </c>
      <c r="H64" s="404"/>
      <c r="I64" s="405">
        <v>1</v>
      </c>
      <c r="J64" s="406">
        <v>100000</v>
      </c>
      <c r="K64" s="407">
        <f t="shared" ref="K64:O64" si="370">J64*(1+5%)</f>
        <v>105000</v>
      </c>
      <c r="L64" s="407">
        <f t="shared" si="370"/>
        <v>110250</v>
      </c>
      <c r="M64" s="407">
        <f t="shared" si="370"/>
        <v>115762.5</v>
      </c>
      <c r="N64" s="407">
        <f t="shared" si="370"/>
        <v>121550.625</v>
      </c>
      <c r="O64" s="407">
        <f t="shared" si="370"/>
        <v>127628.15625</v>
      </c>
      <c r="P64" s="408">
        <v>0.15</v>
      </c>
      <c r="Q64" s="414">
        <f t="shared" ref="Q64:W64" si="371">IF($F64&lt;(Q$3+1),$J64/12,0)*IF($G64&gt;(Q$3),1,0)*$I64</f>
        <v>0</v>
      </c>
      <c r="R64" s="414">
        <f t="shared" si="371"/>
        <v>0</v>
      </c>
      <c r="S64" s="414">
        <f t="shared" si="371"/>
        <v>0</v>
      </c>
      <c r="T64" s="414">
        <f t="shared" si="371"/>
        <v>0</v>
      </c>
      <c r="U64" s="414">
        <f t="shared" si="371"/>
        <v>0</v>
      </c>
      <c r="V64" s="414">
        <f t="shared" si="371"/>
        <v>0</v>
      </c>
      <c r="W64" s="415">
        <f t="shared" si="371"/>
        <v>0</v>
      </c>
      <c r="X64" s="416">
        <f t="shared" ref="X64:BG64" si="372">IF($F64&lt;(X$3+1),$K64/12,0)*IF($G64&gt;(X$3),1,0)*$I64</f>
        <v>0</v>
      </c>
      <c r="Y64" s="414">
        <f t="shared" si="372"/>
        <v>0</v>
      </c>
      <c r="Z64" s="414">
        <f t="shared" si="372"/>
        <v>0</v>
      </c>
      <c r="AA64" s="414">
        <f t="shared" si="372"/>
        <v>0</v>
      </c>
      <c r="AB64" s="414">
        <f t="shared" si="372"/>
        <v>0</v>
      </c>
      <c r="AC64" s="414">
        <f t="shared" si="372"/>
        <v>0</v>
      </c>
      <c r="AD64" s="414">
        <f t="shared" si="372"/>
        <v>0</v>
      </c>
      <c r="AE64" s="414">
        <f t="shared" si="372"/>
        <v>0</v>
      </c>
      <c r="AF64" s="414">
        <f t="shared" si="372"/>
        <v>0</v>
      </c>
      <c r="AG64" s="414">
        <f t="shared" si="372"/>
        <v>0</v>
      </c>
      <c r="AH64" s="414">
        <f t="shared" si="372"/>
        <v>0</v>
      </c>
      <c r="AI64" s="415">
        <f t="shared" si="372"/>
        <v>0</v>
      </c>
      <c r="AJ64" s="416">
        <f t="shared" si="372"/>
        <v>0</v>
      </c>
      <c r="AK64" s="414">
        <f t="shared" si="372"/>
        <v>0</v>
      </c>
      <c r="AL64" s="414">
        <f t="shared" si="372"/>
        <v>0</v>
      </c>
      <c r="AM64" s="414">
        <f t="shared" si="372"/>
        <v>0</v>
      </c>
      <c r="AN64" s="414">
        <f t="shared" si="372"/>
        <v>0</v>
      </c>
      <c r="AO64" s="414">
        <f t="shared" si="372"/>
        <v>0</v>
      </c>
      <c r="AP64" s="414">
        <f t="shared" si="372"/>
        <v>0</v>
      </c>
      <c r="AQ64" s="414">
        <f t="shared" si="372"/>
        <v>0</v>
      </c>
      <c r="AR64" s="414">
        <f t="shared" si="372"/>
        <v>0</v>
      </c>
      <c r="AS64" s="414">
        <f t="shared" si="372"/>
        <v>0</v>
      </c>
      <c r="AT64" s="414">
        <f t="shared" si="372"/>
        <v>0</v>
      </c>
      <c r="AU64" s="415">
        <f t="shared" si="372"/>
        <v>0</v>
      </c>
      <c r="AV64" s="416">
        <f t="shared" si="372"/>
        <v>0</v>
      </c>
      <c r="AW64" s="414">
        <f t="shared" si="372"/>
        <v>0</v>
      </c>
      <c r="AX64" s="414">
        <f t="shared" si="372"/>
        <v>0</v>
      </c>
      <c r="AY64" s="414">
        <f t="shared" si="372"/>
        <v>0</v>
      </c>
      <c r="AZ64" s="414">
        <f t="shared" si="372"/>
        <v>0</v>
      </c>
      <c r="BA64" s="414">
        <f t="shared" si="372"/>
        <v>0</v>
      </c>
      <c r="BB64" s="414">
        <f t="shared" si="372"/>
        <v>0</v>
      </c>
      <c r="BC64" s="414">
        <f t="shared" si="372"/>
        <v>0</v>
      </c>
      <c r="BD64" s="414">
        <f t="shared" si="372"/>
        <v>0</v>
      </c>
      <c r="BE64" s="414">
        <f t="shared" si="372"/>
        <v>0</v>
      </c>
      <c r="BF64" s="414">
        <f t="shared" si="372"/>
        <v>0</v>
      </c>
      <c r="BG64" s="415">
        <f t="shared" si="372"/>
        <v>0</v>
      </c>
      <c r="BH64" s="416">
        <f t="shared" ref="BH64:BS64" si="373">IF($F64&lt;(BH$3+1),$L64/12,0)*IF($G64&gt;(BH$3),1,0)*$I64</f>
        <v>0</v>
      </c>
      <c r="BI64" s="414">
        <f t="shared" si="373"/>
        <v>0</v>
      </c>
      <c r="BJ64" s="414">
        <f t="shared" si="373"/>
        <v>0</v>
      </c>
      <c r="BK64" s="414">
        <f t="shared" si="373"/>
        <v>0</v>
      </c>
      <c r="BL64" s="414">
        <f t="shared" si="373"/>
        <v>0</v>
      </c>
      <c r="BM64" s="414">
        <f t="shared" si="373"/>
        <v>0</v>
      </c>
      <c r="BN64" s="414">
        <f t="shared" si="373"/>
        <v>0</v>
      </c>
      <c r="BO64" s="414">
        <f t="shared" si="373"/>
        <v>0</v>
      </c>
      <c r="BP64" s="414">
        <f t="shared" si="373"/>
        <v>0</v>
      </c>
      <c r="BQ64" s="414">
        <f t="shared" si="373"/>
        <v>0</v>
      </c>
      <c r="BR64" s="414">
        <f t="shared" si="373"/>
        <v>0</v>
      </c>
      <c r="BS64" s="415">
        <f t="shared" si="373"/>
        <v>0</v>
      </c>
      <c r="BT64" s="416">
        <f t="shared" ref="BT64:CE64" si="374">IF($F64&lt;(BT$3+1),$M64/12,0)*IF($G64&gt;(BT$3),1,0)*$I64</f>
        <v>0</v>
      </c>
      <c r="BU64" s="414">
        <f t="shared" si="374"/>
        <v>0</v>
      </c>
      <c r="BV64" s="414">
        <f t="shared" si="374"/>
        <v>0</v>
      </c>
      <c r="BW64" s="414">
        <f t="shared" si="374"/>
        <v>0</v>
      </c>
      <c r="BX64" s="414">
        <f t="shared" si="374"/>
        <v>0</v>
      </c>
      <c r="BY64" s="414">
        <f t="shared" si="374"/>
        <v>0</v>
      </c>
      <c r="BZ64" s="414">
        <f t="shared" si="374"/>
        <v>0</v>
      </c>
      <c r="CA64" s="414">
        <f t="shared" si="374"/>
        <v>0</v>
      </c>
      <c r="CB64" s="414">
        <f t="shared" si="374"/>
        <v>0</v>
      </c>
      <c r="CC64" s="414">
        <f t="shared" si="374"/>
        <v>0</v>
      </c>
      <c r="CD64" s="414">
        <f t="shared" si="374"/>
        <v>0</v>
      </c>
      <c r="CE64" s="415">
        <f t="shared" si="374"/>
        <v>0</v>
      </c>
      <c r="CF64" s="416">
        <f t="shared" ref="CF64:CQ64" si="375">IF($F64&lt;(CF$3+1),$N64/12,0)*IF($G64&gt;(CF$3),1,0)*$I64</f>
        <v>0</v>
      </c>
      <c r="CG64" s="414">
        <f t="shared" si="375"/>
        <v>0</v>
      </c>
      <c r="CH64" s="414">
        <f t="shared" si="375"/>
        <v>0</v>
      </c>
      <c r="CI64" s="414">
        <f t="shared" si="375"/>
        <v>0</v>
      </c>
      <c r="CJ64" s="414">
        <f t="shared" si="375"/>
        <v>0</v>
      </c>
      <c r="CK64" s="414">
        <f t="shared" si="375"/>
        <v>0</v>
      </c>
      <c r="CL64" s="414">
        <f t="shared" si="375"/>
        <v>0</v>
      </c>
      <c r="CM64" s="414">
        <f t="shared" si="375"/>
        <v>0</v>
      </c>
      <c r="CN64" s="414">
        <f t="shared" si="375"/>
        <v>0</v>
      </c>
      <c r="CO64" s="414">
        <f t="shared" si="375"/>
        <v>0</v>
      </c>
      <c r="CP64" s="414">
        <f t="shared" si="375"/>
        <v>0</v>
      </c>
      <c r="CQ64" s="415">
        <f t="shared" si="375"/>
        <v>0</v>
      </c>
      <c r="CR64" s="407"/>
      <c r="CS64" s="407" t="e">
        <f t="shared" ref="CS64:CS68" ca="1" si="376">SUM($Q67:$CQ67)*(1+_xludf.IFS(B64="FR",$C$99,B64="ES",$D$99,B64="CH",$E$99,B64="BE",$F$99,B64="DE",$G$99))</f>
        <v>#NAME?</v>
      </c>
      <c r="CT64" s="407">
        <f t="shared" si="7"/>
        <v>0</v>
      </c>
      <c r="CU64" s="412">
        <f>'Annexe C  Plan produit'!$H$52</f>
        <v>46082</v>
      </c>
      <c r="CV64" s="412">
        <f>'Annexe C  Plan produit'!$I$54</f>
        <v>47090.5</v>
      </c>
    </row>
    <row r="65" spans="1:100" ht="15">
      <c r="A65" s="400" t="s">
        <v>279</v>
      </c>
      <c r="B65" s="401" t="s">
        <v>85</v>
      </c>
      <c r="C65" s="401" t="s">
        <v>320</v>
      </c>
      <c r="D65" s="4"/>
      <c r="E65" s="420"/>
      <c r="F65" s="421">
        <f>'Plan stratégique  likewatt'!G40+360</f>
        <v>48241</v>
      </c>
      <c r="G65" s="403">
        <v>51161</v>
      </c>
      <c r="H65" s="404"/>
      <c r="I65" s="417">
        <v>1</v>
      </c>
      <c r="J65" s="406">
        <v>80000</v>
      </c>
      <c r="K65" s="407">
        <f t="shared" ref="K65:O65" si="377">J65*(1+5%)</f>
        <v>84000</v>
      </c>
      <c r="L65" s="407">
        <f t="shared" si="377"/>
        <v>88200</v>
      </c>
      <c r="M65" s="407">
        <f t="shared" si="377"/>
        <v>92610</v>
      </c>
      <c r="N65" s="407">
        <f t="shared" si="377"/>
        <v>97240.5</v>
      </c>
      <c r="O65" s="407">
        <f t="shared" si="377"/>
        <v>102102.52500000001</v>
      </c>
      <c r="P65" s="408">
        <v>0.15</v>
      </c>
      <c r="Q65" s="414">
        <f t="shared" ref="Q65:W65" si="378">IF($F65&lt;(Q$3+1),$J65/12,0)*IF($G65&gt;(Q$3),1,0)*$I65</f>
        <v>0</v>
      </c>
      <c r="R65" s="414">
        <f t="shared" si="378"/>
        <v>0</v>
      </c>
      <c r="S65" s="414">
        <f t="shared" si="378"/>
        <v>0</v>
      </c>
      <c r="T65" s="414">
        <f t="shared" si="378"/>
        <v>0</v>
      </c>
      <c r="U65" s="414">
        <f t="shared" si="378"/>
        <v>0</v>
      </c>
      <c r="V65" s="414">
        <f t="shared" si="378"/>
        <v>0</v>
      </c>
      <c r="W65" s="415">
        <f t="shared" si="378"/>
        <v>0</v>
      </c>
      <c r="X65" s="416">
        <f t="shared" ref="X65:BG65" si="379">IF($F65&lt;(X$3+1),$K65/12,0)*IF($G65&gt;(X$3),1,0)*$I65</f>
        <v>0</v>
      </c>
      <c r="Y65" s="414">
        <f t="shared" si="379"/>
        <v>0</v>
      </c>
      <c r="Z65" s="414">
        <f t="shared" si="379"/>
        <v>0</v>
      </c>
      <c r="AA65" s="414">
        <f t="shared" si="379"/>
        <v>0</v>
      </c>
      <c r="AB65" s="414">
        <f t="shared" si="379"/>
        <v>0</v>
      </c>
      <c r="AC65" s="414">
        <f t="shared" si="379"/>
        <v>0</v>
      </c>
      <c r="AD65" s="414">
        <f t="shared" si="379"/>
        <v>0</v>
      </c>
      <c r="AE65" s="414">
        <f t="shared" si="379"/>
        <v>0</v>
      </c>
      <c r="AF65" s="414">
        <f t="shared" si="379"/>
        <v>0</v>
      </c>
      <c r="AG65" s="414">
        <f t="shared" si="379"/>
        <v>0</v>
      </c>
      <c r="AH65" s="414">
        <f t="shared" si="379"/>
        <v>0</v>
      </c>
      <c r="AI65" s="415">
        <f t="shared" si="379"/>
        <v>0</v>
      </c>
      <c r="AJ65" s="416">
        <f t="shared" si="379"/>
        <v>0</v>
      </c>
      <c r="AK65" s="414">
        <f t="shared" si="379"/>
        <v>0</v>
      </c>
      <c r="AL65" s="414">
        <f t="shared" si="379"/>
        <v>0</v>
      </c>
      <c r="AM65" s="414">
        <f t="shared" si="379"/>
        <v>0</v>
      </c>
      <c r="AN65" s="414">
        <f t="shared" si="379"/>
        <v>0</v>
      </c>
      <c r="AO65" s="414">
        <f t="shared" si="379"/>
        <v>0</v>
      </c>
      <c r="AP65" s="414">
        <f t="shared" si="379"/>
        <v>0</v>
      </c>
      <c r="AQ65" s="414">
        <f t="shared" si="379"/>
        <v>0</v>
      </c>
      <c r="AR65" s="414">
        <f t="shared" si="379"/>
        <v>0</v>
      </c>
      <c r="AS65" s="414">
        <f t="shared" si="379"/>
        <v>0</v>
      </c>
      <c r="AT65" s="414">
        <f t="shared" si="379"/>
        <v>0</v>
      </c>
      <c r="AU65" s="415">
        <f t="shared" si="379"/>
        <v>0</v>
      </c>
      <c r="AV65" s="416">
        <f t="shared" si="379"/>
        <v>0</v>
      </c>
      <c r="AW65" s="414">
        <f t="shared" si="379"/>
        <v>0</v>
      </c>
      <c r="AX65" s="414">
        <f t="shared" si="379"/>
        <v>0</v>
      </c>
      <c r="AY65" s="414">
        <f t="shared" si="379"/>
        <v>0</v>
      </c>
      <c r="AZ65" s="414">
        <f t="shared" si="379"/>
        <v>0</v>
      </c>
      <c r="BA65" s="414">
        <f t="shared" si="379"/>
        <v>0</v>
      </c>
      <c r="BB65" s="414">
        <f t="shared" si="379"/>
        <v>0</v>
      </c>
      <c r="BC65" s="414">
        <f t="shared" si="379"/>
        <v>0</v>
      </c>
      <c r="BD65" s="414">
        <f t="shared" si="379"/>
        <v>0</v>
      </c>
      <c r="BE65" s="414">
        <f t="shared" si="379"/>
        <v>0</v>
      </c>
      <c r="BF65" s="414">
        <f t="shared" si="379"/>
        <v>0</v>
      </c>
      <c r="BG65" s="415">
        <f t="shared" si="379"/>
        <v>0</v>
      </c>
      <c r="BH65" s="416">
        <f t="shared" ref="BH65:BS65" si="380">IF($F65&lt;(BH$3+1),$L65/12,0)*IF($G65&gt;(BH$3),1,0)*$I65</f>
        <v>0</v>
      </c>
      <c r="BI65" s="414">
        <f t="shared" si="380"/>
        <v>0</v>
      </c>
      <c r="BJ65" s="414">
        <f t="shared" si="380"/>
        <v>0</v>
      </c>
      <c r="BK65" s="414">
        <f t="shared" si="380"/>
        <v>0</v>
      </c>
      <c r="BL65" s="414">
        <f t="shared" si="380"/>
        <v>0</v>
      </c>
      <c r="BM65" s="414">
        <f t="shared" si="380"/>
        <v>0</v>
      </c>
      <c r="BN65" s="414">
        <f t="shared" si="380"/>
        <v>0</v>
      </c>
      <c r="BO65" s="414">
        <f t="shared" si="380"/>
        <v>0</v>
      </c>
      <c r="BP65" s="414">
        <f t="shared" si="380"/>
        <v>0</v>
      </c>
      <c r="BQ65" s="414">
        <f t="shared" si="380"/>
        <v>0</v>
      </c>
      <c r="BR65" s="414">
        <f t="shared" si="380"/>
        <v>0</v>
      </c>
      <c r="BS65" s="415">
        <f t="shared" si="380"/>
        <v>0</v>
      </c>
      <c r="BT65" s="416">
        <f t="shared" ref="BT65:CE65" si="381">IF($F65&lt;(BT$3+1),$M65/12,0)*IF($G65&gt;(BT$3),1,0)*$I65</f>
        <v>0</v>
      </c>
      <c r="BU65" s="414">
        <f t="shared" si="381"/>
        <v>0</v>
      </c>
      <c r="BV65" s="414">
        <f t="shared" si="381"/>
        <v>0</v>
      </c>
      <c r="BW65" s="414">
        <f t="shared" si="381"/>
        <v>0</v>
      </c>
      <c r="BX65" s="414">
        <f t="shared" si="381"/>
        <v>0</v>
      </c>
      <c r="BY65" s="414">
        <f t="shared" si="381"/>
        <v>0</v>
      </c>
      <c r="BZ65" s="414">
        <f t="shared" si="381"/>
        <v>0</v>
      </c>
      <c r="CA65" s="414">
        <f t="shared" si="381"/>
        <v>0</v>
      </c>
      <c r="CB65" s="414">
        <f t="shared" si="381"/>
        <v>0</v>
      </c>
      <c r="CC65" s="414">
        <f t="shared" si="381"/>
        <v>0</v>
      </c>
      <c r="CD65" s="414">
        <f t="shared" si="381"/>
        <v>0</v>
      </c>
      <c r="CE65" s="415">
        <f t="shared" si="381"/>
        <v>0</v>
      </c>
      <c r="CF65" s="416">
        <f t="shared" ref="CF65:CQ65" si="382">IF($F65&lt;(CF$3+1),$N65/12,0)*IF($G65&gt;(CF$3),1,0)*$I65</f>
        <v>0</v>
      </c>
      <c r="CG65" s="414">
        <f t="shared" si="382"/>
        <v>0</v>
      </c>
      <c r="CH65" s="414">
        <f t="shared" si="382"/>
        <v>0</v>
      </c>
      <c r="CI65" s="414">
        <f t="shared" si="382"/>
        <v>0</v>
      </c>
      <c r="CJ65" s="414">
        <f t="shared" si="382"/>
        <v>0</v>
      </c>
      <c r="CK65" s="414">
        <f t="shared" si="382"/>
        <v>0</v>
      </c>
      <c r="CL65" s="414">
        <f t="shared" si="382"/>
        <v>0</v>
      </c>
      <c r="CM65" s="414">
        <f t="shared" si="382"/>
        <v>0</v>
      </c>
      <c r="CN65" s="414">
        <f t="shared" si="382"/>
        <v>0</v>
      </c>
      <c r="CO65" s="414">
        <f t="shared" si="382"/>
        <v>0</v>
      </c>
      <c r="CP65" s="414">
        <f t="shared" si="382"/>
        <v>0</v>
      </c>
      <c r="CQ65" s="415">
        <f t="shared" si="382"/>
        <v>0</v>
      </c>
      <c r="CR65" s="407"/>
      <c r="CS65" s="407" t="e">
        <f t="shared" ca="1" si="376"/>
        <v>#NAME?</v>
      </c>
      <c r="CT65" s="407">
        <f t="shared" si="7"/>
        <v>0</v>
      </c>
      <c r="CU65" s="412">
        <f>'Annexe C  Plan produit'!$H$52</f>
        <v>46082</v>
      </c>
      <c r="CV65" s="412">
        <f>'Annexe C  Plan produit'!$I$54</f>
        <v>47090.5</v>
      </c>
    </row>
    <row r="66" spans="1:100" ht="15">
      <c r="A66" s="400" t="s">
        <v>276</v>
      </c>
      <c r="B66" s="401" t="s">
        <v>86</v>
      </c>
      <c r="C66" s="11" t="s">
        <v>321</v>
      </c>
      <c r="D66" s="4"/>
      <c r="E66" s="420"/>
      <c r="F66" s="421">
        <f>'Plan stratégique  likewatt'!G41+365</f>
        <v>48612</v>
      </c>
      <c r="G66" s="403">
        <v>51163</v>
      </c>
      <c r="H66" s="404"/>
      <c r="I66" s="417">
        <v>2</v>
      </c>
      <c r="J66" s="406">
        <v>40000</v>
      </c>
      <c r="K66" s="407">
        <f t="shared" ref="K66:O66" si="383">J66*(1+5%)</f>
        <v>42000</v>
      </c>
      <c r="L66" s="407">
        <f t="shared" si="383"/>
        <v>44100</v>
      </c>
      <c r="M66" s="407">
        <f t="shared" si="383"/>
        <v>46305</v>
      </c>
      <c r="N66" s="407">
        <f t="shared" si="383"/>
        <v>48620.25</v>
      </c>
      <c r="O66" s="407">
        <f t="shared" si="383"/>
        <v>51051.262500000004</v>
      </c>
      <c r="P66" s="408">
        <v>0.15</v>
      </c>
      <c r="Q66" s="414">
        <f t="shared" ref="Q66:W66" si="384">IF($F66&lt;(Q$3+1),$J66/12,0)*IF($G66&gt;(Q$3),1,0)*$I66</f>
        <v>0</v>
      </c>
      <c r="R66" s="414">
        <f t="shared" si="384"/>
        <v>0</v>
      </c>
      <c r="S66" s="414">
        <f t="shared" si="384"/>
        <v>0</v>
      </c>
      <c r="T66" s="414">
        <f t="shared" si="384"/>
        <v>0</v>
      </c>
      <c r="U66" s="414">
        <f t="shared" si="384"/>
        <v>0</v>
      </c>
      <c r="V66" s="414">
        <f t="shared" si="384"/>
        <v>0</v>
      </c>
      <c r="W66" s="415">
        <f t="shared" si="384"/>
        <v>0</v>
      </c>
      <c r="X66" s="416">
        <f t="shared" ref="X66:BG66" si="385">IF($F66&lt;(X$3+1),$K66/12,0)*IF($G66&gt;(X$3),1,0)*$I66</f>
        <v>0</v>
      </c>
      <c r="Y66" s="414">
        <f t="shared" si="385"/>
        <v>0</v>
      </c>
      <c r="Z66" s="414">
        <f t="shared" si="385"/>
        <v>0</v>
      </c>
      <c r="AA66" s="414">
        <f t="shared" si="385"/>
        <v>0</v>
      </c>
      <c r="AB66" s="414">
        <f t="shared" si="385"/>
        <v>0</v>
      </c>
      <c r="AC66" s="414">
        <f t="shared" si="385"/>
        <v>0</v>
      </c>
      <c r="AD66" s="414">
        <f t="shared" si="385"/>
        <v>0</v>
      </c>
      <c r="AE66" s="414">
        <f t="shared" si="385"/>
        <v>0</v>
      </c>
      <c r="AF66" s="414">
        <f t="shared" si="385"/>
        <v>0</v>
      </c>
      <c r="AG66" s="414">
        <f t="shared" si="385"/>
        <v>0</v>
      </c>
      <c r="AH66" s="414">
        <f t="shared" si="385"/>
        <v>0</v>
      </c>
      <c r="AI66" s="415">
        <f t="shared" si="385"/>
        <v>0</v>
      </c>
      <c r="AJ66" s="416">
        <f t="shared" si="385"/>
        <v>0</v>
      </c>
      <c r="AK66" s="414">
        <f t="shared" si="385"/>
        <v>0</v>
      </c>
      <c r="AL66" s="414">
        <f t="shared" si="385"/>
        <v>0</v>
      </c>
      <c r="AM66" s="414">
        <f t="shared" si="385"/>
        <v>0</v>
      </c>
      <c r="AN66" s="414">
        <f t="shared" si="385"/>
        <v>0</v>
      </c>
      <c r="AO66" s="414">
        <f t="shared" si="385"/>
        <v>0</v>
      </c>
      <c r="AP66" s="414">
        <f t="shared" si="385"/>
        <v>0</v>
      </c>
      <c r="AQ66" s="414">
        <f t="shared" si="385"/>
        <v>0</v>
      </c>
      <c r="AR66" s="414">
        <f t="shared" si="385"/>
        <v>0</v>
      </c>
      <c r="AS66" s="414">
        <f t="shared" si="385"/>
        <v>0</v>
      </c>
      <c r="AT66" s="414">
        <f t="shared" si="385"/>
        <v>0</v>
      </c>
      <c r="AU66" s="415">
        <f t="shared" si="385"/>
        <v>0</v>
      </c>
      <c r="AV66" s="416">
        <f t="shared" si="385"/>
        <v>0</v>
      </c>
      <c r="AW66" s="414">
        <f t="shared" si="385"/>
        <v>0</v>
      </c>
      <c r="AX66" s="414">
        <f t="shared" si="385"/>
        <v>0</v>
      </c>
      <c r="AY66" s="414">
        <f t="shared" si="385"/>
        <v>0</v>
      </c>
      <c r="AZ66" s="414">
        <f t="shared" si="385"/>
        <v>0</v>
      </c>
      <c r="BA66" s="414">
        <f t="shared" si="385"/>
        <v>0</v>
      </c>
      <c r="BB66" s="414">
        <f t="shared" si="385"/>
        <v>0</v>
      </c>
      <c r="BC66" s="414">
        <f t="shared" si="385"/>
        <v>0</v>
      </c>
      <c r="BD66" s="414">
        <f t="shared" si="385"/>
        <v>0</v>
      </c>
      <c r="BE66" s="414">
        <f t="shared" si="385"/>
        <v>0</v>
      </c>
      <c r="BF66" s="414">
        <f t="shared" si="385"/>
        <v>0</v>
      </c>
      <c r="BG66" s="415">
        <f t="shared" si="385"/>
        <v>0</v>
      </c>
      <c r="BH66" s="416">
        <f t="shared" ref="BH66:BS66" si="386">IF($F66&lt;(BH$3+1),$L66/12,0)*IF($G66&gt;(BH$3),1,0)*$I66</f>
        <v>0</v>
      </c>
      <c r="BI66" s="414">
        <f t="shared" si="386"/>
        <v>0</v>
      </c>
      <c r="BJ66" s="414">
        <f t="shared" si="386"/>
        <v>0</v>
      </c>
      <c r="BK66" s="414">
        <f t="shared" si="386"/>
        <v>0</v>
      </c>
      <c r="BL66" s="414">
        <f t="shared" si="386"/>
        <v>0</v>
      </c>
      <c r="BM66" s="414">
        <f t="shared" si="386"/>
        <v>0</v>
      </c>
      <c r="BN66" s="414">
        <f t="shared" si="386"/>
        <v>0</v>
      </c>
      <c r="BO66" s="414">
        <f t="shared" si="386"/>
        <v>0</v>
      </c>
      <c r="BP66" s="414">
        <f t="shared" si="386"/>
        <v>0</v>
      </c>
      <c r="BQ66" s="414">
        <f t="shared" si="386"/>
        <v>0</v>
      </c>
      <c r="BR66" s="414">
        <f t="shared" si="386"/>
        <v>0</v>
      </c>
      <c r="BS66" s="415">
        <f t="shared" si="386"/>
        <v>0</v>
      </c>
      <c r="BT66" s="416">
        <f t="shared" ref="BT66:CE66" si="387">IF($F66&lt;(BT$3+1),$M66/12,0)*IF($G66&gt;(BT$3),1,0)*$I66</f>
        <v>0</v>
      </c>
      <c r="BU66" s="414">
        <f t="shared" si="387"/>
        <v>0</v>
      </c>
      <c r="BV66" s="414">
        <f t="shared" si="387"/>
        <v>0</v>
      </c>
      <c r="BW66" s="414">
        <f t="shared" si="387"/>
        <v>0</v>
      </c>
      <c r="BX66" s="414">
        <f t="shared" si="387"/>
        <v>0</v>
      </c>
      <c r="BY66" s="414">
        <f t="shared" si="387"/>
        <v>0</v>
      </c>
      <c r="BZ66" s="414">
        <f t="shared" si="387"/>
        <v>0</v>
      </c>
      <c r="CA66" s="414">
        <f t="shared" si="387"/>
        <v>0</v>
      </c>
      <c r="CB66" s="414">
        <f t="shared" si="387"/>
        <v>0</v>
      </c>
      <c r="CC66" s="414">
        <f t="shared" si="387"/>
        <v>0</v>
      </c>
      <c r="CD66" s="414">
        <f t="shared" si="387"/>
        <v>0</v>
      </c>
      <c r="CE66" s="415">
        <f t="shared" si="387"/>
        <v>0</v>
      </c>
      <c r="CF66" s="416">
        <f t="shared" ref="CF66:CQ66" si="388">IF($F66&lt;(CF$3+1),$N66/12,0)*IF($G66&gt;(CF$3),1,0)*$I66</f>
        <v>0</v>
      </c>
      <c r="CG66" s="414">
        <f t="shared" si="388"/>
        <v>0</v>
      </c>
      <c r="CH66" s="414">
        <f t="shared" si="388"/>
        <v>0</v>
      </c>
      <c r="CI66" s="414">
        <f t="shared" si="388"/>
        <v>0</v>
      </c>
      <c r="CJ66" s="414">
        <f t="shared" si="388"/>
        <v>0</v>
      </c>
      <c r="CK66" s="414">
        <f t="shared" si="388"/>
        <v>0</v>
      </c>
      <c r="CL66" s="414">
        <f t="shared" si="388"/>
        <v>0</v>
      </c>
      <c r="CM66" s="414">
        <f t="shared" si="388"/>
        <v>0</v>
      </c>
      <c r="CN66" s="414">
        <f t="shared" si="388"/>
        <v>0</v>
      </c>
      <c r="CO66" s="414">
        <f t="shared" si="388"/>
        <v>0</v>
      </c>
      <c r="CP66" s="414">
        <f t="shared" si="388"/>
        <v>0</v>
      </c>
      <c r="CQ66" s="415">
        <f t="shared" si="388"/>
        <v>0</v>
      </c>
      <c r="CR66" s="407"/>
      <c r="CS66" s="407" t="e">
        <f t="shared" ca="1" si="376"/>
        <v>#NAME?</v>
      </c>
      <c r="CT66" s="407">
        <f t="shared" si="7"/>
        <v>0</v>
      </c>
      <c r="CU66" s="412">
        <f>'Annexe C  Plan produit'!$H$52</f>
        <v>46082</v>
      </c>
      <c r="CV66" s="412">
        <f>'Annexe C  Plan produit'!$I$54</f>
        <v>47090.5</v>
      </c>
    </row>
    <row r="67" spans="1:100" ht="15">
      <c r="A67" s="400" t="s">
        <v>270</v>
      </c>
      <c r="B67" s="401" t="s">
        <v>86</v>
      </c>
      <c r="C67" s="401" t="s">
        <v>322</v>
      </c>
      <c r="D67" s="4"/>
      <c r="E67" s="420"/>
      <c r="F67" s="421">
        <f>'Plan stratégique  likewatt'!G41</f>
        <v>48247</v>
      </c>
      <c r="G67" s="403">
        <v>51161</v>
      </c>
      <c r="H67" s="404"/>
      <c r="I67" s="417">
        <v>1</v>
      </c>
      <c r="J67" s="406">
        <v>100000</v>
      </c>
      <c r="K67" s="407">
        <f t="shared" ref="K67:O67" si="389">J67*(1+5%)</f>
        <v>105000</v>
      </c>
      <c r="L67" s="407">
        <f t="shared" si="389"/>
        <v>110250</v>
      </c>
      <c r="M67" s="407">
        <f t="shared" si="389"/>
        <v>115762.5</v>
      </c>
      <c r="N67" s="407">
        <f t="shared" si="389"/>
        <v>121550.625</v>
      </c>
      <c r="O67" s="407">
        <f t="shared" si="389"/>
        <v>127628.15625</v>
      </c>
      <c r="P67" s="408">
        <v>0.15</v>
      </c>
      <c r="Q67" s="414">
        <f t="shared" ref="Q67:W67" si="390">IF($F67&lt;(Q$3+1),$J67/12,0)*IF($G67&gt;(Q$3),1,0)*$I67</f>
        <v>0</v>
      </c>
      <c r="R67" s="414">
        <f t="shared" si="390"/>
        <v>0</v>
      </c>
      <c r="S67" s="414">
        <f t="shared" si="390"/>
        <v>0</v>
      </c>
      <c r="T67" s="414">
        <f t="shared" si="390"/>
        <v>0</v>
      </c>
      <c r="U67" s="414">
        <f t="shared" si="390"/>
        <v>0</v>
      </c>
      <c r="V67" s="414">
        <f t="shared" si="390"/>
        <v>0</v>
      </c>
      <c r="W67" s="415">
        <f t="shared" si="390"/>
        <v>0</v>
      </c>
      <c r="X67" s="416">
        <f t="shared" ref="X67:BG67" si="391">IF($F67&lt;(X$3+1),$K67/12,0)*IF($G67&gt;(X$3),1,0)*$I67</f>
        <v>0</v>
      </c>
      <c r="Y67" s="414">
        <f t="shared" si="391"/>
        <v>0</v>
      </c>
      <c r="Z67" s="414">
        <f t="shared" si="391"/>
        <v>0</v>
      </c>
      <c r="AA67" s="414">
        <f t="shared" si="391"/>
        <v>0</v>
      </c>
      <c r="AB67" s="414">
        <f t="shared" si="391"/>
        <v>0</v>
      </c>
      <c r="AC67" s="414">
        <f t="shared" si="391"/>
        <v>0</v>
      </c>
      <c r="AD67" s="414">
        <f t="shared" si="391"/>
        <v>0</v>
      </c>
      <c r="AE67" s="414">
        <f t="shared" si="391"/>
        <v>0</v>
      </c>
      <c r="AF67" s="414">
        <f t="shared" si="391"/>
        <v>0</v>
      </c>
      <c r="AG67" s="414">
        <f t="shared" si="391"/>
        <v>0</v>
      </c>
      <c r="AH67" s="414">
        <f t="shared" si="391"/>
        <v>0</v>
      </c>
      <c r="AI67" s="415">
        <f t="shared" si="391"/>
        <v>0</v>
      </c>
      <c r="AJ67" s="416">
        <f t="shared" si="391"/>
        <v>0</v>
      </c>
      <c r="AK67" s="414">
        <f t="shared" si="391"/>
        <v>0</v>
      </c>
      <c r="AL67" s="414">
        <f t="shared" si="391"/>
        <v>0</v>
      </c>
      <c r="AM67" s="414">
        <f t="shared" si="391"/>
        <v>0</v>
      </c>
      <c r="AN67" s="414">
        <f t="shared" si="391"/>
        <v>0</v>
      </c>
      <c r="AO67" s="414">
        <f t="shared" si="391"/>
        <v>0</v>
      </c>
      <c r="AP67" s="414">
        <f t="shared" si="391"/>
        <v>0</v>
      </c>
      <c r="AQ67" s="414">
        <f t="shared" si="391"/>
        <v>0</v>
      </c>
      <c r="AR67" s="414">
        <f t="shared" si="391"/>
        <v>0</v>
      </c>
      <c r="AS67" s="414">
        <f t="shared" si="391"/>
        <v>0</v>
      </c>
      <c r="AT67" s="414">
        <f t="shared" si="391"/>
        <v>0</v>
      </c>
      <c r="AU67" s="415">
        <f t="shared" si="391"/>
        <v>0</v>
      </c>
      <c r="AV67" s="416">
        <f t="shared" si="391"/>
        <v>0</v>
      </c>
      <c r="AW67" s="414">
        <f t="shared" si="391"/>
        <v>0</v>
      </c>
      <c r="AX67" s="414">
        <f t="shared" si="391"/>
        <v>0</v>
      </c>
      <c r="AY67" s="414">
        <f t="shared" si="391"/>
        <v>0</v>
      </c>
      <c r="AZ67" s="414">
        <f t="shared" si="391"/>
        <v>0</v>
      </c>
      <c r="BA67" s="414">
        <f t="shared" si="391"/>
        <v>0</v>
      </c>
      <c r="BB67" s="414">
        <f t="shared" si="391"/>
        <v>0</v>
      </c>
      <c r="BC67" s="414">
        <f t="shared" si="391"/>
        <v>0</v>
      </c>
      <c r="BD67" s="414">
        <f t="shared" si="391"/>
        <v>0</v>
      </c>
      <c r="BE67" s="414">
        <f t="shared" si="391"/>
        <v>0</v>
      </c>
      <c r="BF67" s="414">
        <f t="shared" si="391"/>
        <v>0</v>
      </c>
      <c r="BG67" s="415">
        <f t="shared" si="391"/>
        <v>0</v>
      </c>
      <c r="BH67" s="416">
        <f t="shared" ref="BH67:BS67" si="392">IF($F67&lt;(BH$3+1),$L67/12,0)*IF($G67&gt;(BH$3),1,0)*$I67</f>
        <v>0</v>
      </c>
      <c r="BI67" s="414">
        <f t="shared" si="392"/>
        <v>0</v>
      </c>
      <c r="BJ67" s="414">
        <f t="shared" si="392"/>
        <v>0</v>
      </c>
      <c r="BK67" s="414">
        <f t="shared" si="392"/>
        <v>0</v>
      </c>
      <c r="BL67" s="414">
        <f t="shared" si="392"/>
        <v>0</v>
      </c>
      <c r="BM67" s="414">
        <f t="shared" si="392"/>
        <v>0</v>
      </c>
      <c r="BN67" s="414">
        <f t="shared" si="392"/>
        <v>0</v>
      </c>
      <c r="BO67" s="414">
        <f t="shared" si="392"/>
        <v>0</v>
      </c>
      <c r="BP67" s="414">
        <f t="shared" si="392"/>
        <v>0</v>
      </c>
      <c r="BQ67" s="414">
        <f t="shared" si="392"/>
        <v>0</v>
      </c>
      <c r="BR67" s="414">
        <f t="shared" si="392"/>
        <v>0</v>
      </c>
      <c r="BS67" s="415">
        <f t="shared" si="392"/>
        <v>0</v>
      </c>
      <c r="BT67" s="416">
        <f t="shared" ref="BT67:CE67" si="393">IF($F67&lt;(BT$3+1),$M67/12,0)*IF($G67&gt;(BT$3),1,0)*$I67</f>
        <v>0</v>
      </c>
      <c r="BU67" s="414">
        <f t="shared" si="393"/>
        <v>0</v>
      </c>
      <c r="BV67" s="414">
        <f t="shared" si="393"/>
        <v>0</v>
      </c>
      <c r="BW67" s="414">
        <f t="shared" si="393"/>
        <v>0</v>
      </c>
      <c r="BX67" s="414">
        <f t="shared" si="393"/>
        <v>0</v>
      </c>
      <c r="BY67" s="414">
        <f t="shared" si="393"/>
        <v>0</v>
      </c>
      <c r="BZ67" s="414">
        <f t="shared" si="393"/>
        <v>0</v>
      </c>
      <c r="CA67" s="414">
        <f t="shared" si="393"/>
        <v>0</v>
      </c>
      <c r="CB67" s="414">
        <f t="shared" si="393"/>
        <v>0</v>
      </c>
      <c r="CC67" s="414">
        <f t="shared" si="393"/>
        <v>0</v>
      </c>
      <c r="CD67" s="414">
        <f t="shared" si="393"/>
        <v>0</v>
      </c>
      <c r="CE67" s="415">
        <f t="shared" si="393"/>
        <v>0</v>
      </c>
      <c r="CF67" s="416">
        <f t="shared" ref="CF67:CQ67" si="394">IF($F67&lt;(CF$3+1),$N67/12,0)*IF($G67&gt;(CF$3),1,0)*$I67</f>
        <v>0</v>
      </c>
      <c r="CG67" s="414">
        <f t="shared" si="394"/>
        <v>0</v>
      </c>
      <c r="CH67" s="414">
        <f t="shared" si="394"/>
        <v>0</v>
      </c>
      <c r="CI67" s="414">
        <f t="shared" si="394"/>
        <v>0</v>
      </c>
      <c r="CJ67" s="414">
        <f t="shared" si="394"/>
        <v>0</v>
      </c>
      <c r="CK67" s="414">
        <f t="shared" si="394"/>
        <v>0</v>
      </c>
      <c r="CL67" s="414">
        <f t="shared" si="394"/>
        <v>0</v>
      </c>
      <c r="CM67" s="414">
        <f t="shared" si="394"/>
        <v>0</v>
      </c>
      <c r="CN67" s="414">
        <f t="shared" si="394"/>
        <v>0</v>
      </c>
      <c r="CO67" s="414">
        <f t="shared" si="394"/>
        <v>0</v>
      </c>
      <c r="CP67" s="414">
        <f t="shared" si="394"/>
        <v>0</v>
      </c>
      <c r="CQ67" s="415">
        <f t="shared" si="394"/>
        <v>0</v>
      </c>
      <c r="CR67" s="407"/>
      <c r="CS67" s="407" t="e">
        <f t="shared" ca="1" si="376"/>
        <v>#NAME?</v>
      </c>
      <c r="CT67" s="407">
        <f t="shared" si="7"/>
        <v>0</v>
      </c>
      <c r="CU67" s="412">
        <f>'Annexe C  Plan produit'!$H$52</f>
        <v>46082</v>
      </c>
      <c r="CV67" s="412">
        <f>'Annexe C  Plan produit'!$I$54</f>
        <v>47090.5</v>
      </c>
    </row>
    <row r="68" spans="1:100" ht="15">
      <c r="A68" s="400" t="s">
        <v>279</v>
      </c>
      <c r="B68" s="401" t="s">
        <v>83</v>
      </c>
      <c r="C68" s="11" t="s">
        <v>323</v>
      </c>
      <c r="D68" s="4"/>
      <c r="E68" s="420"/>
      <c r="F68" s="421">
        <f>'Plan stratégique  likewatt'!C$43+24*30.5</f>
        <v>48247</v>
      </c>
      <c r="G68" s="403">
        <v>51161</v>
      </c>
      <c r="H68" s="404"/>
      <c r="I68" s="417">
        <v>2</v>
      </c>
      <c r="J68" s="406">
        <v>35000</v>
      </c>
      <c r="K68" s="407">
        <f t="shared" ref="K68:O68" si="395">J68*(1+5%)</f>
        <v>36750</v>
      </c>
      <c r="L68" s="407">
        <f t="shared" si="395"/>
        <v>38587.5</v>
      </c>
      <c r="M68" s="407">
        <f t="shared" si="395"/>
        <v>40516.875</v>
      </c>
      <c r="N68" s="407">
        <f t="shared" si="395"/>
        <v>42542.71875</v>
      </c>
      <c r="O68" s="407">
        <f t="shared" si="395"/>
        <v>44669.854687500003</v>
      </c>
      <c r="P68" s="408">
        <v>0.15</v>
      </c>
      <c r="Q68" s="414">
        <f t="shared" ref="Q68:W68" si="396">IF($F68&lt;(Q$3+1),$J68/12,0)*IF($G68&gt;(Q$3),1,0)*$I68</f>
        <v>0</v>
      </c>
      <c r="R68" s="414">
        <f t="shared" si="396"/>
        <v>0</v>
      </c>
      <c r="S68" s="414">
        <f t="shared" si="396"/>
        <v>0</v>
      </c>
      <c r="T68" s="414">
        <f t="shared" si="396"/>
        <v>0</v>
      </c>
      <c r="U68" s="414">
        <f t="shared" si="396"/>
        <v>0</v>
      </c>
      <c r="V68" s="414">
        <f t="shared" si="396"/>
        <v>0</v>
      </c>
      <c r="W68" s="415">
        <f t="shared" si="396"/>
        <v>0</v>
      </c>
      <c r="X68" s="416">
        <f t="shared" ref="X68:BG68" si="397">IF($F68&lt;(X$3+1),$K68/12,0)*IF($G68&gt;(X$3),1,0)*$I68</f>
        <v>0</v>
      </c>
      <c r="Y68" s="414">
        <f t="shared" si="397"/>
        <v>0</v>
      </c>
      <c r="Z68" s="414">
        <f t="shared" si="397"/>
        <v>0</v>
      </c>
      <c r="AA68" s="414">
        <f t="shared" si="397"/>
        <v>0</v>
      </c>
      <c r="AB68" s="414">
        <f t="shared" si="397"/>
        <v>0</v>
      </c>
      <c r="AC68" s="414">
        <f t="shared" si="397"/>
        <v>0</v>
      </c>
      <c r="AD68" s="414">
        <f t="shared" si="397"/>
        <v>0</v>
      </c>
      <c r="AE68" s="414">
        <f t="shared" si="397"/>
        <v>0</v>
      </c>
      <c r="AF68" s="414">
        <f t="shared" si="397"/>
        <v>0</v>
      </c>
      <c r="AG68" s="414">
        <f t="shared" si="397"/>
        <v>0</v>
      </c>
      <c r="AH68" s="414">
        <f t="shared" si="397"/>
        <v>0</v>
      </c>
      <c r="AI68" s="415">
        <f t="shared" si="397"/>
        <v>0</v>
      </c>
      <c r="AJ68" s="416">
        <f t="shared" si="397"/>
        <v>0</v>
      </c>
      <c r="AK68" s="414">
        <f t="shared" si="397"/>
        <v>0</v>
      </c>
      <c r="AL68" s="414">
        <f t="shared" si="397"/>
        <v>0</v>
      </c>
      <c r="AM68" s="414">
        <f t="shared" si="397"/>
        <v>0</v>
      </c>
      <c r="AN68" s="414">
        <f t="shared" si="397"/>
        <v>0</v>
      </c>
      <c r="AO68" s="414">
        <f t="shared" si="397"/>
        <v>0</v>
      </c>
      <c r="AP68" s="414">
        <f t="shared" si="397"/>
        <v>0</v>
      </c>
      <c r="AQ68" s="414">
        <f t="shared" si="397"/>
        <v>0</v>
      </c>
      <c r="AR68" s="414">
        <f t="shared" si="397"/>
        <v>0</v>
      </c>
      <c r="AS68" s="414">
        <f t="shared" si="397"/>
        <v>0</v>
      </c>
      <c r="AT68" s="414">
        <f t="shared" si="397"/>
        <v>0</v>
      </c>
      <c r="AU68" s="415">
        <f t="shared" si="397"/>
        <v>0</v>
      </c>
      <c r="AV68" s="416">
        <f t="shared" si="397"/>
        <v>0</v>
      </c>
      <c r="AW68" s="414">
        <f t="shared" si="397"/>
        <v>0</v>
      </c>
      <c r="AX68" s="414">
        <f t="shared" si="397"/>
        <v>0</v>
      </c>
      <c r="AY68" s="414">
        <f t="shared" si="397"/>
        <v>0</v>
      </c>
      <c r="AZ68" s="414">
        <f t="shared" si="397"/>
        <v>0</v>
      </c>
      <c r="BA68" s="414">
        <f t="shared" si="397"/>
        <v>0</v>
      </c>
      <c r="BB68" s="414">
        <f t="shared" si="397"/>
        <v>0</v>
      </c>
      <c r="BC68" s="414">
        <f t="shared" si="397"/>
        <v>0</v>
      </c>
      <c r="BD68" s="414">
        <f t="shared" si="397"/>
        <v>0</v>
      </c>
      <c r="BE68" s="414">
        <f t="shared" si="397"/>
        <v>0</v>
      </c>
      <c r="BF68" s="414">
        <f t="shared" si="397"/>
        <v>0</v>
      </c>
      <c r="BG68" s="415">
        <f t="shared" si="397"/>
        <v>0</v>
      </c>
      <c r="BH68" s="416">
        <f t="shared" ref="BH68:BS68" si="398">IF($F68&lt;(BH$3+1),$L68/12,0)*IF($G68&gt;(BH$3),1,0)*$I68</f>
        <v>0</v>
      </c>
      <c r="BI68" s="414">
        <f t="shared" si="398"/>
        <v>0</v>
      </c>
      <c r="BJ68" s="414">
        <f t="shared" si="398"/>
        <v>0</v>
      </c>
      <c r="BK68" s="414">
        <f t="shared" si="398"/>
        <v>0</v>
      </c>
      <c r="BL68" s="414">
        <f t="shared" si="398"/>
        <v>0</v>
      </c>
      <c r="BM68" s="414">
        <f t="shared" si="398"/>
        <v>0</v>
      </c>
      <c r="BN68" s="414">
        <f t="shared" si="398"/>
        <v>0</v>
      </c>
      <c r="BO68" s="414">
        <f t="shared" si="398"/>
        <v>0</v>
      </c>
      <c r="BP68" s="414">
        <f t="shared" si="398"/>
        <v>0</v>
      </c>
      <c r="BQ68" s="414">
        <f t="shared" si="398"/>
        <v>0</v>
      </c>
      <c r="BR68" s="414">
        <f t="shared" si="398"/>
        <v>0</v>
      </c>
      <c r="BS68" s="415">
        <f t="shared" si="398"/>
        <v>0</v>
      </c>
      <c r="BT68" s="416">
        <f t="shared" ref="BT68:CE68" si="399">IF($F68&lt;(BT$3+1),$M68/12,0)*IF($G68&gt;(BT$3),1,0)*$I68</f>
        <v>0</v>
      </c>
      <c r="BU68" s="414">
        <f t="shared" si="399"/>
        <v>0</v>
      </c>
      <c r="BV68" s="414">
        <f t="shared" si="399"/>
        <v>0</v>
      </c>
      <c r="BW68" s="414">
        <f t="shared" si="399"/>
        <v>0</v>
      </c>
      <c r="BX68" s="414">
        <f t="shared" si="399"/>
        <v>0</v>
      </c>
      <c r="BY68" s="414">
        <f t="shared" si="399"/>
        <v>0</v>
      </c>
      <c r="BZ68" s="414">
        <f t="shared" si="399"/>
        <v>0</v>
      </c>
      <c r="CA68" s="414">
        <f t="shared" si="399"/>
        <v>0</v>
      </c>
      <c r="CB68" s="414">
        <f t="shared" si="399"/>
        <v>0</v>
      </c>
      <c r="CC68" s="414">
        <f t="shared" si="399"/>
        <v>0</v>
      </c>
      <c r="CD68" s="414">
        <f t="shared" si="399"/>
        <v>0</v>
      </c>
      <c r="CE68" s="415">
        <f t="shared" si="399"/>
        <v>0</v>
      </c>
      <c r="CF68" s="416">
        <f t="shared" ref="CF68:CQ68" si="400">IF($F68&lt;(CF$3+1),$N68/12,0)*IF($G68&gt;(CF$3),1,0)*$I68</f>
        <v>0</v>
      </c>
      <c r="CG68" s="414">
        <f t="shared" si="400"/>
        <v>0</v>
      </c>
      <c r="CH68" s="414">
        <f t="shared" si="400"/>
        <v>0</v>
      </c>
      <c r="CI68" s="414">
        <f t="shared" si="400"/>
        <v>0</v>
      </c>
      <c r="CJ68" s="414">
        <f t="shared" si="400"/>
        <v>0</v>
      </c>
      <c r="CK68" s="414">
        <f t="shared" si="400"/>
        <v>0</v>
      </c>
      <c r="CL68" s="414">
        <f t="shared" si="400"/>
        <v>0</v>
      </c>
      <c r="CM68" s="414">
        <f t="shared" si="400"/>
        <v>0</v>
      </c>
      <c r="CN68" s="414">
        <f t="shared" si="400"/>
        <v>0</v>
      </c>
      <c r="CO68" s="414">
        <f t="shared" si="400"/>
        <v>0</v>
      </c>
      <c r="CP68" s="414">
        <f t="shared" si="400"/>
        <v>0</v>
      </c>
      <c r="CQ68" s="415">
        <f t="shared" si="400"/>
        <v>0</v>
      </c>
      <c r="CR68" s="407"/>
      <c r="CS68" s="407" t="e">
        <f t="shared" ca="1" si="376"/>
        <v>#NAME?</v>
      </c>
      <c r="CT68" s="407">
        <f t="shared" si="7"/>
        <v>0</v>
      </c>
      <c r="CU68" s="412">
        <f>'Annexe C  Plan produit'!$H$52</f>
        <v>46082</v>
      </c>
      <c r="CV68" s="412">
        <f>'Annexe C  Plan produit'!$I$54</f>
        <v>47090.5</v>
      </c>
    </row>
    <row r="69" spans="1:100" ht="15">
      <c r="A69" s="400" t="s">
        <v>276</v>
      </c>
      <c r="B69" s="401" t="s">
        <v>83</v>
      </c>
      <c r="C69" s="11" t="s">
        <v>277</v>
      </c>
      <c r="D69" s="4"/>
      <c r="E69" s="420"/>
      <c r="F69" s="421">
        <f>'Plan stratégique  likewatt'!C43+36*3.5</f>
        <v>47641</v>
      </c>
      <c r="G69" s="403">
        <v>51161</v>
      </c>
      <c r="H69" s="404"/>
      <c r="I69" s="417">
        <v>2</v>
      </c>
      <c r="J69" s="406">
        <v>35000</v>
      </c>
      <c r="K69" s="407">
        <f t="shared" ref="K69:O69" si="401">J69*(1+5%)</f>
        <v>36750</v>
      </c>
      <c r="L69" s="407">
        <f t="shared" si="401"/>
        <v>38587.5</v>
      </c>
      <c r="M69" s="407">
        <f t="shared" si="401"/>
        <v>40516.875</v>
      </c>
      <c r="N69" s="407">
        <f t="shared" si="401"/>
        <v>42542.71875</v>
      </c>
      <c r="O69" s="407">
        <f t="shared" si="401"/>
        <v>44669.854687500003</v>
      </c>
      <c r="P69" s="408">
        <v>0.15</v>
      </c>
      <c r="Q69" s="414">
        <f t="shared" ref="Q69:W69" si="402">IF($F69&lt;(Q$3+1),$J69/12,0)*IF($G69&gt;(Q$3),1,0)*$I69</f>
        <v>0</v>
      </c>
      <c r="R69" s="414">
        <f t="shared" si="402"/>
        <v>0</v>
      </c>
      <c r="S69" s="414">
        <f t="shared" si="402"/>
        <v>0</v>
      </c>
      <c r="T69" s="414">
        <f t="shared" si="402"/>
        <v>0</v>
      </c>
      <c r="U69" s="414">
        <f t="shared" si="402"/>
        <v>0</v>
      </c>
      <c r="V69" s="414">
        <f t="shared" si="402"/>
        <v>0</v>
      </c>
      <c r="W69" s="415">
        <f t="shared" si="402"/>
        <v>0</v>
      </c>
      <c r="X69" s="416">
        <f t="shared" ref="X69:BG69" si="403">IF($F69&lt;(X$3+1),$K69/12,0)*IF($G69&gt;(X$3),1,0)*$I69</f>
        <v>0</v>
      </c>
      <c r="Y69" s="414">
        <f t="shared" si="403"/>
        <v>0</v>
      </c>
      <c r="Z69" s="414">
        <f t="shared" si="403"/>
        <v>0</v>
      </c>
      <c r="AA69" s="414">
        <f t="shared" si="403"/>
        <v>0</v>
      </c>
      <c r="AB69" s="414">
        <f t="shared" si="403"/>
        <v>0</v>
      </c>
      <c r="AC69" s="414">
        <f t="shared" si="403"/>
        <v>0</v>
      </c>
      <c r="AD69" s="414">
        <f t="shared" si="403"/>
        <v>0</v>
      </c>
      <c r="AE69" s="414">
        <f t="shared" si="403"/>
        <v>0</v>
      </c>
      <c r="AF69" s="414">
        <f t="shared" si="403"/>
        <v>0</v>
      </c>
      <c r="AG69" s="414">
        <f t="shared" si="403"/>
        <v>0</v>
      </c>
      <c r="AH69" s="414">
        <f t="shared" si="403"/>
        <v>0</v>
      </c>
      <c r="AI69" s="415">
        <f t="shared" si="403"/>
        <v>0</v>
      </c>
      <c r="AJ69" s="416">
        <f t="shared" si="403"/>
        <v>0</v>
      </c>
      <c r="AK69" s="414">
        <f t="shared" si="403"/>
        <v>0</v>
      </c>
      <c r="AL69" s="414">
        <f t="shared" si="403"/>
        <v>0</v>
      </c>
      <c r="AM69" s="414">
        <f t="shared" si="403"/>
        <v>0</v>
      </c>
      <c r="AN69" s="414">
        <f t="shared" si="403"/>
        <v>0</v>
      </c>
      <c r="AO69" s="414">
        <f t="shared" si="403"/>
        <v>0</v>
      </c>
      <c r="AP69" s="414">
        <f t="shared" si="403"/>
        <v>0</v>
      </c>
      <c r="AQ69" s="414">
        <f t="shared" si="403"/>
        <v>0</v>
      </c>
      <c r="AR69" s="414">
        <f t="shared" si="403"/>
        <v>0</v>
      </c>
      <c r="AS69" s="414">
        <f t="shared" si="403"/>
        <v>0</v>
      </c>
      <c r="AT69" s="414">
        <f t="shared" si="403"/>
        <v>0</v>
      </c>
      <c r="AU69" s="415">
        <f t="shared" si="403"/>
        <v>0</v>
      </c>
      <c r="AV69" s="416">
        <f t="shared" si="403"/>
        <v>0</v>
      </c>
      <c r="AW69" s="414">
        <f t="shared" si="403"/>
        <v>0</v>
      </c>
      <c r="AX69" s="414">
        <f t="shared" si="403"/>
        <v>0</v>
      </c>
      <c r="AY69" s="414">
        <f t="shared" si="403"/>
        <v>0</v>
      </c>
      <c r="AZ69" s="414">
        <f t="shared" si="403"/>
        <v>0</v>
      </c>
      <c r="BA69" s="414">
        <f t="shared" si="403"/>
        <v>0</v>
      </c>
      <c r="BB69" s="414">
        <f t="shared" si="403"/>
        <v>0</v>
      </c>
      <c r="BC69" s="414">
        <f t="shared" si="403"/>
        <v>0</v>
      </c>
      <c r="BD69" s="414">
        <f t="shared" si="403"/>
        <v>0</v>
      </c>
      <c r="BE69" s="414">
        <f t="shared" si="403"/>
        <v>0</v>
      </c>
      <c r="BF69" s="414">
        <f t="shared" si="403"/>
        <v>0</v>
      </c>
      <c r="BG69" s="415">
        <f t="shared" si="403"/>
        <v>0</v>
      </c>
      <c r="BH69" s="416">
        <f t="shared" ref="BH69:BS69" si="404">IF($F69&lt;(BH$3+1),$L69/12,0)*IF($G69&gt;(BH$3),1,0)*$I69</f>
        <v>0</v>
      </c>
      <c r="BI69" s="414">
        <f t="shared" si="404"/>
        <v>0</v>
      </c>
      <c r="BJ69" s="414">
        <f t="shared" si="404"/>
        <v>0</v>
      </c>
      <c r="BK69" s="414">
        <f t="shared" si="404"/>
        <v>0</v>
      </c>
      <c r="BL69" s="414">
        <f t="shared" si="404"/>
        <v>0</v>
      </c>
      <c r="BM69" s="414">
        <f t="shared" si="404"/>
        <v>0</v>
      </c>
      <c r="BN69" s="414">
        <f t="shared" si="404"/>
        <v>0</v>
      </c>
      <c r="BO69" s="414">
        <f t="shared" si="404"/>
        <v>0</v>
      </c>
      <c r="BP69" s="414">
        <f t="shared" si="404"/>
        <v>0</v>
      </c>
      <c r="BQ69" s="414">
        <f t="shared" si="404"/>
        <v>0</v>
      </c>
      <c r="BR69" s="414">
        <f t="shared" si="404"/>
        <v>0</v>
      </c>
      <c r="BS69" s="415">
        <f t="shared" si="404"/>
        <v>0</v>
      </c>
      <c r="BT69" s="416">
        <f t="shared" ref="BT69:CE69" si="405">IF($F69&lt;(BT$3+1),$M69/12,0)*IF($G69&gt;(BT$3),1,0)*$I69</f>
        <v>0</v>
      </c>
      <c r="BU69" s="414">
        <f t="shared" si="405"/>
        <v>0</v>
      </c>
      <c r="BV69" s="414">
        <f t="shared" si="405"/>
        <v>0</v>
      </c>
      <c r="BW69" s="414">
        <f t="shared" si="405"/>
        <v>0</v>
      </c>
      <c r="BX69" s="414">
        <f t="shared" si="405"/>
        <v>0</v>
      </c>
      <c r="BY69" s="414">
        <f t="shared" si="405"/>
        <v>0</v>
      </c>
      <c r="BZ69" s="414">
        <f t="shared" si="405"/>
        <v>6752.8125</v>
      </c>
      <c r="CA69" s="414">
        <f t="shared" si="405"/>
        <v>6752.8125</v>
      </c>
      <c r="CB69" s="414">
        <f t="shared" si="405"/>
        <v>6752.8125</v>
      </c>
      <c r="CC69" s="414">
        <f t="shared" si="405"/>
        <v>6752.8125</v>
      </c>
      <c r="CD69" s="414">
        <f t="shared" si="405"/>
        <v>6752.8125</v>
      </c>
      <c r="CE69" s="415">
        <f t="shared" si="405"/>
        <v>6752.8125</v>
      </c>
      <c r="CF69" s="416">
        <f t="shared" ref="CF69:CQ69" si="406">IF($F69&lt;(CF$3+1),$N69/12,0)*IF($G69&gt;(CF$3),1,0)*$I69</f>
        <v>7090.453125</v>
      </c>
      <c r="CG69" s="414">
        <f t="shared" si="406"/>
        <v>7090.453125</v>
      </c>
      <c r="CH69" s="414">
        <f t="shared" si="406"/>
        <v>7090.453125</v>
      </c>
      <c r="CI69" s="414">
        <f t="shared" si="406"/>
        <v>7090.453125</v>
      </c>
      <c r="CJ69" s="414">
        <f t="shared" si="406"/>
        <v>7090.453125</v>
      </c>
      <c r="CK69" s="414">
        <f t="shared" si="406"/>
        <v>7090.453125</v>
      </c>
      <c r="CL69" s="414">
        <f t="shared" si="406"/>
        <v>7090.453125</v>
      </c>
      <c r="CM69" s="414">
        <f t="shared" si="406"/>
        <v>7090.453125</v>
      </c>
      <c r="CN69" s="414">
        <f t="shared" si="406"/>
        <v>7090.453125</v>
      </c>
      <c r="CO69" s="414">
        <f t="shared" si="406"/>
        <v>7090.453125</v>
      </c>
      <c r="CP69" s="414">
        <f t="shared" si="406"/>
        <v>7090.453125</v>
      </c>
      <c r="CQ69" s="415">
        <f t="shared" si="406"/>
        <v>7090.453125</v>
      </c>
      <c r="CR69" s="407"/>
      <c r="CS69" s="407"/>
      <c r="CT69" s="407">
        <f t="shared" si="7"/>
        <v>0</v>
      </c>
      <c r="CU69" s="412">
        <f>'Annexe C  Plan produit'!$H$52</f>
        <v>46082</v>
      </c>
      <c r="CV69" s="412">
        <f>'Annexe C  Plan produit'!$I$54</f>
        <v>47090.5</v>
      </c>
    </row>
    <row r="70" spans="1:100" ht="15">
      <c r="A70" s="400" t="s">
        <v>276</v>
      </c>
      <c r="B70" s="401" t="s">
        <v>85</v>
      </c>
      <c r="C70" s="11" t="s">
        <v>277</v>
      </c>
      <c r="D70" s="4"/>
      <c r="E70" s="420"/>
      <c r="F70" s="421">
        <f>'Plan stratégique  likewatt'!G40+360</f>
        <v>48241</v>
      </c>
      <c r="G70" s="403">
        <v>51161</v>
      </c>
      <c r="H70" s="404"/>
      <c r="I70" s="417">
        <v>3</v>
      </c>
      <c r="J70" s="406">
        <v>80000</v>
      </c>
      <c r="K70" s="407">
        <f t="shared" ref="K70:O70" si="407">J70*(1+5%)</f>
        <v>84000</v>
      </c>
      <c r="L70" s="407">
        <f t="shared" si="407"/>
        <v>88200</v>
      </c>
      <c r="M70" s="407">
        <f t="shared" si="407"/>
        <v>92610</v>
      </c>
      <c r="N70" s="407">
        <f t="shared" si="407"/>
        <v>97240.5</v>
      </c>
      <c r="O70" s="407">
        <f t="shared" si="407"/>
        <v>102102.52500000001</v>
      </c>
      <c r="P70" s="408">
        <v>0.15</v>
      </c>
      <c r="Q70" s="414">
        <f t="shared" ref="Q70:W70" si="408">IF($F70&lt;(Q$3+1),$J70/12,0)*IF($G70&gt;(Q$3),1,0)*$I70</f>
        <v>0</v>
      </c>
      <c r="R70" s="414">
        <f t="shared" si="408"/>
        <v>0</v>
      </c>
      <c r="S70" s="414">
        <f t="shared" si="408"/>
        <v>0</v>
      </c>
      <c r="T70" s="414">
        <f t="shared" si="408"/>
        <v>0</v>
      </c>
      <c r="U70" s="414">
        <f t="shared" si="408"/>
        <v>0</v>
      </c>
      <c r="V70" s="414">
        <f t="shared" si="408"/>
        <v>0</v>
      </c>
      <c r="W70" s="415">
        <f t="shared" si="408"/>
        <v>0</v>
      </c>
      <c r="X70" s="416">
        <f t="shared" ref="X70:BG70" si="409">IF($F70&lt;(X$3+1),$K70/12,0)*IF($G70&gt;(X$3),1,0)*$I70</f>
        <v>0</v>
      </c>
      <c r="Y70" s="414">
        <f t="shared" si="409"/>
        <v>0</v>
      </c>
      <c r="Z70" s="414">
        <f t="shared" si="409"/>
        <v>0</v>
      </c>
      <c r="AA70" s="414">
        <f t="shared" si="409"/>
        <v>0</v>
      </c>
      <c r="AB70" s="414">
        <f t="shared" si="409"/>
        <v>0</v>
      </c>
      <c r="AC70" s="414">
        <f t="shared" si="409"/>
        <v>0</v>
      </c>
      <c r="AD70" s="414">
        <f t="shared" si="409"/>
        <v>0</v>
      </c>
      <c r="AE70" s="414">
        <f t="shared" si="409"/>
        <v>0</v>
      </c>
      <c r="AF70" s="414">
        <f t="shared" si="409"/>
        <v>0</v>
      </c>
      <c r="AG70" s="414">
        <f t="shared" si="409"/>
        <v>0</v>
      </c>
      <c r="AH70" s="414">
        <f t="shared" si="409"/>
        <v>0</v>
      </c>
      <c r="AI70" s="415">
        <f t="shared" si="409"/>
        <v>0</v>
      </c>
      <c r="AJ70" s="416">
        <f t="shared" si="409"/>
        <v>0</v>
      </c>
      <c r="AK70" s="414">
        <f t="shared" si="409"/>
        <v>0</v>
      </c>
      <c r="AL70" s="414">
        <f t="shared" si="409"/>
        <v>0</v>
      </c>
      <c r="AM70" s="414">
        <f t="shared" si="409"/>
        <v>0</v>
      </c>
      <c r="AN70" s="414">
        <f t="shared" si="409"/>
        <v>0</v>
      </c>
      <c r="AO70" s="414">
        <f t="shared" si="409"/>
        <v>0</v>
      </c>
      <c r="AP70" s="414">
        <f t="shared" si="409"/>
        <v>0</v>
      </c>
      <c r="AQ70" s="414">
        <f t="shared" si="409"/>
        <v>0</v>
      </c>
      <c r="AR70" s="414">
        <f t="shared" si="409"/>
        <v>0</v>
      </c>
      <c r="AS70" s="414">
        <f t="shared" si="409"/>
        <v>0</v>
      </c>
      <c r="AT70" s="414">
        <f t="shared" si="409"/>
        <v>0</v>
      </c>
      <c r="AU70" s="415">
        <f t="shared" si="409"/>
        <v>0</v>
      </c>
      <c r="AV70" s="416">
        <f t="shared" si="409"/>
        <v>0</v>
      </c>
      <c r="AW70" s="414">
        <f t="shared" si="409"/>
        <v>0</v>
      </c>
      <c r="AX70" s="414">
        <f t="shared" si="409"/>
        <v>0</v>
      </c>
      <c r="AY70" s="414">
        <f t="shared" si="409"/>
        <v>0</v>
      </c>
      <c r="AZ70" s="414">
        <f t="shared" si="409"/>
        <v>0</v>
      </c>
      <c r="BA70" s="414">
        <f t="shared" si="409"/>
        <v>0</v>
      </c>
      <c r="BB70" s="414">
        <f t="shared" si="409"/>
        <v>0</v>
      </c>
      <c r="BC70" s="414">
        <f t="shared" si="409"/>
        <v>0</v>
      </c>
      <c r="BD70" s="414">
        <f t="shared" si="409"/>
        <v>0</v>
      </c>
      <c r="BE70" s="414">
        <f t="shared" si="409"/>
        <v>0</v>
      </c>
      <c r="BF70" s="414">
        <f t="shared" si="409"/>
        <v>0</v>
      </c>
      <c r="BG70" s="415">
        <f t="shared" si="409"/>
        <v>0</v>
      </c>
      <c r="BH70" s="416">
        <f t="shared" ref="BH70:BS70" si="410">IF($F70&lt;(BH$3+1),$L70/12,0)*IF($G70&gt;(BH$3),1,0)*$I70</f>
        <v>0</v>
      </c>
      <c r="BI70" s="414">
        <f t="shared" si="410"/>
        <v>0</v>
      </c>
      <c r="BJ70" s="414">
        <f t="shared" si="410"/>
        <v>0</v>
      </c>
      <c r="BK70" s="414">
        <f t="shared" si="410"/>
        <v>0</v>
      </c>
      <c r="BL70" s="414">
        <f t="shared" si="410"/>
        <v>0</v>
      </c>
      <c r="BM70" s="414">
        <f t="shared" si="410"/>
        <v>0</v>
      </c>
      <c r="BN70" s="414">
        <f t="shared" si="410"/>
        <v>0</v>
      </c>
      <c r="BO70" s="414">
        <f t="shared" si="410"/>
        <v>0</v>
      </c>
      <c r="BP70" s="414">
        <f t="shared" si="410"/>
        <v>0</v>
      </c>
      <c r="BQ70" s="414">
        <f t="shared" si="410"/>
        <v>0</v>
      </c>
      <c r="BR70" s="414">
        <f t="shared" si="410"/>
        <v>0</v>
      </c>
      <c r="BS70" s="415">
        <f t="shared" si="410"/>
        <v>0</v>
      </c>
      <c r="BT70" s="416">
        <f t="shared" ref="BT70:CE70" si="411">IF($F70&lt;(BT$3+1),$M70/12,0)*IF($G70&gt;(BT$3),1,0)*$I70</f>
        <v>0</v>
      </c>
      <c r="BU70" s="414">
        <f t="shared" si="411"/>
        <v>0</v>
      </c>
      <c r="BV70" s="414">
        <f t="shared" si="411"/>
        <v>0</v>
      </c>
      <c r="BW70" s="414">
        <f t="shared" si="411"/>
        <v>0</v>
      </c>
      <c r="BX70" s="414">
        <f t="shared" si="411"/>
        <v>0</v>
      </c>
      <c r="BY70" s="414">
        <f t="shared" si="411"/>
        <v>0</v>
      </c>
      <c r="BZ70" s="414">
        <f t="shared" si="411"/>
        <v>0</v>
      </c>
      <c r="CA70" s="414">
        <f t="shared" si="411"/>
        <v>0</v>
      </c>
      <c r="CB70" s="414">
        <f t="shared" si="411"/>
        <v>0</v>
      </c>
      <c r="CC70" s="414">
        <f t="shared" si="411"/>
        <v>0</v>
      </c>
      <c r="CD70" s="414">
        <f t="shared" si="411"/>
        <v>0</v>
      </c>
      <c r="CE70" s="415">
        <f t="shared" si="411"/>
        <v>0</v>
      </c>
      <c r="CF70" s="416">
        <f t="shared" ref="CF70:CQ70" si="412">IF($F70&lt;(CF$3+1),$N70/12,0)*IF($G70&gt;(CF$3),1,0)*$I70</f>
        <v>0</v>
      </c>
      <c r="CG70" s="414">
        <f t="shared" si="412"/>
        <v>0</v>
      </c>
      <c r="CH70" s="414">
        <f t="shared" si="412"/>
        <v>0</v>
      </c>
      <c r="CI70" s="414">
        <f t="shared" si="412"/>
        <v>0</v>
      </c>
      <c r="CJ70" s="414">
        <f t="shared" si="412"/>
        <v>0</v>
      </c>
      <c r="CK70" s="414">
        <f t="shared" si="412"/>
        <v>0</v>
      </c>
      <c r="CL70" s="414">
        <f t="shared" si="412"/>
        <v>0</v>
      </c>
      <c r="CM70" s="414">
        <f t="shared" si="412"/>
        <v>0</v>
      </c>
      <c r="CN70" s="414">
        <f t="shared" si="412"/>
        <v>0</v>
      </c>
      <c r="CO70" s="414">
        <f t="shared" si="412"/>
        <v>0</v>
      </c>
      <c r="CP70" s="414">
        <f t="shared" si="412"/>
        <v>0</v>
      </c>
      <c r="CQ70" s="415">
        <f t="shared" si="412"/>
        <v>0</v>
      </c>
      <c r="CR70" s="407"/>
      <c r="CS70" s="407"/>
      <c r="CT70" s="407">
        <f t="shared" si="7"/>
        <v>0</v>
      </c>
      <c r="CU70" s="412">
        <f>'Annexe C  Plan produit'!$H$52</f>
        <v>46082</v>
      </c>
      <c r="CV70" s="412">
        <f>'Annexe C  Plan produit'!$I$54</f>
        <v>47090.5</v>
      </c>
    </row>
    <row r="71" spans="1:100" ht="15">
      <c r="A71" s="400" t="s">
        <v>270</v>
      </c>
      <c r="B71" s="401" t="s">
        <v>86</v>
      </c>
      <c r="C71" s="401" t="s">
        <v>324</v>
      </c>
      <c r="D71" s="4"/>
      <c r="E71" s="420"/>
      <c r="F71" s="421">
        <f>'Plan stratégique  likewatt'!G41+100</f>
        <v>48347</v>
      </c>
      <c r="G71" s="403">
        <v>51161</v>
      </c>
      <c r="H71" s="404"/>
      <c r="I71" s="417">
        <v>3</v>
      </c>
      <c r="J71" s="406">
        <v>40000</v>
      </c>
      <c r="K71" s="407">
        <f t="shared" ref="K71:O71" si="413">J71*(1+5%)</f>
        <v>42000</v>
      </c>
      <c r="L71" s="407">
        <f t="shared" si="413"/>
        <v>44100</v>
      </c>
      <c r="M71" s="407">
        <f t="shared" si="413"/>
        <v>46305</v>
      </c>
      <c r="N71" s="407">
        <f t="shared" si="413"/>
        <v>48620.25</v>
      </c>
      <c r="O71" s="407">
        <f t="shared" si="413"/>
        <v>51051.262500000004</v>
      </c>
      <c r="P71" s="408">
        <v>0.15</v>
      </c>
      <c r="Q71" s="414">
        <f t="shared" ref="Q71:W71" si="414">IF($F71&lt;(Q$3+1),$J71/12,0)*IF($G71&gt;(Q$3),1,0)*$I71</f>
        <v>0</v>
      </c>
      <c r="R71" s="414">
        <f t="shared" si="414"/>
        <v>0</v>
      </c>
      <c r="S71" s="414">
        <f t="shared" si="414"/>
        <v>0</v>
      </c>
      <c r="T71" s="414">
        <f t="shared" si="414"/>
        <v>0</v>
      </c>
      <c r="U71" s="414">
        <f t="shared" si="414"/>
        <v>0</v>
      </c>
      <c r="V71" s="414">
        <f t="shared" si="414"/>
        <v>0</v>
      </c>
      <c r="W71" s="415">
        <f t="shared" si="414"/>
        <v>0</v>
      </c>
      <c r="X71" s="416">
        <f t="shared" ref="X71:BG71" si="415">IF($F71&lt;(X$3+1),$K71/12,0)*IF($G71&gt;(X$3),1,0)*$I71</f>
        <v>0</v>
      </c>
      <c r="Y71" s="414">
        <f t="shared" si="415"/>
        <v>0</v>
      </c>
      <c r="Z71" s="414">
        <f t="shared" si="415"/>
        <v>0</v>
      </c>
      <c r="AA71" s="414">
        <f t="shared" si="415"/>
        <v>0</v>
      </c>
      <c r="AB71" s="414">
        <f t="shared" si="415"/>
        <v>0</v>
      </c>
      <c r="AC71" s="414">
        <f t="shared" si="415"/>
        <v>0</v>
      </c>
      <c r="AD71" s="414">
        <f t="shared" si="415"/>
        <v>0</v>
      </c>
      <c r="AE71" s="414">
        <f t="shared" si="415"/>
        <v>0</v>
      </c>
      <c r="AF71" s="414">
        <f t="shared" si="415"/>
        <v>0</v>
      </c>
      <c r="AG71" s="414">
        <f t="shared" si="415"/>
        <v>0</v>
      </c>
      <c r="AH71" s="414">
        <f t="shared" si="415"/>
        <v>0</v>
      </c>
      <c r="AI71" s="415">
        <f t="shared" si="415"/>
        <v>0</v>
      </c>
      <c r="AJ71" s="416">
        <f t="shared" si="415"/>
        <v>0</v>
      </c>
      <c r="AK71" s="414">
        <f t="shared" si="415"/>
        <v>0</v>
      </c>
      <c r="AL71" s="414">
        <f t="shared" si="415"/>
        <v>0</v>
      </c>
      <c r="AM71" s="414">
        <f t="shared" si="415"/>
        <v>0</v>
      </c>
      <c r="AN71" s="414">
        <f t="shared" si="415"/>
        <v>0</v>
      </c>
      <c r="AO71" s="414">
        <f t="shared" si="415"/>
        <v>0</v>
      </c>
      <c r="AP71" s="414">
        <f t="shared" si="415"/>
        <v>0</v>
      </c>
      <c r="AQ71" s="414">
        <f t="shared" si="415"/>
        <v>0</v>
      </c>
      <c r="AR71" s="414">
        <f t="shared" si="415"/>
        <v>0</v>
      </c>
      <c r="AS71" s="414">
        <f t="shared" si="415"/>
        <v>0</v>
      </c>
      <c r="AT71" s="414">
        <f t="shared" si="415"/>
        <v>0</v>
      </c>
      <c r="AU71" s="415">
        <f t="shared" si="415"/>
        <v>0</v>
      </c>
      <c r="AV71" s="416">
        <f t="shared" si="415"/>
        <v>0</v>
      </c>
      <c r="AW71" s="414">
        <f t="shared" si="415"/>
        <v>0</v>
      </c>
      <c r="AX71" s="414">
        <f t="shared" si="415"/>
        <v>0</v>
      </c>
      <c r="AY71" s="414">
        <f t="shared" si="415"/>
        <v>0</v>
      </c>
      <c r="AZ71" s="414">
        <f t="shared" si="415"/>
        <v>0</v>
      </c>
      <c r="BA71" s="414">
        <f t="shared" si="415"/>
        <v>0</v>
      </c>
      <c r="BB71" s="414">
        <f t="shared" si="415"/>
        <v>0</v>
      </c>
      <c r="BC71" s="414">
        <f t="shared" si="415"/>
        <v>0</v>
      </c>
      <c r="BD71" s="414">
        <f t="shared" si="415"/>
        <v>0</v>
      </c>
      <c r="BE71" s="414">
        <f t="shared" si="415"/>
        <v>0</v>
      </c>
      <c r="BF71" s="414">
        <f t="shared" si="415"/>
        <v>0</v>
      </c>
      <c r="BG71" s="415">
        <f t="shared" si="415"/>
        <v>0</v>
      </c>
      <c r="BH71" s="416">
        <f t="shared" ref="BH71:BS71" si="416">IF($F71&lt;(BH$3+1),$L71/12,0)*IF($G71&gt;(BH$3),1,0)*$I71</f>
        <v>0</v>
      </c>
      <c r="BI71" s="414">
        <f t="shared" si="416"/>
        <v>0</v>
      </c>
      <c r="BJ71" s="414">
        <f t="shared" si="416"/>
        <v>0</v>
      </c>
      <c r="BK71" s="414">
        <f t="shared" si="416"/>
        <v>0</v>
      </c>
      <c r="BL71" s="414">
        <f t="shared" si="416"/>
        <v>0</v>
      </c>
      <c r="BM71" s="414">
        <f t="shared" si="416"/>
        <v>0</v>
      </c>
      <c r="BN71" s="414">
        <f t="shared" si="416"/>
        <v>0</v>
      </c>
      <c r="BO71" s="414">
        <f t="shared" si="416"/>
        <v>0</v>
      </c>
      <c r="BP71" s="414">
        <f t="shared" si="416"/>
        <v>0</v>
      </c>
      <c r="BQ71" s="414">
        <f t="shared" si="416"/>
        <v>0</v>
      </c>
      <c r="BR71" s="414">
        <f t="shared" si="416"/>
        <v>0</v>
      </c>
      <c r="BS71" s="415">
        <f t="shared" si="416"/>
        <v>0</v>
      </c>
      <c r="BT71" s="416">
        <f t="shared" ref="BT71:CE71" si="417">IF($F71&lt;(BT$3+1),$M71/12,0)*IF($G71&gt;(BT$3),1,0)*$I71</f>
        <v>0</v>
      </c>
      <c r="BU71" s="414">
        <f t="shared" si="417"/>
        <v>0</v>
      </c>
      <c r="BV71" s="414">
        <f t="shared" si="417"/>
        <v>0</v>
      </c>
      <c r="BW71" s="414">
        <f t="shared" si="417"/>
        <v>0</v>
      </c>
      <c r="BX71" s="414">
        <f t="shared" si="417"/>
        <v>0</v>
      </c>
      <c r="BY71" s="414">
        <f t="shared" si="417"/>
        <v>0</v>
      </c>
      <c r="BZ71" s="414">
        <f t="shared" si="417"/>
        <v>0</v>
      </c>
      <c r="CA71" s="414">
        <f t="shared" si="417"/>
        <v>0</v>
      </c>
      <c r="CB71" s="414">
        <f t="shared" si="417"/>
        <v>0</v>
      </c>
      <c r="CC71" s="414">
        <f t="shared" si="417"/>
        <v>0</v>
      </c>
      <c r="CD71" s="414">
        <f t="shared" si="417"/>
        <v>0</v>
      </c>
      <c r="CE71" s="415">
        <f t="shared" si="417"/>
        <v>0</v>
      </c>
      <c r="CF71" s="416">
        <f t="shared" ref="CF71:CQ71" si="418">IF($F71&lt;(CF$3+1),$N71/12,0)*IF($G71&gt;(CF$3),1,0)*$I71</f>
        <v>0</v>
      </c>
      <c r="CG71" s="414">
        <f t="shared" si="418"/>
        <v>0</v>
      </c>
      <c r="CH71" s="414">
        <f t="shared" si="418"/>
        <v>0</v>
      </c>
      <c r="CI71" s="414">
        <f t="shared" si="418"/>
        <v>0</v>
      </c>
      <c r="CJ71" s="414">
        <f t="shared" si="418"/>
        <v>0</v>
      </c>
      <c r="CK71" s="414">
        <f t="shared" si="418"/>
        <v>0</v>
      </c>
      <c r="CL71" s="414">
        <f t="shared" si="418"/>
        <v>0</v>
      </c>
      <c r="CM71" s="414">
        <f t="shared" si="418"/>
        <v>0</v>
      </c>
      <c r="CN71" s="414">
        <f t="shared" si="418"/>
        <v>0</v>
      </c>
      <c r="CO71" s="414">
        <f t="shared" si="418"/>
        <v>0</v>
      </c>
      <c r="CP71" s="414">
        <f t="shared" si="418"/>
        <v>0</v>
      </c>
      <c r="CQ71" s="415">
        <f t="shared" si="418"/>
        <v>0</v>
      </c>
      <c r="CR71" s="407"/>
      <c r="CS71" s="407" t="e">
        <f t="shared" ref="CS71:CS72" ca="1" si="419">SUM($Q74:$CQ74)*(1+_xludf.IFS(B71="FR",$C$99,B71="ES",$D$99,B71="CH",$E$99,B71="BE",$F$99,B71="DE",$G$99))</f>
        <v>#NAME?</v>
      </c>
      <c r="CT71" s="407">
        <f t="shared" si="7"/>
        <v>0</v>
      </c>
      <c r="CU71" s="412">
        <f>'Annexe C  Plan produit'!$H$52</f>
        <v>46082</v>
      </c>
      <c r="CV71" s="412">
        <f>'Annexe C  Plan produit'!$I$54</f>
        <v>47090.5</v>
      </c>
    </row>
    <row r="72" spans="1:100" ht="15">
      <c r="A72" s="400" t="s">
        <v>270</v>
      </c>
      <c r="B72" s="401" t="s">
        <v>85</v>
      </c>
      <c r="C72" s="11" t="s">
        <v>325</v>
      </c>
      <c r="D72" s="4"/>
      <c r="E72" s="420"/>
      <c r="F72" s="421">
        <f>'Plan stratégique  likewatt'!G40+500</f>
        <v>48381</v>
      </c>
      <c r="G72" s="403">
        <v>51161</v>
      </c>
      <c r="H72" s="404"/>
      <c r="I72" s="417">
        <v>3</v>
      </c>
      <c r="J72" s="406">
        <v>100000</v>
      </c>
      <c r="K72" s="407">
        <f t="shared" ref="K72:O72" si="420">J72*(1+5%)</f>
        <v>105000</v>
      </c>
      <c r="L72" s="407">
        <f t="shared" si="420"/>
        <v>110250</v>
      </c>
      <c r="M72" s="407">
        <f t="shared" si="420"/>
        <v>115762.5</v>
      </c>
      <c r="N72" s="407">
        <f t="shared" si="420"/>
        <v>121550.625</v>
      </c>
      <c r="O72" s="407">
        <f t="shared" si="420"/>
        <v>127628.15625</v>
      </c>
      <c r="P72" s="408">
        <v>0.15</v>
      </c>
      <c r="Q72" s="414">
        <f t="shared" ref="Q72:W72" si="421">IF($F72&lt;(Q$3+1),$J72/12,0)*IF($G72&gt;(Q$3),1,0)*$I72</f>
        <v>0</v>
      </c>
      <c r="R72" s="414">
        <f t="shared" si="421"/>
        <v>0</v>
      </c>
      <c r="S72" s="414">
        <f t="shared" si="421"/>
        <v>0</v>
      </c>
      <c r="T72" s="414">
        <f t="shared" si="421"/>
        <v>0</v>
      </c>
      <c r="U72" s="414">
        <f t="shared" si="421"/>
        <v>0</v>
      </c>
      <c r="V72" s="414">
        <f t="shared" si="421"/>
        <v>0</v>
      </c>
      <c r="W72" s="415">
        <f t="shared" si="421"/>
        <v>0</v>
      </c>
      <c r="X72" s="416">
        <f t="shared" ref="X72:BG72" si="422">IF($F72&lt;(X$3+1),$K72/12,0)*IF($G72&gt;(X$3),1,0)*$I72</f>
        <v>0</v>
      </c>
      <c r="Y72" s="414">
        <f t="shared" si="422"/>
        <v>0</v>
      </c>
      <c r="Z72" s="414">
        <f t="shared" si="422"/>
        <v>0</v>
      </c>
      <c r="AA72" s="414">
        <f t="shared" si="422"/>
        <v>0</v>
      </c>
      <c r="AB72" s="414">
        <f t="shared" si="422"/>
        <v>0</v>
      </c>
      <c r="AC72" s="414">
        <f t="shared" si="422"/>
        <v>0</v>
      </c>
      <c r="AD72" s="414">
        <f t="shared" si="422"/>
        <v>0</v>
      </c>
      <c r="AE72" s="414">
        <f t="shared" si="422"/>
        <v>0</v>
      </c>
      <c r="AF72" s="414">
        <f t="shared" si="422"/>
        <v>0</v>
      </c>
      <c r="AG72" s="414">
        <f t="shared" si="422"/>
        <v>0</v>
      </c>
      <c r="AH72" s="414">
        <f t="shared" si="422"/>
        <v>0</v>
      </c>
      <c r="AI72" s="415">
        <f t="shared" si="422"/>
        <v>0</v>
      </c>
      <c r="AJ72" s="416">
        <f t="shared" si="422"/>
        <v>0</v>
      </c>
      <c r="AK72" s="414">
        <f t="shared" si="422"/>
        <v>0</v>
      </c>
      <c r="AL72" s="414">
        <f t="shared" si="422"/>
        <v>0</v>
      </c>
      <c r="AM72" s="414">
        <f t="shared" si="422"/>
        <v>0</v>
      </c>
      <c r="AN72" s="414">
        <f t="shared" si="422"/>
        <v>0</v>
      </c>
      <c r="AO72" s="414">
        <f t="shared" si="422"/>
        <v>0</v>
      </c>
      <c r="AP72" s="414">
        <f t="shared" si="422"/>
        <v>0</v>
      </c>
      <c r="AQ72" s="414">
        <f t="shared" si="422"/>
        <v>0</v>
      </c>
      <c r="AR72" s="414">
        <f t="shared" si="422"/>
        <v>0</v>
      </c>
      <c r="AS72" s="414">
        <f t="shared" si="422"/>
        <v>0</v>
      </c>
      <c r="AT72" s="414">
        <f t="shared" si="422"/>
        <v>0</v>
      </c>
      <c r="AU72" s="415">
        <f t="shared" si="422"/>
        <v>0</v>
      </c>
      <c r="AV72" s="416">
        <f t="shared" si="422"/>
        <v>0</v>
      </c>
      <c r="AW72" s="414">
        <f t="shared" si="422"/>
        <v>0</v>
      </c>
      <c r="AX72" s="414">
        <f t="shared" si="422"/>
        <v>0</v>
      </c>
      <c r="AY72" s="414">
        <f t="shared" si="422"/>
        <v>0</v>
      </c>
      <c r="AZ72" s="414">
        <f t="shared" si="422"/>
        <v>0</v>
      </c>
      <c r="BA72" s="414">
        <f t="shared" si="422"/>
        <v>0</v>
      </c>
      <c r="BB72" s="414">
        <f t="shared" si="422"/>
        <v>0</v>
      </c>
      <c r="BC72" s="414">
        <f t="shared" si="422"/>
        <v>0</v>
      </c>
      <c r="BD72" s="414">
        <f t="shared" si="422"/>
        <v>0</v>
      </c>
      <c r="BE72" s="414">
        <f t="shared" si="422"/>
        <v>0</v>
      </c>
      <c r="BF72" s="414">
        <f t="shared" si="422"/>
        <v>0</v>
      </c>
      <c r="BG72" s="415">
        <f t="shared" si="422"/>
        <v>0</v>
      </c>
      <c r="BH72" s="416">
        <f t="shared" ref="BH72:BS72" si="423">IF($F72&lt;(BH$3+1),$L72/12,0)*IF($G72&gt;(BH$3),1,0)*$I72</f>
        <v>0</v>
      </c>
      <c r="BI72" s="414">
        <f t="shared" si="423"/>
        <v>0</v>
      </c>
      <c r="BJ72" s="414">
        <f t="shared" si="423"/>
        <v>0</v>
      </c>
      <c r="BK72" s="414">
        <f t="shared" si="423"/>
        <v>0</v>
      </c>
      <c r="BL72" s="414">
        <f t="shared" si="423"/>
        <v>0</v>
      </c>
      <c r="BM72" s="414">
        <f t="shared" si="423"/>
        <v>0</v>
      </c>
      <c r="BN72" s="414">
        <f t="shared" si="423"/>
        <v>0</v>
      </c>
      <c r="BO72" s="414">
        <f t="shared" si="423"/>
        <v>0</v>
      </c>
      <c r="BP72" s="414">
        <f t="shared" si="423"/>
        <v>0</v>
      </c>
      <c r="BQ72" s="414">
        <f t="shared" si="423"/>
        <v>0</v>
      </c>
      <c r="BR72" s="414">
        <f t="shared" si="423"/>
        <v>0</v>
      </c>
      <c r="BS72" s="415">
        <f t="shared" si="423"/>
        <v>0</v>
      </c>
      <c r="BT72" s="416">
        <f t="shared" ref="BT72:CE72" si="424">IF($F72&lt;(BT$3+1),$M72/12,0)*IF($G72&gt;(BT$3),1,0)*$I72</f>
        <v>0</v>
      </c>
      <c r="BU72" s="414">
        <f t="shared" si="424"/>
        <v>0</v>
      </c>
      <c r="BV72" s="414">
        <f t="shared" si="424"/>
        <v>0</v>
      </c>
      <c r="BW72" s="414">
        <f t="shared" si="424"/>
        <v>0</v>
      </c>
      <c r="BX72" s="414">
        <f t="shared" si="424"/>
        <v>0</v>
      </c>
      <c r="BY72" s="414">
        <f t="shared" si="424"/>
        <v>0</v>
      </c>
      <c r="BZ72" s="414">
        <f t="shared" si="424"/>
        <v>0</v>
      </c>
      <c r="CA72" s="414">
        <f t="shared" si="424"/>
        <v>0</v>
      </c>
      <c r="CB72" s="414">
        <f t="shared" si="424"/>
        <v>0</v>
      </c>
      <c r="CC72" s="414">
        <f t="shared" si="424"/>
        <v>0</v>
      </c>
      <c r="CD72" s="414">
        <f t="shared" si="424"/>
        <v>0</v>
      </c>
      <c r="CE72" s="415">
        <f t="shared" si="424"/>
        <v>0</v>
      </c>
      <c r="CF72" s="416">
        <f t="shared" ref="CF72:CQ72" si="425">IF($F72&lt;(CF$3+1),$N72/12,0)*IF($G72&gt;(CF$3),1,0)*$I72</f>
        <v>0</v>
      </c>
      <c r="CG72" s="414">
        <f t="shared" si="425"/>
        <v>0</v>
      </c>
      <c r="CH72" s="414">
        <f t="shared" si="425"/>
        <v>0</v>
      </c>
      <c r="CI72" s="414">
        <f t="shared" si="425"/>
        <v>0</v>
      </c>
      <c r="CJ72" s="414">
        <f t="shared" si="425"/>
        <v>0</v>
      </c>
      <c r="CK72" s="414">
        <f t="shared" si="425"/>
        <v>0</v>
      </c>
      <c r="CL72" s="414">
        <f t="shared" si="425"/>
        <v>0</v>
      </c>
      <c r="CM72" s="414">
        <f t="shared" si="425"/>
        <v>0</v>
      </c>
      <c r="CN72" s="414">
        <f t="shared" si="425"/>
        <v>0</v>
      </c>
      <c r="CO72" s="414">
        <f t="shared" si="425"/>
        <v>0</v>
      </c>
      <c r="CP72" s="414">
        <f t="shared" si="425"/>
        <v>0</v>
      </c>
      <c r="CQ72" s="415">
        <f t="shared" si="425"/>
        <v>0</v>
      </c>
      <c r="CR72" s="407"/>
      <c r="CS72" s="407" t="e">
        <f t="shared" ca="1" si="419"/>
        <v>#NAME?</v>
      </c>
      <c r="CT72" s="407">
        <f t="shared" si="7"/>
        <v>0</v>
      </c>
      <c r="CU72" s="412">
        <f>'Annexe C  Plan produit'!$H$52</f>
        <v>46082</v>
      </c>
      <c r="CV72" s="412">
        <f>'Annexe C  Plan produit'!$I$54</f>
        <v>47090.5</v>
      </c>
    </row>
    <row r="73" spans="1:100" ht="15">
      <c r="A73" s="400" t="s">
        <v>279</v>
      </c>
      <c r="B73" s="401" t="s">
        <v>83</v>
      </c>
      <c r="C73" s="11" t="s">
        <v>279</v>
      </c>
      <c r="D73" s="4"/>
      <c r="E73" s="420"/>
      <c r="F73" s="421">
        <f>'Plan stratégique  likewatt'!C43+48*30.5</f>
        <v>48979</v>
      </c>
      <c r="G73" s="403">
        <v>51161</v>
      </c>
      <c r="H73" s="404"/>
      <c r="I73" s="417">
        <v>4</v>
      </c>
      <c r="J73" s="406">
        <v>35000</v>
      </c>
      <c r="K73" s="407">
        <f t="shared" ref="K73:O73" si="426">J73*(1+5%)</f>
        <v>36750</v>
      </c>
      <c r="L73" s="407">
        <f t="shared" si="426"/>
        <v>38587.5</v>
      </c>
      <c r="M73" s="407">
        <f t="shared" si="426"/>
        <v>40516.875</v>
      </c>
      <c r="N73" s="407">
        <f t="shared" si="426"/>
        <v>42542.71875</v>
      </c>
      <c r="O73" s="407">
        <f t="shared" si="426"/>
        <v>44669.854687500003</v>
      </c>
      <c r="P73" s="408">
        <v>0.15</v>
      </c>
      <c r="Q73" s="414">
        <f t="shared" ref="Q73:W73" si="427">IF($F73&lt;(Q$3+1),$J73/12,0)*IF($G73&gt;(Q$3),1,0)*$I73</f>
        <v>0</v>
      </c>
      <c r="R73" s="414">
        <f t="shared" si="427"/>
        <v>0</v>
      </c>
      <c r="S73" s="414">
        <f t="shared" si="427"/>
        <v>0</v>
      </c>
      <c r="T73" s="414">
        <f t="shared" si="427"/>
        <v>0</v>
      </c>
      <c r="U73" s="414">
        <f t="shared" si="427"/>
        <v>0</v>
      </c>
      <c r="V73" s="414">
        <f t="shared" si="427"/>
        <v>0</v>
      </c>
      <c r="W73" s="415">
        <f t="shared" si="427"/>
        <v>0</v>
      </c>
      <c r="X73" s="416">
        <f t="shared" ref="X73:BG73" si="428">IF($F73&lt;(X$3+1),$K73/12,0)*IF($G73&gt;(X$3),1,0)*$I73</f>
        <v>0</v>
      </c>
      <c r="Y73" s="414">
        <f t="shared" si="428"/>
        <v>0</v>
      </c>
      <c r="Z73" s="414">
        <f t="shared" si="428"/>
        <v>0</v>
      </c>
      <c r="AA73" s="414">
        <f t="shared" si="428"/>
        <v>0</v>
      </c>
      <c r="AB73" s="414">
        <f t="shared" si="428"/>
        <v>0</v>
      </c>
      <c r="AC73" s="414">
        <f t="shared" si="428"/>
        <v>0</v>
      </c>
      <c r="AD73" s="414">
        <f t="shared" si="428"/>
        <v>0</v>
      </c>
      <c r="AE73" s="414">
        <f t="shared" si="428"/>
        <v>0</v>
      </c>
      <c r="AF73" s="414">
        <f t="shared" si="428"/>
        <v>0</v>
      </c>
      <c r="AG73" s="414">
        <f t="shared" si="428"/>
        <v>0</v>
      </c>
      <c r="AH73" s="414">
        <f t="shared" si="428"/>
        <v>0</v>
      </c>
      <c r="AI73" s="415">
        <f t="shared" si="428"/>
        <v>0</v>
      </c>
      <c r="AJ73" s="416">
        <f t="shared" si="428"/>
        <v>0</v>
      </c>
      <c r="AK73" s="414">
        <f t="shared" si="428"/>
        <v>0</v>
      </c>
      <c r="AL73" s="414">
        <f t="shared" si="428"/>
        <v>0</v>
      </c>
      <c r="AM73" s="414">
        <f t="shared" si="428"/>
        <v>0</v>
      </c>
      <c r="AN73" s="414">
        <f t="shared" si="428"/>
        <v>0</v>
      </c>
      <c r="AO73" s="414">
        <f t="shared" si="428"/>
        <v>0</v>
      </c>
      <c r="AP73" s="414">
        <f t="shared" si="428"/>
        <v>0</v>
      </c>
      <c r="AQ73" s="414">
        <f t="shared" si="428"/>
        <v>0</v>
      </c>
      <c r="AR73" s="414">
        <f t="shared" si="428"/>
        <v>0</v>
      </c>
      <c r="AS73" s="414">
        <f t="shared" si="428"/>
        <v>0</v>
      </c>
      <c r="AT73" s="414">
        <f t="shared" si="428"/>
        <v>0</v>
      </c>
      <c r="AU73" s="415">
        <f t="shared" si="428"/>
        <v>0</v>
      </c>
      <c r="AV73" s="416">
        <f t="shared" si="428"/>
        <v>0</v>
      </c>
      <c r="AW73" s="414">
        <f t="shared" si="428"/>
        <v>0</v>
      </c>
      <c r="AX73" s="414">
        <f t="shared" si="428"/>
        <v>0</v>
      </c>
      <c r="AY73" s="414">
        <f t="shared" si="428"/>
        <v>0</v>
      </c>
      <c r="AZ73" s="414">
        <f t="shared" si="428"/>
        <v>0</v>
      </c>
      <c r="BA73" s="414">
        <f t="shared" si="428"/>
        <v>0</v>
      </c>
      <c r="BB73" s="414">
        <f t="shared" si="428"/>
        <v>0</v>
      </c>
      <c r="BC73" s="414">
        <f t="shared" si="428"/>
        <v>0</v>
      </c>
      <c r="BD73" s="414">
        <f t="shared" si="428"/>
        <v>0</v>
      </c>
      <c r="BE73" s="414">
        <f t="shared" si="428"/>
        <v>0</v>
      </c>
      <c r="BF73" s="414">
        <f t="shared" si="428"/>
        <v>0</v>
      </c>
      <c r="BG73" s="415">
        <f t="shared" si="428"/>
        <v>0</v>
      </c>
      <c r="BH73" s="416">
        <f t="shared" ref="BH73:BS73" si="429">IF($F73&lt;(BH$3+1),$L73/12,0)*IF($G73&gt;(BH$3),1,0)*$I73</f>
        <v>0</v>
      </c>
      <c r="BI73" s="414">
        <f t="shared" si="429"/>
        <v>0</v>
      </c>
      <c r="BJ73" s="414">
        <f t="shared" si="429"/>
        <v>0</v>
      </c>
      <c r="BK73" s="414">
        <f t="shared" si="429"/>
        <v>0</v>
      </c>
      <c r="BL73" s="414">
        <f t="shared" si="429"/>
        <v>0</v>
      </c>
      <c r="BM73" s="414">
        <f t="shared" si="429"/>
        <v>0</v>
      </c>
      <c r="BN73" s="414">
        <f t="shared" si="429"/>
        <v>0</v>
      </c>
      <c r="BO73" s="414">
        <f t="shared" si="429"/>
        <v>0</v>
      </c>
      <c r="BP73" s="414">
        <f t="shared" si="429"/>
        <v>0</v>
      </c>
      <c r="BQ73" s="414">
        <f t="shared" si="429"/>
        <v>0</v>
      </c>
      <c r="BR73" s="414">
        <f t="shared" si="429"/>
        <v>0</v>
      </c>
      <c r="BS73" s="415">
        <f t="shared" si="429"/>
        <v>0</v>
      </c>
      <c r="BT73" s="416">
        <f t="shared" ref="BT73:CE73" si="430">IF($F73&lt;(BT$3+1),$M73/12,0)*IF($G73&gt;(BT$3),1,0)*$I73</f>
        <v>0</v>
      </c>
      <c r="BU73" s="414">
        <f t="shared" si="430"/>
        <v>0</v>
      </c>
      <c r="BV73" s="414">
        <f t="shared" si="430"/>
        <v>0</v>
      </c>
      <c r="BW73" s="414">
        <f t="shared" si="430"/>
        <v>0</v>
      </c>
      <c r="BX73" s="414">
        <f t="shared" si="430"/>
        <v>0</v>
      </c>
      <c r="BY73" s="414">
        <f t="shared" si="430"/>
        <v>0</v>
      </c>
      <c r="BZ73" s="414">
        <f t="shared" si="430"/>
        <v>0</v>
      </c>
      <c r="CA73" s="414">
        <f t="shared" si="430"/>
        <v>0</v>
      </c>
      <c r="CB73" s="414">
        <f t="shared" si="430"/>
        <v>0</v>
      </c>
      <c r="CC73" s="414">
        <f t="shared" si="430"/>
        <v>0</v>
      </c>
      <c r="CD73" s="414">
        <f t="shared" si="430"/>
        <v>0</v>
      </c>
      <c r="CE73" s="415">
        <f t="shared" si="430"/>
        <v>0</v>
      </c>
      <c r="CF73" s="416">
        <f t="shared" ref="CF73:CQ73" si="431">IF($F73&lt;(CF$3+1),$N73/12,0)*IF($G73&gt;(CF$3),1,0)*$I73</f>
        <v>0</v>
      </c>
      <c r="CG73" s="414">
        <f t="shared" si="431"/>
        <v>0</v>
      </c>
      <c r="CH73" s="414">
        <f t="shared" si="431"/>
        <v>0</v>
      </c>
      <c r="CI73" s="414">
        <f t="shared" si="431"/>
        <v>0</v>
      </c>
      <c r="CJ73" s="414">
        <f t="shared" si="431"/>
        <v>0</v>
      </c>
      <c r="CK73" s="414">
        <f t="shared" si="431"/>
        <v>0</v>
      </c>
      <c r="CL73" s="414">
        <f t="shared" si="431"/>
        <v>0</v>
      </c>
      <c r="CM73" s="414">
        <f t="shared" si="431"/>
        <v>0</v>
      </c>
      <c r="CN73" s="414">
        <f t="shared" si="431"/>
        <v>0</v>
      </c>
      <c r="CO73" s="414">
        <f t="shared" si="431"/>
        <v>0</v>
      </c>
      <c r="CP73" s="414">
        <f t="shared" si="431"/>
        <v>0</v>
      </c>
      <c r="CQ73" s="415">
        <f t="shared" si="431"/>
        <v>0</v>
      </c>
      <c r="CR73" s="407"/>
      <c r="CS73" s="407"/>
      <c r="CT73" s="407">
        <f t="shared" si="7"/>
        <v>0</v>
      </c>
      <c r="CU73" s="412">
        <f>'Annexe C  Plan produit'!$H$52</f>
        <v>46082</v>
      </c>
      <c r="CV73" s="412">
        <f>'Annexe C  Plan produit'!$I$54</f>
        <v>47090.5</v>
      </c>
    </row>
    <row r="74" spans="1:100" ht="15">
      <c r="A74" s="400" t="s">
        <v>276</v>
      </c>
      <c r="B74" s="401" t="s">
        <v>86</v>
      </c>
      <c r="C74" s="11" t="s">
        <v>326</v>
      </c>
      <c r="D74" s="4"/>
      <c r="E74" s="420"/>
      <c r="F74" s="421">
        <f>'Plan stratégique  likewatt'!G41+723</f>
        <v>48970</v>
      </c>
      <c r="G74" s="403">
        <v>51161</v>
      </c>
      <c r="H74" s="404"/>
      <c r="I74" s="417">
        <v>2</v>
      </c>
      <c r="J74" s="406">
        <v>30000</v>
      </c>
      <c r="K74" s="407">
        <f t="shared" ref="K74:O74" si="432">J74*(1+5%)</f>
        <v>31500</v>
      </c>
      <c r="L74" s="407">
        <f t="shared" si="432"/>
        <v>33075</v>
      </c>
      <c r="M74" s="407">
        <f t="shared" si="432"/>
        <v>34728.75</v>
      </c>
      <c r="N74" s="407">
        <f t="shared" si="432"/>
        <v>36465.1875</v>
      </c>
      <c r="O74" s="407">
        <f t="shared" si="432"/>
        <v>38288.446875000001</v>
      </c>
      <c r="P74" s="408">
        <v>0.15</v>
      </c>
      <c r="Q74" s="414">
        <f t="shared" ref="Q74:W74" si="433">IF($F74&lt;(Q$3+1),$J74/12,0)*IF($G74&gt;(Q$3),1,0)*$I74</f>
        <v>0</v>
      </c>
      <c r="R74" s="414">
        <f t="shared" si="433"/>
        <v>0</v>
      </c>
      <c r="S74" s="414">
        <f t="shared" si="433"/>
        <v>0</v>
      </c>
      <c r="T74" s="414">
        <f t="shared" si="433"/>
        <v>0</v>
      </c>
      <c r="U74" s="414">
        <f t="shared" si="433"/>
        <v>0</v>
      </c>
      <c r="V74" s="414">
        <f t="shared" si="433"/>
        <v>0</v>
      </c>
      <c r="W74" s="415">
        <f t="shared" si="433"/>
        <v>0</v>
      </c>
      <c r="X74" s="416">
        <f t="shared" ref="X74:BG74" si="434">IF($F74&lt;(X$3+1),$K74/12,0)*IF($G74&gt;(X$3),1,0)*$I74</f>
        <v>0</v>
      </c>
      <c r="Y74" s="414">
        <f t="shared" si="434"/>
        <v>0</v>
      </c>
      <c r="Z74" s="414">
        <f t="shared" si="434"/>
        <v>0</v>
      </c>
      <c r="AA74" s="414">
        <f t="shared" si="434"/>
        <v>0</v>
      </c>
      <c r="AB74" s="414">
        <f t="shared" si="434"/>
        <v>0</v>
      </c>
      <c r="AC74" s="414">
        <f t="shared" si="434"/>
        <v>0</v>
      </c>
      <c r="AD74" s="414">
        <f t="shared" si="434"/>
        <v>0</v>
      </c>
      <c r="AE74" s="414">
        <f t="shared" si="434"/>
        <v>0</v>
      </c>
      <c r="AF74" s="414">
        <f t="shared" si="434"/>
        <v>0</v>
      </c>
      <c r="AG74" s="414">
        <f t="shared" si="434"/>
        <v>0</v>
      </c>
      <c r="AH74" s="414">
        <f t="shared" si="434"/>
        <v>0</v>
      </c>
      <c r="AI74" s="415">
        <f t="shared" si="434"/>
        <v>0</v>
      </c>
      <c r="AJ74" s="416">
        <f t="shared" si="434"/>
        <v>0</v>
      </c>
      <c r="AK74" s="414">
        <f t="shared" si="434"/>
        <v>0</v>
      </c>
      <c r="AL74" s="414">
        <f t="shared" si="434"/>
        <v>0</v>
      </c>
      <c r="AM74" s="414">
        <f t="shared" si="434"/>
        <v>0</v>
      </c>
      <c r="AN74" s="414">
        <f t="shared" si="434"/>
        <v>0</v>
      </c>
      <c r="AO74" s="414">
        <f t="shared" si="434"/>
        <v>0</v>
      </c>
      <c r="AP74" s="414">
        <f t="shared" si="434"/>
        <v>0</v>
      </c>
      <c r="AQ74" s="414">
        <f t="shared" si="434"/>
        <v>0</v>
      </c>
      <c r="AR74" s="414">
        <f t="shared" si="434"/>
        <v>0</v>
      </c>
      <c r="AS74" s="414">
        <f t="shared" si="434"/>
        <v>0</v>
      </c>
      <c r="AT74" s="414">
        <f t="shared" si="434"/>
        <v>0</v>
      </c>
      <c r="AU74" s="415">
        <f t="shared" si="434"/>
        <v>0</v>
      </c>
      <c r="AV74" s="416">
        <f t="shared" si="434"/>
        <v>0</v>
      </c>
      <c r="AW74" s="414">
        <f t="shared" si="434"/>
        <v>0</v>
      </c>
      <c r="AX74" s="414">
        <f t="shared" si="434"/>
        <v>0</v>
      </c>
      <c r="AY74" s="414">
        <f t="shared" si="434"/>
        <v>0</v>
      </c>
      <c r="AZ74" s="414">
        <f t="shared" si="434"/>
        <v>0</v>
      </c>
      <c r="BA74" s="414">
        <f t="shared" si="434"/>
        <v>0</v>
      </c>
      <c r="BB74" s="414">
        <f t="shared" si="434"/>
        <v>0</v>
      </c>
      <c r="BC74" s="414">
        <f t="shared" si="434"/>
        <v>0</v>
      </c>
      <c r="BD74" s="414">
        <f t="shared" si="434"/>
        <v>0</v>
      </c>
      <c r="BE74" s="414">
        <f t="shared" si="434"/>
        <v>0</v>
      </c>
      <c r="BF74" s="414">
        <f t="shared" si="434"/>
        <v>0</v>
      </c>
      <c r="BG74" s="415">
        <f t="shared" si="434"/>
        <v>0</v>
      </c>
      <c r="BH74" s="416">
        <f t="shared" ref="BH74:BS74" si="435">IF($F74&lt;(BH$3+1),$L74/12,0)*IF($G74&gt;(BH$3),1,0)*$I74</f>
        <v>0</v>
      </c>
      <c r="BI74" s="414">
        <f t="shared" si="435"/>
        <v>0</v>
      </c>
      <c r="BJ74" s="414">
        <f t="shared" si="435"/>
        <v>0</v>
      </c>
      <c r="BK74" s="414">
        <f t="shared" si="435"/>
        <v>0</v>
      </c>
      <c r="BL74" s="414">
        <f t="shared" si="435"/>
        <v>0</v>
      </c>
      <c r="BM74" s="414">
        <f t="shared" si="435"/>
        <v>0</v>
      </c>
      <c r="BN74" s="414">
        <f t="shared" si="435"/>
        <v>0</v>
      </c>
      <c r="BO74" s="414">
        <f t="shared" si="435"/>
        <v>0</v>
      </c>
      <c r="BP74" s="414">
        <f t="shared" si="435"/>
        <v>0</v>
      </c>
      <c r="BQ74" s="414">
        <f t="shared" si="435"/>
        <v>0</v>
      </c>
      <c r="BR74" s="414">
        <f t="shared" si="435"/>
        <v>0</v>
      </c>
      <c r="BS74" s="415">
        <f t="shared" si="435"/>
        <v>0</v>
      </c>
      <c r="BT74" s="416">
        <f t="shared" ref="BT74:CE74" si="436">IF($F74&lt;(BT$3+1),$M74/12,0)*IF($G74&gt;(BT$3),1,0)*$I74</f>
        <v>0</v>
      </c>
      <c r="BU74" s="414">
        <f t="shared" si="436"/>
        <v>0</v>
      </c>
      <c r="BV74" s="414">
        <f t="shared" si="436"/>
        <v>0</v>
      </c>
      <c r="BW74" s="414">
        <f t="shared" si="436"/>
        <v>0</v>
      </c>
      <c r="BX74" s="414">
        <f t="shared" si="436"/>
        <v>0</v>
      </c>
      <c r="BY74" s="414">
        <f t="shared" si="436"/>
        <v>0</v>
      </c>
      <c r="BZ74" s="414">
        <f t="shared" si="436"/>
        <v>0</v>
      </c>
      <c r="CA74" s="414">
        <f t="shared" si="436"/>
        <v>0</v>
      </c>
      <c r="CB74" s="414">
        <f t="shared" si="436"/>
        <v>0</v>
      </c>
      <c r="CC74" s="414">
        <f t="shared" si="436"/>
        <v>0</v>
      </c>
      <c r="CD74" s="414">
        <f t="shared" si="436"/>
        <v>0</v>
      </c>
      <c r="CE74" s="415">
        <f t="shared" si="436"/>
        <v>0</v>
      </c>
      <c r="CF74" s="416">
        <f t="shared" ref="CF74:CQ74" si="437">IF($F74&lt;(CF$3+1),$N74/12,0)*IF($G74&gt;(CF$3),1,0)*$I74</f>
        <v>0</v>
      </c>
      <c r="CG74" s="414">
        <f t="shared" si="437"/>
        <v>0</v>
      </c>
      <c r="CH74" s="414">
        <f t="shared" si="437"/>
        <v>0</v>
      </c>
      <c r="CI74" s="414">
        <f t="shared" si="437"/>
        <v>0</v>
      </c>
      <c r="CJ74" s="414">
        <f t="shared" si="437"/>
        <v>0</v>
      </c>
      <c r="CK74" s="414">
        <f t="shared" si="437"/>
        <v>0</v>
      </c>
      <c r="CL74" s="414">
        <f t="shared" si="437"/>
        <v>0</v>
      </c>
      <c r="CM74" s="414">
        <f t="shared" si="437"/>
        <v>0</v>
      </c>
      <c r="CN74" s="414">
        <f t="shared" si="437"/>
        <v>0</v>
      </c>
      <c r="CO74" s="414">
        <f t="shared" si="437"/>
        <v>0</v>
      </c>
      <c r="CP74" s="414">
        <f t="shared" si="437"/>
        <v>0</v>
      </c>
      <c r="CQ74" s="415">
        <f t="shared" si="437"/>
        <v>0</v>
      </c>
      <c r="CR74" s="407"/>
      <c r="CS74" s="407"/>
      <c r="CT74" s="407">
        <f t="shared" si="7"/>
        <v>0</v>
      </c>
      <c r="CU74" s="412">
        <f>'Annexe C  Plan produit'!$H$52</f>
        <v>46082</v>
      </c>
      <c r="CV74" s="412">
        <f>'Annexe C  Plan produit'!$I$54</f>
        <v>47090.5</v>
      </c>
    </row>
    <row r="75" spans="1:100" ht="15">
      <c r="A75" s="400" t="s">
        <v>270</v>
      </c>
      <c r="B75" s="401" t="s">
        <v>85</v>
      </c>
      <c r="C75" s="401" t="s">
        <v>317</v>
      </c>
      <c r="D75" s="4"/>
      <c r="E75" s="420"/>
      <c r="F75" s="421">
        <f>'Plan stratégique  likewatt'!G40+590</f>
        <v>48471</v>
      </c>
      <c r="G75" s="403">
        <v>51161</v>
      </c>
      <c r="H75" s="404"/>
      <c r="I75" s="417">
        <v>2</v>
      </c>
      <c r="J75" s="406">
        <v>100000</v>
      </c>
      <c r="K75" s="407">
        <f t="shared" ref="K75:O75" si="438">J75*(1+5%)</f>
        <v>105000</v>
      </c>
      <c r="L75" s="407">
        <f t="shared" si="438"/>
        <v>110250</v>
      </c>
      <c r="M75" s="407">
        <f t="shared" si="438"/>
        <v>115762.5</v>
      </c>
      <c r="N75" s="407">
        <f t="shared" si="438"/>
        <v>121550.625</v>
      </c>
      <c r="O75" s="407">
        <f t="shared" si="438"/>
        <v>127628.15625</v>
      </c>
      <c r="P75" s="408">
        <v>0.15</v>
      </c>
      <c r="Q75" s="414">
        <f t="shared" ref="Q75:W75" si="439">IF($F75&lt;(Q$3+1),$J75/12,0)*IF($G75&gt;(Q$3),1,0)*$I75</f>
        <v>0</v>
      </c>
      <c r="R75" s="414">
        <f t="shared" si="439"/>
        <v>0</v>
      </c>
      <c r="S75" s="414">
        <f t="shared" si="439"/>
        <v>0</v>
      </c>
      <c r="T75" s="414">
        <f t="shared" si="439"/>
        <v>0</v>
      </c>
      <c r="U75" s="414">
        <f t="shared" si="439"/>
        <v>0</v>
      </c>
      <c r="V75" s="414">
        <f t="shared" si="439"/>
        <v>0</v>
      </c>
      <c r="W75" s="415">
        <f t="shared" si="439"/>
        <v>0</v>
      </c>
      <c r="X75" s="416">
        <f t="shared" ref="X75:BG75" si="440">IF($F75&lt;(X$3+1),$K75/12,0)*IF($G75&gt;(X$3),1,0)*$I75</f>
        <v>0</v>
      </c>
      <c r="Y75" s="414">
        <f t="shared" si="440"/>
        <v>0</v>
      </c>
      <c r="Z75" s="414">
        <f t="shared" si="440"/>
        <v>0</v>
      </c>
      <c r="AA75" s="414">
        <f t="shared" si="440"/>
        <v>0</v>
      </c>
      <c r="AB75" s="414">
        <f t="shared" si="440"/>
        <v>0</v>
      </c>
      <c r="AC75" s="414">
        <f t="shared" si="440"/>
        <v>0</v>
      </c>
      <c r="AD75" s="414">
        <f t="shared" si="440"/>
        <v>0</v>
      </c>
      <c r="AE75" s="414">
        <f t="shared" si="440"/>
        <v>0</v>
      </c>
      <c r="AF75" s="414">
        <f t="shared" si="440"/>
        <v>0</v>
      </c>
      <c r="AG75" s="414">
        <f t="shared" si="440"/>
        <v>0</v>
      </c>
      <c r="AH75" s="414">
        <f t="shared" si="440"/>
        <v>0</v>
      </c>
      <c r="AI75" s="415">
        <f t="shared" si="440"/>
        <v>0</v>
      </c>
      <c r="AJ75" s="416">
        <f t="shared" si="440"/>
        <v>0</v>
      </c>
      <c r="AK75" s="414">
        <f t="shared" si="440"/>
        <v>0</v>
      </c>
      <c r="AL75" s="414">
        <f t="shared" si="440"/>
        <v>0</v>
      </c>
      <c r="AM75" s="414">
        <f t="shared" si="440"/>
        <v>0</v>
      </c>
      <c r="AN75" s="414">
        <f t="shared" si="440"/>
        <v>0</v>
      </c>
      <c r="AO75" s="414">
        <f t="shared" si="440"/>
        <v>0</v>
      </c>
      <c r="AP75" s="414">
        <f t="shared" si="440"/>
        <v>0</v>
      </c>
      <c r="AQ75" s="414">
        <f t="shared" si="440"/>
        <v>0</v>
      </c>
      <c r="AR75" s="414">
        <f t="shared" si="440"/>
        <v>0</v>
      </c>
      <c r="AS75" s="414">
        <f t="shared" si="440"/>
        <v>0</v>
      </c>
      <c r="AT75" s="414">
        <f t="shared" si="440"/>
        <v>0</v>
      </c>
      <c r="AU75" s="415">
        <f t="shared" si="440"/>
        <v>0</v>
      </c>
      <c r="AV75" s="416">
        <f t="shared" si="440"/>
        <v>0</v>
      </c>
      <c r="AW75" s="414">
        <f t="shared" si="440"/>
        <v>0</v>
      </c>
      <c r="AX75" s="414">
        <f t="shared" si="440"/>
        <v>0</v>
      </c>
      <c r="AY75" s="414">
        <f t="shared" si="440"/>
        <v>0</v>
      </c>
      <c r="AZ75" s="414">
        <f t="shared" si="440"/>
        <v>0</v>
      </c>
      <c r="BA75" s="414">
        <f t="shared" si="440"/>
        <v>0</v>
      </c>
      <c r="BB75" s="414">
        <f t="shared" si="440"/>
        <v>0</v>
      </c>
      <c r="BC75" s="414">
        <f t="shared" si="440"/>
        <v>0</v>
      </c>
      <c r="BD75" s="414">
        <f t="shared" si="440"/>
        <v>0</v>
      </c>
      <c r="BE75" s="414">
        <f t="shared" si="440"/>
        <v>0</v>
      </c>
      <c r="BF75" s="414">
        <f t="shared" si="440"/>
        <v>0</v>
      </c>
      <c r="BG75" s="415">
        <f t="shared" si="440"/>
        <v>0</v>
      </c>
      <c r="BH75" s="416">
        <f t="shared" ref="BH75:BS75" si="441">IF($F75&lt;(BH$3+1),$L75/12,0)*IF($G75&gt;(BH$3),1,0)*$I75</f>
        <v>0</v>
      </c>
      <c r="BI75" s="414">
        <f t="shared" si="441"/>
        <v>0</v>
      </c>
      <c r="BJ75" s="414">
        <f t="shared" si="441"/>
        <v>0</v>
      </c>
      <c r="BK75" s="414">
        <f t="shared" si="441"/>
        <v>0</v>
      </c>
      <c r="BL75" s="414">
        <f t="shared" si="441"/>
        <v>0</v>
      </c>
      <c r="BM75" s="414">
        <f t="shared" si="441"/>
        <v>0</v>
      </c>
      <c r="BN75" s="414">
        <f t="shared" si="441"/>
        <v>0</v>
      </c>
      <c r="BO75" s="414">
        <f t="shared" si="441"/>
        <v>0</v>
      </c>
      <c r="BP75" s="414">
        <f t="shared" si="441"/>
        <v>0</v>
      </c>
      <c r="BQ75" s="414">
        <f t="shared" si="441"/>
        <v>0</v>
      </c>
      <c r="BR75" s="414">
        <f t="shared" si="441"/>
        <v>0</v>
      </c>
      <c r="BS75" s="415">
        <f t="shared" si="441"/>
        <v>0</v>
      </c>
      <c r="BT75" s="416">
        <f t="shared" ref="BT75:CE75" si="442">IF($F75&lt;(BT$3+1),$M75/12,0)*IF($G75&gt;(BT$3),1,0)*$I75</f>
        <v>0</v>
      </c>
      <c r="BU75" s="414">
        <f t="shared" si="442"/>
        <v>0</v>
      </c>
      <c r="BV75" s="414">
        <f t="shared" si="442"/>
        <v>0</v>
      </c>
      <c r="BW75" s="414">
        <f t="shared" si="442"/>
        <v>0</v>
      </c>
      <c r="BX75" s="414">
        <f t="shared" si="442"/>
        <v>0</v>
      </c>
      <c r="BY75" s="414">
        <f t="shared" si="442"/>
        <v>0</v>
      </c>
      <c r="BZ75" s="414">
        <f t="shared" si="442"/>
        <v>0</v>
      </c>
      <c r="CA75" s="414">
        <f t="shared" si="442"/>
        <v>0</v>
      </c>
      <c r="CB75" s="414">
        <f t="shared" si="442"/>
        <v>0</v>
      </c>
      <c r="CC75" s="414">
        <f t="shared" si="442"/>
        <v>0</v>
      </c>
      <c r="CD75" s="414">
        <f t="shared" si="442"/>
        <v>0</v>
      </c>
      <c r="CE75" s="415">
        <f t="shared" si="442"/>
        <v>0</v>
      </c>
      <c r="CF75" s="416">
        <f t="shared" ref="CF75:CQ75" si="443">IF($F75&lt;(CF$3+1),$N75/12,0)*IF($G75&gt;(CF$3),1,0)*$I75</f>
        <v>0</v>
      </c>
      <c r="CG75" s="414">
        <f t="shared" si="443"/>
        <v>0</v>
      </c>
      <c r="CH75" s="414">
        <f t="shared" si="443"/>
        <v>0</v>
      </c>
      <c r="CI75" s="414">
        <f t="shared" si="443"/>
        <v>0</v>
      </c>
      <c r="CJ75" s="414">
        <f t="shared" si="443"/>
        <v>0</v>
      </c>
      <c r="CK75" s="414">
        <f t="shared" si="443"/>
        <v>0</v>
      </c>
      <c r="CL75" s="414">
        <f t="shared" si="443"/>
        <v>0</v>
      </c>
      <c r="CM75" s="414">
        <f t="shared" si="443"/>
        <v>0</v>
      </c>
      <c r="CN75" s="414">
        <f t="shared" si="443"/>
        <v>0</v>
      </c>
      <c r="CO75" s="414">
        <f t="shared" si="443"/>
        <v>0</v>
      </c>
      <c r="CP75" s="414">
        <f t="shared" si="443"/>
        <v>0</v>
      </c>
      <c r="CQ75" s="415">
        <f t="shared" si="443"/>
        <v>0</v>
      </c>
      <c r="CR75" s="407"/>
      <c r="CS75" s="407" t="e">
        <f t="shared" ref="CS75:CS76" ca="1" si="444">SUM($Q78:$CQ78)*(1+_xludf.IFS(B75="FR",$C$99,B75="ES",$D$99,B75="CH",$E$99,B75="BE",$F$99,B75="DE",$G$99))</f>
        <v>#NAME?</v>
      </c>
      <c r="CT75" s="407">
        <f t="shared" si="7"/>
        <v>0</v>
      </c>
      <c r="CU75" s="412">
        <f>'Annexe C  Plan produit'!$H$52</f>
        <v>46082</v>
      </c>
      <c r="CV75" s="412">
        <f>'Annexe C  Plan produit'!$I$54</f>
        <v>47090.5</v>
      </c>
    </row>
    <row r="76" spans="1:100" ht="15">
      <c r="A76" s="400" t="s">
        <v>270</v>
      </c>
      <c r="B76" s="401" t="s">
        <v>84</v>
      </c>
      <c r="C76" s="401" t="s">
        <v>309</v>
      </c>
      <c r="D76" s="4"/>
      <c r="E76" s="420"/>
      <c r="F76" s="421">
        <f>'Plan stratégique  likewatt'!G39+460+510</f>
        <v>48485</v>
      </c>
      <c r="G76" s="403">
        <v>51161</v>
      </c>
      <c r="H76" s="404"/>
      <c r="I76" s="417">
        <v>3</v>
      </c>
      <c r="J76" s="406">
        <v>40000</v>
      </c>
      <c r="K76" s="407">
        <f t="shared" ref="K76:O76" si="445">J76*(1+5%)</f>
        <v>42000</v>
      </c>
      <c r="L76" s="407">
        <f t="shared" si="445"/>
        <v>44100</v>
      </c>
      <c r="M76" s="407">
        <f t="shared" si="445"/>
        <v>46305</v>
      </c>
      <c r="N76" s="407">
        <f t="shared" si="445"/>
        <v>48620.25</v>
      </c>
      <c r="O76" s="407">
        <f t="shared" si="445"/>
        <v>51051.262500000004</v>
      </c>
      <c r="P76" s="408">
        <v>0.15</v>
      </c>
      <c r="Q76" s="414">
        <f t="shared" ref="Q76:W76" si="446">IF($F76&lt;(Q$3+1),$J76/12,0)*IF($G76&gt;(Q$3),1,0)*$I76</f>
        <v>0</v>
      </c>
      <c r="R76" s="414">
        <f t="shared" si="446"/>
        <v>0</v>
      </c>
      <c r="S76" s="414">
        <f t="shared" si="446"/>
        <v>0</v>
      </c>
      <c r="T76" s="414">
        <f t="shared" si="446"/>
        <v>0</v>
      </c>
      <c r="U76" s="414">
        <f t="shared" si="446"/>
        <v>0</v>
      </c>
      <c r="V76" s="414">
        <f t="shared" si="446"/>
        <v>0</v>
      </c>
      <c r="W76" s="415">
        <f t="shared" si="446"/>
        <v>0</v>
      </c>
      <c r="X76" s="416">
        <f t="shared" ref="X76:BG76" si="447">IF($F76&lt;(X$3+1),$K76/12,0)*IF($G76&gt;(X$3),1,0)*$I76</f>
        <v>0</v>
      </c>
      <c r="Y76" s="414">
        <f t="shared" si="447"/>
        <v>0</v>
      </c>
      <c r="Z76" s="414">
        <f t="shared" si="447"/>
        <v>0</v>
      </c>
      <c r="AA76" s="414">
        <f t="shared" si="447"/>
        <v>0</v>
      </c>
      <c r="AB76" s="414">
        <f t="shared" si="447"/>
        <v>0</v>
      </c>
      <c r="AC76" s="414">
        <f t="shared" si="447"/>
        <v>0</v>
      </c>
      <c r="AD76" s="414">
        <f t="shared" si="447"/>
        <v>0</v>
      </c>
      <c r="AE76" s="414">
        <f t="shared" si="447"/>
        <v>0</v>
      </c>
      <c r="AF76" s="414">
        <f t="shared" si="447"/>
        <v>0</v>
      </c>
      <c r="AG76" s="414">
        <f t="shared" si="447"/>
        <v>0</v>
      </c>
      <c r="AH76" s="414">
        <f t="shared" si="447"/>
        <v>0</v>
      </c>
      <c r="AI76" s="415">
        <f t="shared" si="447"/>
        <v>0</v>
      </c>
      <c r="AJ76" s="416">
        <f t="shared" si="447"/>
        <v>0</v>
      </c>
      <c r="AK76" s="414">
        <f t="shared" si="447"/>
        <v>0</v>
      </c>
      <c r="AL76" s="414">
        <f t="shared" si="447"/>
        <v>0</v>
      </c>
      <c r="AM76" s="414">
        <f t="shared" si="447"/>
        <v>0</v>
      </c>
      <c r="AN76" s="414">
        <f t="shared" si="447"/>
        <v>0</v>
      </c>
      <c r="AO76" s="414">
        <f t="shared" si="447"/>
        <v>0</v>
      </c>
      <c r="AP76" s="414">
        <f t="shared" si="447"/>
        <v>0</v>
      </c>
      <c r="AQ76" s="414">
        <f t="shared" si="447"/>
        <v>0</v>
      </c>
      <c r="AR76" s="414">
        <f t="shared" si="447"/>
        <v>0</v>
      </c>
      <c r="AS76" s="414">
        <f t="shared" si="447"/>
        <v>0</v>
      </c>
      <c r="AT76" s="414">
        <f t="shared" si="447"/>
        <v>0</v>
      </c>
      <c r="AU76" s="415">
        <f t="shared" si="447"/>
        <v>0</v>
      </c>
      <c r="AV76" s="416">
        <f t="shared" si="447"/>
        <v>0</v>
      </c>
      <c r="AW76" s="414">
        <f t="shared" si="447"/>
        <v>0</v>
      </c>
      <c r="AX76" s="414">
        <f t="shared" si="447"/>
        <v>0</v>
      </c>
      <c r="AY76" s="414">
        <f t="shared" si="447"/>
        <v>0</v>
      </c>
      <c r="AZ76" s="414">
        <f t="shared" si="447"/>
        <v>0</v>
      </c>
      <c r="BA76" s="414">
        <f t="shared" si="447"/>
        <v>0</v>
      </c>
      <c r="BB76" s="414">
        <f t="shared" si="447"/>
        <v>0</v>
      </c>
      <c r="BC76" s="414">
        <f t="shared" si="447"/>
        <v>0</v>
      </c>
      <c r="BD76" s="414">
        <f t="shared" si="447"/>
        <v>0</v>
      </c>
      <c r="BE76" s="414">
        <f t="shared" si="447"/>
        <v>0</v>
      </c>
      <c r="BF76" s="414">
        <f t="shared" si="447"/>
        <v>0</v>
      </c>
      <c r="BG76" s="415">
        <f t="shared" si="447"/>
        <v>0</v>
      </c>
      <c r="BH76" s="416">
        <f t="shared" ref="BH76:BS76" si="448">IF($F76&lt;(BH$3+1),$L76/12,0)*IF($G76&gt;(BH$3),1,0)*$I76</f>
        <v>0</v>
      </c>
      <c r="BI76" s="414">
        <f t="shared" si="448"/>
        <v>0</v>
      </c>
      <c r="BJ76" s="414">
        <f t="shared" si="448"/>
        <v>0</v>
      </c>
      <c r="BK76" s="414">
        <f t="shared" si="448"/>
        <v>0</v>
      </c>
      <c r="BL76" s="414">
        <f t="shared" si="448"/>
        <v>0</v>
      </c>
      <c r="BM76" s="414">
        <f t="shared" si="448"/>
        <v>0</v>
      </c>
      <c r="BN76" s="414">
        <f t="shared" si="448"/>
        <v>0</v>
      </c>
      <c r="BO76" s="414">
        <f t="shared" si="448"/>
        <v>0</v>
      </c>
      <c r="BP76" s="414">
        <f t="shared" si="448"/>
        <v>0</v>
      </c>
      <c r="BQ76" s="414">
        <f t="shared" si="448"/>
        <v>0</v>
      </c>
      <c r="BR76" s="414">
        <f t="shared" si="448"/>
        <v>0</v>
      </c>
      <c r="BS76" s="415">
        <f t="shared" si="448"/>
        <v>0</v>
      </c>
      <c r="BT76" s="416">
        <f t="shared" ref="BT76:CE76" si="449">IF($F76&lt;(BT$3+1),$M76/12,0)*IF($G76&gt;(BT$3),1,0)*$I76</f>
        <v>0</v>
      </c>
      <c r="BU76" s="414">
        <f t="shared" si="449"/>
        <v>0</v>
      </c>
      <c r="BV76" s="414">
        <f t="shared" si="449"/>
        <v>0</v>
      </c>
      <c r="BW76" s="414">
        <f t="shared" si="449"/>
        <v>0</v>
      </c>
      <c r="BX76" s="414">
        <f t="shared" si="449"/>
        <v>0</v>
      </c>
      <c r="BY76" s="414">
        <f t="shared" si="449"/>
        <v>0</v>
      </c>
      <c r="BZ76" s="414">
        <f t="shared" si="449"/>
        <v>0</v>
      </c>
      <c r="CA76" s="414">
        <f t="shared" si="449"/>
        <v>0</v>
      </c>
      <c r="CB76" s="414">
        <f t="shared" si="449"/>
        <v>0</v>
      </c>
      <c r="CC76" s="414">
        <f t="shared" si="449"/>
        <v>0</v>
      </c>
      <c r="CD76" s="414">
        <f t="shared" si="449"/>
        <v>0</v>
      </c>
      <c r="CE76" s="415">
        <f t="shared" si="449"/>
        <v>0</v>
      </c>
      <c r="CF76" s="416">
        <f t="shared" ref="CF76:CQ76" si="450">IF($F76&lt;(CF$3+1),$N76/12,0)*IF($G76&gt;(CF$3),1,0)*$I76</f>
        <v>0</v>
      </c>
      <c r="CG76" s="414">
        <f t="shared" si="450"/>
        <v>0</v>
      </c>
      <c r="CH76" s="414">
        <f t="shared" si="450"/>
        <v>0</v>
      </c>
      <c r="CI76" s="414">
        <f t="shared" si="450"/>
        <v>0</v>
      </c>
      <c r="CJ76" s="414">
        <f t="shared" si="450"/>
        <v>0</v>
      </c>
      <c r="CK76" s="414">
        <f t="shared" si="450"/>
        <v>0</v>
      </c>
      <c r="CL76" s="414">
        <f t="shared" si="450"/>
        <v>0</v>
      </c>
      <c r="CM76" s="414">
        <f t="shared" si="450"/>
        <v>0</v>
      </c>
      <c r="CN76" s="414">
        <f t="shared" si="450"/>
        <v>0</v>
      </c>
      <c r="CO76" s="414">
        <f t="shared" si="450"/>
        <v>0</v>
      </c>
      <c r="CP76" s="414">
        <f t="shared" si="450"/>
        <v>0</v>
      </c>
      <c r="CQ76" s="415">
        <f t="shared" si="450"/>
        <v>0</v>
      </c>
      <c r="CR76" s="407"/>
      <c r="CS76" s="407" t="e">
        <f t="shared" ca="1" si="444"/>
        <v>#NAME?</v>
      </c>
      <c r="CT76" s="407">
        <f t="shared" si="7"/>
        <v>0</v>
      </c>
      <c r="CU76" s="412">
        <f>'Annexe C  Plan produit'!$H$52</f>
        <v>46082</v>
      </c>
      <c r="CV76" s="412">
        <f>'Annexe C  Plan produit'!$I$54</f>
        <v>47090.5</v>
      </c>
    </row>
    <row r="77" spans="1:100" ht="15">
      <c r="A77" s="400" t="s">
        <v>276</v>
      </c>
      <c r="B77" s="401" t="s">
        <v>83</v>
      </c>
      <c r="C77" s="11" t="s">
        <v>277</v>
      </c>
      <c r="D77" s="4"/>
      <c r="E77" s="420"/>
      <c r="F77" s="421">
        <f>'Plan stratégique  likewatt'!C$43+48*30.5</f>
        <v>48979</v>
      </c>
      <c r="G77" s="403">
        <v>51161</v>
      </c>
      <c r="H77" s="404"/>
      <c r="I77" s="417">
        <v>3</v>
      </c>
      <c r="J77" s="406">
        <v>35000</v>
      </c>
      <c r="K77" s="407">
        <f t="shared" ref="K77:O77" si="451">J77*(1+5%)</f>
        <v>36750</v>
      </c>
      <c r="L77" s="407">
        <f t="shared" si="451"/>
        <v>38587.5</v>
      </c>
      <c r="M77" s="407">
        <f t="shared" si="451"/>
        <v>40516.875</v>
      </c>
      <c r="N77" s="407">
        <f t="shared" si="451"/>
        <v>42542.71875</v>
      </c>
      <c r="O77" s="407">
        <f t="shared" si="451"/>
        <v>44669.854687500003</v>
      </c>
      <c r="P77" s="408">
        <v>0.15</v>
      </c>
      <c r="Q77" s="414">
        <f t="shared" ref="Q77:W77" si="452">IF($F77&lt;(Q$3+1),$J77/12,0)*IF($G77&gt;(Q$3),1,0)*$I77</f>
        <v>0</v>
      </c>
      <c r="R77" s="414">
        <f t="shared" si="452"/>
        <v>0</v>
      </c>
      <c r="S77" s="414">
        <f t="shared" si="452"/>
        <v>0</v>
      </c>
      <c r="T77" s="414">
        <f t="shared" si="452"/>
        <v>0</v>
      </c>
      <c r="U77" s="414">
        <f t="shared" si="452"/>
        <v>0</v>
      </c>
      <c r="V77" s="414">
        <f t="shared" si="452"/>
        <v>0</v>
      </c>
      <c r="W77" s="415">
        <f t="shared" si="452"/>
        <v>0</v>
      </c>
      <c r="X77" s="416">
        <f t="shared" ref="X77:BG77" si="453">IF($F77&lt;(X$3+1),$K77/12,0)*IF($G77&gt;(X$3),1,0)*$I77</f>
        <v>0</v>
      </c>
      <c r="Y77" s="414">
        <f t="shared" si="453"/>
        <v>0</v>
      </c>
      <c r="Z77" s="414">
        <f t="shared" si="453"/>
        <v>0</v>
      </c>
      <c r="AA77" s="414">
        <f t="shared" si="453"/>
        <v>0</v>
      </c>
      <c r="AB77" s="414">
        <f t="shared" si="453"/>
        <v>0</v>
      </c>
      <c r="AC77" s="414">
        <f t="shared" si="453"/>
        <v>0</v>
      </c>
      <c r="AD77" s="414">
        <f t="shared" si="453"/>
        <v>0</v>
      </c>
      <c r="AE77" s="414">
        <f t="shared" si="453"/>
        <v>0</v>
      </c>
      <c r="AF77" s="414">
        <f t="shared" si="453"/>
        <v>0</v>
      </c>
      <c r="AG77" s="414">
        <f t="shared" si="453"/>
        <v>0</v>
      </c>
      <c r="AH77" s="414">
        <f t="shared" si="453"/>
        <v>0</v>
      </c>
      <c r="AI77" s="415">
        <f t="shared" si="453"/>
        <v>0</v>
      </c>
      <c r="AJ77" s="416">
        <f t="shared" si="453"/>
        <v>0</v>
      </c>
      <c r="AK77" s="414">
        <f t="shared" si="453"/>
        <v>0</v>
      </c>
      <c r="AL77" s="414">
        <f t="shared" si="453"/>
        <v>0</v>
      </c>
      <c r="AM77" s="414">
        <f t="shared" si="453"/>
        <v>0</v>
      </c>
      <c r="AN77" s="414">
        <f t="shared" si="453"/>
        <v>0</v>
      </c>
      <c r="AO77" s="414">
        <f t="shared" si="453"/>
        <v>0</v>
      </c>
      <c r="AP77" s="414">
        <f t="shared" si="453"/>
        <v>0</v>
      </c>
      <c r="AQ77" s="414">
        <f t="shared" si="453"/>
        <v>0</v>
      </c>
      <c r="AR77" s="414">
        <f t="shared" si="453"/>
        <v>0</v>
      </c>
      <c r="AS77" s="414">
        <f t="shared" si="453"/>
        <v>0</v>
      </c>
      <c r="AT77" s="414">
        <f t="shared" si="453"/>
        <v>0</v>
      </c>
      <c r="AU77" s="415">
        <f t="shared" si="453"/>
        <v>0</v>
      </c>
      <c r="AV77" s="416">
        <f t="shared" si="453"/>
        <v>0</v>
      </c>
      <c r="AW77" s="414">
        <f t="shared" si="453"/>
        <v>0</v>
      </c>
      <c r="AX77" s="414">
        <f t="shared" si="453"/>
        <v>0</v>
      </c>
      <c r="AY77" s="414">
        <f t="shared" si="453"/>
        <v>0</v>
      </c>
      <c r="AZ77" s="414">
        <f t="shared" si="453"/>
        <v>0</v>
      </c>
      <c r="BA77" s="414">
        <f t="shared" si="453"/>
        <v>0</v>
      </c>
      <c r="BB77" s="414">
        <f t="shared" si="453"/>
        <v>0</v>
      </c>
      <c r="BC77" s="414">
        <f t="shared" si="453"/>
        <v>0</v>
      </c>
      <c r="BD77" s="414">
        <f t="shared" si="453"/>
        <v>0</v>
      </c>
      <c r="BE77" s="414">
        <f t="shared" si="453"/>
        <v>0</v>
      </c>
      <c r="BF77" s="414">
        <f t="shared" si="453"/>
        <v>0</v>
      </c>
      <c r="BG77" s="415">
        <f t="shared" si="453"/>
        <v>0</v>
      </c>
      <c r="BH77" s="416">
        <f t="shared" ref="BH77:BS77" si="454">IF($F77&lt;(BH$3+1),$L77/12,0)*IF($G77&gt;(BH$3),1,0)*$I77</f>
        <v>0</v>
      </c>
      <c r="BI77" s="414">
        <f t="shared" si="454"/>
        <v>0</v>
      </c>
      <c r="BJ77" s="414">
        <f t="shared" si="454"/>
        <v>0</v>
      </c>
      <c r="BK77" s="414">
        <f t="shared" si="454"/>
        <v>0</v>
      </c>
      <c r="BL77" s="414">
        <f t="shared" si="454"/>
        <v>0</v>
      </c>
      <c r="BM77" s="414">
        <f t="shared" si="454"/>
        <v>0</v>
      </c>
      <c r="BN77" s="414">
        <f t="shared" si="454"/>
        <v>0</v>
      </c>
      <c r="BO77" s="414">
        <f t="shared" si="454"/>
        <v>0</v>
      </c>
      <c r="BP77" s="414">
        <f t="shared" si="454"/>
        <v>0</v>
      </c>
      <c r="BQ77" s="414">
        <f t="shared" si="454"/>
        <v>0</v>
      </c>
      <c r="BR77" s="414">
        <f t="shared" si="454"/>
        <v>0</v>
      </c>
      <c r="BS77" s="415">
        <f t="shared" si="454"/>
        <v>0</v>
      </c>
      <c r="BT77" s="416">
        <f t="shared" ref="BT77:CE77" si="455">IF($F77&lt;(BT$3+1),$M77/12,0)*IF($G77&gt;(BT$3),1,0)*$I77</f>
        <v>0</v>
      </c>
      <c r="BU77" s="414">
        <f t="shared" si="455"/>
        <v>0</v>
      </c>
      <c r="BV77" s="414">
        <f t="shared" si="455"/>
        <v>0</v>
      </c>
      <c r="BW77" s="414">
        <f t="shared" si="455"/>
        <v>0</v>
      </c>
      <c r="BX77" s="414">
        <f t="shared" si="455"/>
        <v>0</v>
      </c>
      <c r="BY77" s="414">
        <f t="shared" si="455"/>
        <v>0</v>
      </c>
      <c r="BZ77" s="414">
        <f t="shared" si="455"/>
        <v>0</v>
      </c>
      <c r="CA77" s="414">
        <f t="shared" si="455"/>
        <v>0</v>
      </c>
      <c r="CB77" s="414">
        <f t="shared" si="455"/>
        <v>0</v>
      </c>
      <c r="CC77" s="414">
        <f t="shared" si="455"/>
        <v>0</v>
      </c>
      <c r="CD77" s="414">
        <f t="shared" si="455"/>
        <v>0</v>
      </c>
      <c r="CE77" s="415">
        <f t="shared" si="455"/>
        <v>0</v>
      </c>
      <c r="CF77" s="416">
        <f t="shared" ref="CF77:CQ77" si="456">IF($F77&lt;(CF$3+1),$N77/12,0)*IF($G77&gt;(CF$3),1,0)*$I77</f>
        <v>0</v>
      </c>
      <c r="CG77" s="414">
        <f t="shared" si="456"/>
        <v>0</v>
      </c>
      <c r="CH77" s="414">
        <f t="shared" si="456"/>
        <v>0</v>
      </c>
      <c r="CI77" s="414">
        <f t="shared" si="456"/>
        <v>0</v>
      </c>
      <c r="CJ77" s="414">
        <f t="shared" si="456"/>
        <v>0</v>
      </c>
      <c r="CK77" s="414">
        <f t="shared" si="456"/>
        <v>0</v>
      </c>
      <c r="CL77" s="414">
        <f t="shared" si="456"/>
        <v>0</v>
      </c>
      <c r="CM77" s="414">
        <f t="shared" si="456"/>
        <v>0</v>
      </c>
      <c r="CN77" s="414">
        <f t="shared" si="456"/>
        <v>0</v>
      </c>
      <c r="CO77" s="414">
        <f t="shared" si="456"/>
        <v>0</v>
      </c>
      <c r="CP77" s="414">
        <f t="shared" si="456"/>
        <v>0</v>
      </c>
      <c r="CQ77" s="415">
        <f t="shared" si="456"/>
        <v>0</v>
      </c>
      <c r="CR77" s="407"/>
      <c r="CS77" s="407"/>
      <c r="CT77" s="407">
        <f t="shared" si="7"/>
        <v>0</v>
      </c>
      <c r="CU77" s="412">
        <f>'Annexe C  Plan produit'!$H$52</f>
        <v>46082</v>
      </c>
      <c r="CV77" s="412">
        <f>'Annexe C  Plan produit'!$I$54</f>
        <v>47090.5</v>
      </c>
    </row>
    <row r="78" spans="1:100" ht="15">
      <c r="A78" s="400" t="s">
        <v>279</v>
      </c>
      <c r="B78" s="401" t="s">
        <v>83</v>
      </c>
      <c r="C78" s="401" t="s">
        <v>279</v>
      </c>
      <c r="D78" s="4"/>
      <c r="E78" s="420"/>
      <c r="F78" s="421">
        <f>'Plan stratégique  likewatt'!C43+36*30.5</f>
        <v>48613</v>
      </c>
      <c r="G78" s="403">
        <v>51161</v>
      </c>
      <c r="H78" s="404"/>
      <c r="I78" s="417">
        <v>2</v>
      </c>
      <c r="J78" s="406">
        <v>100000</v>
      </c>
      <c r="K78" s="407">
        <f t="shared" ref="K78:O78" si="457">J78*(1+5%)</f>
        <v>105000</v>
      </c>
      <c r="L78" s="407">
        <f t="shared" si="457"/>
        <v>110250</v>
      </c>
      <c r="M78" s="407">
        <f t="shared" si="457"/>
        <v>115762.5</v>
      </c>
      <c r="N78" s="407">
        <f t="shared" si="457"/>
        <v>121550.625</v>
      </c>
      <c r="O78" s="407">
        <f t="shared" si="457"/>
        <v>127628.15625</v>
      </c>
      <c r="P78" s="408">
        <v>0.15</v>
      </c>
      <c r="Q78" s="414">
        <f t="shared" ref="Q78:W78" si="458">IF($F78&lt;(Q$3+1),$J78/12,0)*IF($G78&gt;(Q$3),1,0)*$I78</f>
        <v>0</v>
      </c>
      <c r="R78" s="414">
        <f t="shared" si="458"/>
        <v>0</v>
      </c>
      <c r="S78" s="414">
        <f t="shared" si="458"/>
        <v>0</v>
      </c>
      <c r="T78" s="414">
        <f t="shared" si="458"/>
        <v>0</v>
      </c>
      <c r="U78" s="414">
        <f t="shared" si="458"/>
        <v>0</v>
      </c>
      <c r="V78" s="414">
        <f t="shared" si="458"/>
        <v>0</v>
      </c>
      <c r="W78" s="415">
        <f t="shared" si="458"/>
        <v>0</v>
      </c>
      <c r="X78" s="416">
        <f t="shared" ref="X78:BG78" si="459">IF($F78&lt;(X$3+1),$K78/12,0)*IF($G78&gt;(X$3),1,0)*$I78</f>
        <v>0</v>
      </c>
      <c r="Y78" s="414">
        <f t="shared" si="459"/>
        <v>0</v>
      </c>
      <c r="Z78" s="414">
        <f t="shared" si="459"/>
        <v>0</v>
      </c>
      <c r="AA78" s="414">
        <f t="shared" si="459"/>
        <v>0</v>
      </c>
      <c r="AB78" s="414">
        <f t="shared" si="459"/>
        <v>0</v>
      </c>
      <c r="AC78" s="414">
        <f t="shared" si="459"/>
        <v>0</v>
      </c>
      <c r="AD78" s="414">
        <f t="shared" si="459"/>
        <v>0</v>
      </c>
      <c r="AE78" s="414">
        <f t="shared" si="459"/>
        <v>0</v>
      </c>
      <c r="AF78" s="414">
        <f t="shared" si="459"/>
        <v>0</v>
      </c>
      <c r="AG78" s="414">
        <f t="shared" si="459"/>
        <v>0</v>
      </c>
      <c r="AH78" s="414">
        <f t="shared" si="459"/>
        <v>0</v>
      </c>
      <c r="AI78" s="415">
        <f t="shared" si="459"/>
        <v>0</v>
      </c>
      <c r="AJ78" s="416">
        <f t="shared" si="459"/>
        <v>0</v>
      </c>
      <c r="AK78" s="414">
        <f t="shared" si="459"/>
        <v>0</v>
      </c>
      <c r="AL78" s="414">
        <f t="shared" si="459"/>
        <v>0</v>
      </c>
      <c r="AM78" s="414">
        <f t="shared" si="459"/>
        <v>0</v>
      </c>
      <c r="AN78" s="414">
        <f t="shared" si="459"/>
        <v>0</v>
      </c>
      <c r="AO78" s="414">
        <f t="shared" si="459"/>
        <v>0</v>
      </c>
      <c r="AP78" s="414">
        <f t="shared" si="459"/>
        <v>0</v>
      </c>
      <c r="AQ78" s="414">
        <f t="shared" si="459"/>
        <v>0</v>
      </c>
      <c r="AR78" s="414">
        <f t="shared" si="459"/>
        <v>0</v>
      </c>
      <c r="AS78" s="414">
        <f t="shared" si="459"/>
        <v>0</v>
      </c>
      <c r="AT78" s="414">
        <f t="shared" si="459"/>
        <v>0</v>
      </c>
      <c r="AU78" s="415">
        <f t="shared" si="459"/>
        <v>0</v>
      </c>
      <c r="AV78" s="416">
        <f t="shared" si="459"/>
        <v>0</v>
      </c>
      <c r="AW78" s="414">
        <f t="shared" si="459"/>
        <v>0</v>
      </c>
      <c r="AX78" s="414">
        <f t="shared" si="459"/>
        <v>0</v>
      </c>
      <c r="AY78" s="414">
        <f t="shared" si="459"/>
        <v>0</v>
      </c>
      <c r="AZ78" s="414">
        <f t="shared" si="459"/>
        <v>0</v>
      </c>
      <c r="BA78" s="414">
        <f t="shared" si="459"/>
        <v>0</v>
      </c>
      <c r="BB78" s="414">
        <f t="shared" si="459"/>
        <v>0</v>
      </c>
      <c r="BC78" s="414">
        <f t="shared" si="459"/>
        <v>0</v>
      </c>
      <c r="BD78" s="414">
        <f t="shared" si="459"/>
        <v>0</v>
      </c>
      <c r="BE78" s="414">
        <f t="shared" si="459"/>
        <v>0</v>
      </c>
      <c r="BF78" s="414">
        <f t="shared" si="459"/>
        <v>0</v>
      </c>
      <c r="BG78" s="415">
        <f t="shared" si="459"/>
        <v>0</v>
      </c>
      <c r="BH78" s="416">
        <f t="shared" ref="BH78:BS78" si="460">IF($F78&lt;(BH$3+1),$L78/12,0)*IF($G78&gt;(BH$3),1,0)*$I78</f>
        <v>0</v>
      </c>
      <c r="BI78" s="414">
        <f t="shared" si="460"/>
        <v>0</v>
      </c>
      <c r="BJ78" s="414">
        <f t="shared" si="460"/>
        <v>0</v>
      </c>
      <c r="BK78" s="414">
        <f t="shared" si="460"/>
        <v>0</v>
      </c>
      <c r="BL78" s="414">
        <f t="shared" si="460"/>
        <v>0</v>
      </c>
      <c r="BM78" s="414">
        <f t="shared" si="460"/>
        <v>0</v>
      </c>
      <c r="BN78" s="414">
        <f t="shared" si="460"/>
        <v>0</v>
      </c>
      <c r="BO78" s="414">
        <f t="shared" si="460"/>
        <v>0</v>
      </c>
      <c r="BP78" s="414">
        <f t="shared" si="460"/>
        <v>0</v>
      </c>
      <c r="BQ78" s="414">
        <f t="shared" si="460"/>
        <v>0</v>
      </c>
      <c r="BR78" s="414">
        <f t="shared" si="460"/>
        <v>0</v>
      </c>
      <c r="BS78" s="415">
        <f t="shared" si="460"/>
        <v>0</v>
      </c>
      <c r="BT78" s="416">
        <f t="shared" ref="BT78:CE78" si="461">IF($F78&lt;(BT$3+1),$M78/12,0)*IF($G78&gt;(BT$3),1,0)*$I78</f>
        <v>0</v>
      </c>
      <c r="BU78" s="414">
        <f t="shared" si="461"/>
        <v>0</v>
      </c>
      <c r="BV78" s="414">
        <f t="shared" si="461"/>
        <v>0</v>
      </c>
      <c r="BW78" s="414">
        <f t="shared" si="461"/>
        <v>0</v>
      </c>
      <c r="BX78" s="414">
        <f t="shared" si="461"/>
        <v>0</v>
      </c>
      <c r="BY78" s="414">
        <f t="shared" si="461"/>
        <v>0</v>
      </c>
      <c r="BZ78" s="414">
        <f t="shared" si="461"/>
        <v>0</v>
      </c>
      <c r="CA78" s="414">
        <f t="shared" si="461"/>
        <v>0</v>
      </c>
      <c r="CB78" s="414">
        <f t="shared" si="461"/>
        <v>0</v>
      </c>
      <c r="CC78" s="414">
        <f t="shared" si="461"/>
        <v>0</v>
      </c>
      <c r="CD78" s="414">
        <f t="shared" si="461"/>
        <v>0</v>
      </c>
      <c r="CE78" s="415">
        <f t="shared" si="461"/>
        <v>0</v>
      </c>
      <c r="CF78" s="416">
        <f t="shared" ref="CF78:CQ78" si="462">IF($F78&lt;(CF$3+1),$N78/12,0)*IF($G78&gt;(CF$3),1,0)*$I78</f>
        <v>0</v>
      </c>
      <c r="CG78" s="414">
        <f t="shared" si="462"/>
        <v>0</v>
      </c>
      <c r="CH78" s="414">
        <f t="shared" si="462"/>
        <v>0</v>
      </c>
      <c r="CI78" s="414">
        <f t="shared" si="462"/>
        <v>0</v>
      </c>
      <c r="CJ78" s="414">
        <f t="shared" si="462"/>
        <v>0</v>
      </c>
      <c r="CK78" s="414">
        <f t="shared" si="462"/>
        <v>0</v>
      </c>
      <c r="CL78" s="414">
        <f t="shared" si="462"/>
        <v>0</v>
      </c>
      <c r="CM78" s="414">
        <f t="shared" si="462"/>
        <v>0</v>
      </c>
      <c r="CN78" s="414">
        <f t="shared" si="462"/>
        <v>0</v>
      </c>
      <c r="CO78" s="414">
        <f t="shared" si="462"/>
        <v>0</v>
      </c>
      <c r="CP78" s="414">
        <f t="shared" si="462"/>
        <v>0</v>
      </c>
      <c r="CQ78" s="415">
        <f t="shared" si="462"/>
        <v>0</v>
      </c>
      <c r="CR78" s="407"/>
      <c r="CS78" s="407" t="e">
        <f t="shared" ref="CS78:CS83" ca="1" si="463">SUM($Q81:$CQ81)*(1+_xludf.IFS(B78="FR",$C$99,B78="ES",$D$99,B78="CH",$E$99,B78="BE",$F$99,B78="DE",$G$99))</f>
        <v>#NAME?</v>
      </c>
      <c r="CT78" s="407">
        <f t="shared" si="7"/>
        <v>0</v>
      </c>
      <c r="CU78" s="412">
        <f>'Annexe C  Plan produit'!$H$52</f>
        <v>46082</v>
      </c>
      <c r="CV78" s="412">
        <f>'Annexe C  Plan produit'!$I$54</f>
        <v>47090.5</v>
      </c>
    </row>
    <row r="79" spans="1:100" ht="15">
      <c r="A79" s="400" t="s">
        <v>270</v>
      </c>
      <c r="B79" s="401" t="s">
        <v>87</v>
      </c>
      <c r="C79" s="401" t="s">
        <v>327</v>
      </c>
      <c r="D79" s="4"/>
      <c r="E79" s="420"/>
      <c r="F79" s="421">
        <f>'Plan stratégique  likewatt'!G42</f>
        <v>48613</v>
      </c>
      <c r="G79" s="403">
        <v>51161</v>
      </c>
      <c r="H79" s="404"/>
      <c r="I79" s="417">
        <v>1</v>
      </c>
      <c r="J79" s="406">
        <v>100000</v>
      </c>
      <c r="K79" s="407">
        <f t="shared" ref="K79:O79" si="464">J79*(1+5%)</f>
        <v>105000</v>
      </c>
      <c r="L79" s="407">
        <f t="shared" si="464"/>
        <v>110250</v>
      </c>
      <c r="M79" s="407">
        <f t="shared" si="464"/>
        <v>115762.5</v>
      </c>
      <c r="N79" s="407">
        <f t="shared" si="464"/>
        <v>121550.625</v>
      </c>
      <c r="O79" s="407">
        <f t="shared" si="464"/>
        <v>127628.15625</v>
      </c>
      <c r="P79" s="408">
        <v>0.15</v>
      </c>
      <c r="Q79" s="414">
        <f t="shared" ref="Q79:W79" si="465">IF($F79&lt;(Q$3+1),$J79/12,0)*IF($G79&gt;(Q$3),1,0)*$I79</f>
        <v>0</v>
      </c>
      <c r="R79" s="414">
        <f t="shared" si="465"/>
        <v>0</v>
      </c>
      <c r="S79" s="414">
        <f t="shared" si="465"/>
        <v>0</v>
      </c>
      <c r="T79" s="414">
        <f t="shared" si="465"/>
        <v>0</v>
      </c>
      <c r="U79" s="414">
        <f t="shared" si="465"/>
        <v>0</v>
      </c>
      <c r="V79" s="414">
        <f t="shared" si="465"/>
        <v>0</v>
      </c>
      <c r="W79" s="415">
        <f t="shared" si="465"/>
        <v>0</v>
      </c>
      <c r="X79" s="416">
        <f t="shared" ref="X79:BG79" si="466">IF($F79&lt;(X$3+1),$K79/12,0)*IF($G79&gt;(X$3),1,0)*$I79</f>
        <v>0</v>
      </c>
      <c r="Y79" s="414">
        <f t="shared" si="466"/>
        <v>0</v>
      </c>
      <c r="Z79" s="414">
        <f t="shared" si="466"/>
        <v>0</v>
      </c>
      <c r="AA79" s="414">
        <f t="shared" si="466"/>
        <v>0</v>
      </c>
      <c r="AB79" s="414">
        <f t="shared" si="466"/>
        <v>0</v>
      </c>
      <c r="AC79" s="414">
        <f t="shared" si="466"/>
        <v>0</v>
      </c>
      <c r="AD79" s="414">
        <f t="shared" si="466"/>
        <v>0</v>
      </c>
      <c r="AE79" s="414">
        <f t="shared" si="466"/>
        <v>0</v>
      </c>
      <c r="AF79" s="414">
        <f t="shared" si="466"/>
        <v>0</v>
      </c>
      <c r="AG79" s="414">
        <f t="shared" si="466"/>
        <v>0</v>
      </c>
      <c r="AH79" s="414">
        <f t="shared" si="466"/>
        <v>0</v>
      </c>
      <c r="AI79" s="415">
        <f t="shared" si="466"/>
        <v>0</v>
      </c>
      <c r="AJ79" s="416">
        <f t="shared" si="466"/>
        <v>0</v>
      </c>
      <c r="AK79" s="414">
        <f t="shared" si="466"/>
        <v>0</v>
      </c>
      <c r="AL79" s="414">
        <f t="shared" si="466"/>
        <v>0</v>
      </c>
      <c r="AM79" s="414">
        <f t="shared" si="466"/>
        <v>0</v>
      </c>
      <c r="AN79" s="414">
        <f t="shared" si="466"/>
        <v>0</v>
      </c>
      <c r="AO79" s="414">
        <f t="shared" si="466"/>
        <v>0</v>
      </c>
      <c r="AP79" s="414">
        <f t="shared" si="466"/>
        <v>0</v>
      </c>
      <c r="AQ79" s="414">
        <f t="shared" si="466"/>
        <v>0</v>
      </c>
      <c r="AR79" s="414">
        <f t="shared" si="466"/>
        <v>0</v>
      </c>
      <c r="AS79" s="414">
        <f t="shared" si="466"/>
        <v>0</v>
      </c>
      <c r="AT79" s="414">
        <f t="shared" si="466"/>
        <v>0</v>
      </c>
      <c r="AU79" s="415">
        <f t="shared" si="466"/>
        <v>0</v>
      </c>
      <c r="AV79" s="416">
        <f t="shared" si="466"/>
        <v>0</v>
      </c>
      <c r="AW79" s="414">
        <f t="shared" si="466"/>
        <v>0</v>
      </c>
      <c r="AX79" s="414">
        <f t="shared" si="466"/>
        <v>0</v>
      </c>
      <c r="AY79" s="414">
        <f t="shared" si="466"/>
        <v>0</v>
      </c>
      <c r="AZ79" s="414">
        <f t="shared" si="466"/>
        <v>0</v>
      </c>
      <c r="BA79" s="414">
        <f t="shared" si="466"/>
        <v>0</v>
      </c>
      <c r="BB79" s="414">
        <f t="shared" si="466"/>
        <v>0</v>
      </c>
      <c r="BC79" s="414">
        <f t="shared" si="466"/>
        <v>0</v>
      </c>
      <c r="BD79" s="414">
        <f t="shared" si="466"/>
        <v>0</v>
      </c>
      <c r="BE79" s="414">
        <f t="shared" si="466"/>
        <v>0</v>
      </c>
      <c r="BF79" s="414">
        <f t="shared" si="466"/>
        <v>0</v>
      </c>
      <c r="BG79" s="415">
        <f t="shared" si="466"/>
        <v>0</v>
      </c>
      <c r="BH79" s="416">
        <f t="shared" ref="BH79:BS79" si="467">IF($F79&lt;(BH$3+1),$L79/12,0)*IF($G79&gt;(BH$3),1,0)*$I79</f>
        <v>0</v>
      </c>
      <c r="BI79" s="414">
        <f t="shared" si="467"/>
        <v>0</v>
      </c>
      <c r="BJ79" s="414">
        <f t="shared" si="467"/>
        <v>0</v>
      </c>
      <c r="BK79" s="414">
        <f t="shared" si="467"/>
        <v>0</v>
      </c>
      <c r="BL79" s="414">
        <f t="shared" si="467"/>
        <v>0</v>
      </c>
      <c r="BM79" s="414">
        <f t="shared" si="467"/>
        <v>0</v>
      </c>
      <c r="BN79" s="414">
        <f t="shared" si="467"/>
        <v>0</v>
      </c>
      <c r="BO79" s="414">
        <f t="shared" si="467"/>
        <v>0</v>
      </c>
      <c r="BP79" s="414">
        <f t="shared" si="467"/>
        <v>0</v>
      </c>
      <c r="BQ79" s="414">
        <f t="shared" si="467"/>
        <v>0</v>
      </c>
      <c r="BR79" s="414">
        <f t="shared" si="467"/>
        <v>0</v>
      </c>
      <c r="BS79" s="415">
        <f t="shared" si="467"/>
        <v>0</v>
      </c>
      <c r="BT79" s="416">
        <f t="shared" ref="BT79:CE79" si="468">IF($F79&lt;(BT$3+1),$M79/12,0)*IF($G79&gt;(BT$3),1,0)*$I79</f>
        <v>0</v>
      </c>
      <c r="BU79" s="414">
        <f t="shared" si="468"/>
        <v>0</v>
      </c>
      <c r="BV79" s="414">
        <f t="shared" si="468"/>
        <v>0</v>
      </c>
      <c r="BW79" s="414">
        <f t="shared" si="468"/>
        <v>0</v>
      </c>
      <c r="BX79" s="414">
        <f t="shared" si="468"/>
        <v>0</v>
      </c>
      <c r="BY79" s="414">
        <f t="shared" si="468"/>
        <v>0</v>
      </c>
      <c r="BZ79" s="414">
        <f t="shared" si="468"/>
        <v>0</v>
      </c>
      <c r="CA79" s="414">
        <f t="shared" si="468"/>
        <v>0</v>
      </c>
      <c r="CB79" s="414">
        <f t="shared" si="468"/>
        <v>0</v>
      </c>
      <c r="CC79" s="414">
        <f t="shared" si="468"/>
        <v>0</v>
      </c>
      <c r="CD79" s="414">
        <f t="shared" si="468"/>
        <v>0</v>
      </c>
      <c r="CE79" s="415">
        <f t="shared" si="468"/>
        <v>0</v>
      </c>
      <c r="CF79" s="416">
        <f t="shared" ref="CF79:CQ79" si="469">IF($F79&lt;(CF$3+1),$N79/12,0)*IF($G79&gt;(CF$3),1,0)*$I79</f>
        <v>0</v>
      </c>
      <c r="CG79" s="414">
        <f t="shared" si="469"/>
        <v>0</v>
      </c>
      <c r="CH79" s="414">
        <f t="shared" si="469"/>
        <v>0</v>
      </c>
      <c r="CI79" s="414">
        <f t="shared" si="469"/>
        <v>0</v>
      </c>
      <c r="CJ79" s="414">
        <f t="shared" si="469"/>
        <v>0</v>
      </c>
      <c r="CK79" s="414">
        <f t="shared" si="469"/>
        <v>0</v>
      </c>
      <c r="CL79" s="414">
        <f t="shared" si="469"/>
        <v>0</v>
      </c>
      <c r="CM79" s="414">
        <f t="shared" si="469"/>
        <v>0</v>
      </c>
      <c r="CN79" s="414">
        <f t="shared" si="469"/>
        <v>0</v>
      </c>
      <c r="CO79" s="414">
        <f t="shared" si="469"/>
        <v>0</v>
      </c>
      <c r="CP79" s="414">
        <f t="shared" si="469"/>
        <v>0</v>
      </c>
      <c r="CQ79" s="415">
        <f t="shared" si="469"/>
        <v>0</v>
      </c>
      <c r="CR79" s="407"/>
      <c r="CS79" s="407" t="e">
        <f t="shared" ca="1" si="463"/>
        <v>#NAME?</v>
      </c>
      <c r="CT79" s="407">
        <f t="shared" si="7"/>
        <v>0</v>
      </c>
      <c r="CU79" s="412">
        <f>'Annexe C  Plan produit'!$H$52</f>
        <v>46082</v>
      </c>
      <c r="CV79" s="412">
        <f>'Annexe C  Plan produit'!$I$54</f>
        <v>47090.5</v>
      </c>
    </row>
    <row r="80" spans="1:100" ht="15">
      <c r="A80" s="400" t="s">
        <v>261</v>
      </c>
      <c r="B80" s="401" t="s">
        <v>83</v>
      </c>
      <c r="C80" s="401" t="s">
        <v>328</v>
      </c>
      <c r="D80" s="4"/>
      <c r="E80" s="420"/>
      <c r="F80" s="421">
        <f>'Plan stratégique  likewatt'!C$43+36*30.5</f>
        <v>48613</v>
      </c>
      <c r="G80" s="403">
        <v>51161</v>
      </c>
      <c r="H80" s="404"/>
      <c r="I80" s="417">
        <v>4</v>
      </c>
      <c r="J80" s="406">
        <v>50000</v>
      </c>
      <c r="K80" s="407">
        <f t="shared" ref="K80:O80" si="470">J80*(1+5%)</f>
        <v>52500</v>
      </c>
      <c r="L80" s="407">
        <f t="shared" si="470"/>
        <v>55125</v>
      </c>
      <c r="M80" s="407">
        <f t="shared" si="470"/>
        <v>57881.25</v>
      </c>
      <c r="N80" s="407">
        <f t="shared" si="470"/>
        <v>60775.3125</v>
      </c>
      <c r="O80" s="407">
        <f t="shared" si="470"/>
        <v>63814.078125</v>
      </c>
      <c r="P80" s="408">
        <v>0.15</v>
      </c>
      <c r="Q80" s="414">
        <f t="shared" ref="Q80:W80" si="471">IF($F80&lt;(Q$3+1),$J80/12,0)*IF($G80&gt;(Q$3),1,0)*$I80</f>
        <v>0</v>
      </c>
      <c r="R80" s="414">
        <f t="shared" si="471"/>
        <v>0</v>
      </c>
      <c r="S80" s="414">
        <f t="shared" si="471"/>
        <v>0</v>
      </c>
      <c r="T80" s="414">
        <f t="shared" si="471"/>
        <v>0</v>
      </c>
      <c r="U80" s="414">
        <f t="shared" si="471"/>
        <v>0</v>
      </c>
      <c r="V80" s="414">
        <f t="shared" si="471"/>
        <v>0</v>
      </c>
      <c r="W80" s="415">
        <f t="shared" si="471"/>
        <v>0</v>
      </c>
      <c r="X80" s="416">
        <f t="shared" ref="X80:BG80" si="472">IF($F80&lt;(X$3+1),$K80/12,0)*IF($G80&gt;(X$3),1,0)*$I80</f>
        <v>0</v>
      </c>
      <c r="Y80" s="414">
        <f t="shared" si="472"/>
        <v>0</v>
      </c>
      <c r="Z80" s="414">
        <f t="shared" si="472"/>
        <v>0</v>
      </c>
      <c r="AA80" s="414">
        <f t="shared" si="472"/>
        <v>0</v>
      </c>
      <c r="AB80" s="414">
        <f t="shared" si="472"/>
        <v>0</v>
      </c>
      <c r="AC80" s="414">
        <f t="shared" si="472"/>
        <v>0</v>
      </c>
      <c r="AD80" s="414">
        <f t="shared" si="472"/>
        <v>0</v>
      </c>
      <c r="AE80" s="414">
        <f t="shared" si="472"/>
        <v>0</v>
      </c>
      <c r="AF80" s="414">
        <f t="shared" si="472"/>
        <v>0</v>
      </c>
      <c r="AG80" s="414">
        <f t="shared" si="472"/>
        <v>0</v>
      </c>
      <c r="AH80" s="414">
        <f t="shared" si="472"/>
        <v>0</v>
      </c>
      <c r="AI80" s="415">
        <f t="shared" si="472"/>
        <v>0</v>
      </c>
      <c r="AJ80" s="416">
        <f t="shared" si="472"/>
        <v>0</v>
      </c>
      <c r="AK80" s="414">
        <f t="shared" si="472"/>
        <v>0</v>
      </c>
      <c r="AL80" s="414">
        <f t="shared" si="472"/>
        <v>0</v>
      </c>
      <c r="AM80" s="414">
        <f t="shared" si="472"/>
        <v>0</v>
      </c>
      <c r="AN80" s="414">
        <f t="shared" si="472"/>
        <v>0</v>
      </c>
      <c r="AO80" s="414">
        <f t="shared" si="472"/>
        <v>0</v>
      </c>
      <c r="AP80" s="414">
        <f t="shared" si="472"/>
        <v>0</v>
      </c>
      <c r="AQ80" s="414">
        <f t="shared" si="472"/>
        <v>0</v>
      </c>
      <c r="AR80" s="414">
        <f t="shared" si="472"/>
        <v>0</v>
      </c>
      <c r="AS80" s="414">
        <f t="shared" si="472"/>
        <v>0</v>
      </c>
      <c r="AT80" s="414">
        <f t="shared" si="472"/>
        <v>0</v>
      </c>
      <c r="AU80" s="415">
        <f t="shared" si="472"/>
        <v>0</v>
      </c>
      <c r="AV80" s="416">
        <f t="shared" si="472"/>
        <v>0</v>
      </c>
      <c r="AW80" s="414">
        <f t="shared" si="472"/>
        <v>0</v>
      </c>
      <c r="AX80" s="414">
        <f t="shared" si="472"/>
        <v>0</v>
      </c>
      <c r="AY80" s="414">
        <f t="shared" si="472"/>
        <v>0</v>
      </c>
      <c r="AZ80" s="414">
        <f t="shared" si="472"/>
        <v>0</v>
      </c>
      <c r="BA80" s="414">
        <f t="shared" si="472"/>
        <v>0</v>
      </c>
      <c r="BB80" s="414">
        <f t="shared" si="472"/>
        <v>0</v>
      </c>
      <c r="BC80" s="414">
        <f t="shared" si="472"/>
        <v>0</v>
      </c>
      <c r="BD80" s="414">
        <f t="shared" si="472"/>
        <v>0</v>
      </c>
      <c r="BE80" s="414">
        <f t="shared" si="472"/>
        <v>0</v>
      </c>
      <c r="BF80" s="414">
        <f t="shared" si="472"/>
        <v>0</v>
      </c>
      <c r="BG80" s="415">
        <f t="shared" si="472"/>
        <v>0</v>
      </c>
      <c r="BH80" s="416">
        <f t="shared" ref="BH80:BS80" si="473">IF($F80&lt;(BH$3+1),$L80/12,0)*IF($G80&gt;(BH$3),1,0)*$I80</f>
        <v>0</v>
      </c>
      <c r="BI80" s="414">
        <f t="shared" si="473"/>
        <v>0</v>
      </c>
      <c r="BJ80" s="414">
        <f t="shared" si="473"/>
        <v>0</v>
      </c>
      <c r="BK80" s="414">
        <f t="shared" si="473"/>
        <v>0</v>
      </c>
      <c r="BL80" s="414">
        <f t="shared" si="473"/>
        <v>0</v>
      </c>
      <c r="BM80" s="414">
        <f t="shared" si="473"/>
        <v>0</v>
      </c>
      <c r="BN80" s="414">
        <f t="shared" si="473"/>
        <v>0</v>
      </c>
      <c r="BO80" s="414">
        <f t="shared" si="473"/>
        <v>0</v>
      </c>
      <c r="BP80" s="414">
        <f t="shared" si="473"/>
        <v>0</v>
      </c>
      <c r="BQ80" s="414">
        <f t="shared" si="473"/>
        <v>0</v>
      </c>
      <c r="BR80" s="414">
        <f t="shared" si="473"/>
        <v>0</v>
      </c>
      <c r="BS80" s="415">
        <f t="shared" si="473"/>
        <v>0</v>
      </c>
      <c r="BT80" s="416">
        <f t="shared" ref="BT80:CE80" si="474">IF($F80&lt;(BT$3+1),$M80/12,0)*IF($G80&gt;(BT$3),1,0)*$I80</f>
        <v>0</v>
      </c>
      <c r="BU80" s="414">
        <f t="shared" si="474"/>
        <v>0</v>
      </c>
      <c r="BV80" s="414">
        <f t="shared" si="474"/>
        <v>0</v>
      </c>
      <c r="BW80" s="414">
        <f t="shared" si="474"/>
        <v>0</v>
      </c>
      <c r="BX80" s="414">
        <f t="shared" si="474"/>
        <v>0</v>
      </c>
      <c r="BY80" s="414">
        <f t="shared" si="474"/>
        <v>0</v>
      </c>
      <c r="BZ80" s="414">
        <f t="shared" si="474"/>
        <v>0</v>
      </c>
      <c r="CA80" s="414">
        <f t="shared" si="474"/>
        <v>0</v>
      </c>
      <c r="CB80" s="414">
        <f t="shared" si="474"/>
        <v>0</v>
      </c>
      <c r="CC80" s="414">
        <f t="shared" si="474"/>
        <v>0</v>
      </c>
      <c r="CD80" s="414">
        <f t="shared" si="474"/>
        <v>0</v>
      </c>
      <c r="CE80" s="415">
        <f t="shared" si="474"/>
        <v>0</v>
      </c>
      <c r="CF80" s="416">
        <f t="shared" ref="CF80:CQ80" si="475">IF($F80&lt;(CF$3+1),$N80/12,0)*IF($G80&gt;(CF$3),1,0)*$I80</f>
        <v>0</v>
      </c>
      <c r="CG80" s="414">
        <f t="shared" si="475"/>
        <v>0</v>
      </c>
      <c r="CH80" s="414">
        <f t="shared" si="475"/>
        <v>0</v>
      </c>
      <c r="CI80" s="414">
        <f t="shared" si="475"/>
        <v>0</v>
      </c>
      <c r="CJ80" s="414">
        <f t="shared" si="475"/>
        <v>0</v>
      </c>
      <c r="CK80" s="414">
        <f t="shared" si="475"/>
        <v>0</v>
      </c>
      <c r="CL80" s="414">
        <f t="shared" si="475"/>
        <v>0</v>
      </c>
      <c r="CM80" s="414">
        <f t="shared" si="475"/>
        <v>0</v>
      </c>
      <c r="CN80" s="414">
        <f t="shared" si="475"/>
        <v>0</v>
      </c>
      <c r="CO80" s="414">
        <f t="shared" si="475"/>
        <v>0</v>
      </c>
      <c r="CP80" s="414">
        <f t="shared" si="475"/>
        <v>0</v>
      </c>
      <c r="CQ80" s="415">
        <f t="shared" si="475"/>
        <v>0</v>
      </c>
      <c r="CR80" s="407"/>
      <c r="CS80" s="407" t="e">
        <f t="shared" ca="1" si="463"/>
        <v>#NAME?</v>
      </c>
      <c r="CT80" s="407">
        <f t="shared" si="7"/>
        <v>0</v>
      </c>
      <c r="CU80" s="412">
        <f>'Annexe C  Plan produit'!$H$52</f>
        <v>46082</v>
      </c>
      <c r="CV80" s="412">
        <f>'Annexe C  Plan produit'!$I$54</f>
        <v>47090.5</v>
      </c>
    </row>
    <row r="81" spans="1:100" ht="15">
      <c r="A81" s="400" t="s">
        <v>276</v>
      </c>
      <c r="B81" s="401" t="s">
        <v>83</v>
      </c>
      <c r="C81" s="11" t="s">
        <v>312</v>
      </c>
      <c r="D81" s="4"/>
      <c r="E81" s="420"/>
      <c r="F81" s="421">
        <f>'Plan stratégique  likewatt'!C$43+60*30.5</f>
        <v>49345</v>
      </c>
      <c r="G81" s="403">
        <v>51161</v>
      </c>
      <c r="H81" s="404"/>
      <c r="I81" s="417">
        <v>1</v>
      </c>
      <c r="J81" s="406">
        <v>50000</v>
      </c>
      <c r="K81" s="407">
        <f t="shared" ref="K81:O81" si="476">J81*(1+5%)</f>
        <v>52500</v>
      </c>
      <c r="L81" s="407">
        <f t="shared" si="476"/>
        <v>55125</v>
      </c>
      <c r="M81" s="407">
        <f t="shared" si="476"/>
        <v>57881.25</v>
      </c>
      <c r="N81" s="407">
        <f t="shared" si="476"/>
        <v>60775.3125</v>
      </c>
      <c r="O81" s="407">
        <f t="shared" si="476"/>
        <v>63814.078125</v>
      </c>
      <c r="P81" s="408">
        <v>0.15</v>
      </c>
      <c r="Q81" s="414">
        <f t="shared" ref="Q81:W81" si="477">IF($F81&lt;(Q$3+1),$J81/12,0)*IF($G81&gt;(Q$3),1,0)*$I81</f>
        <v>0</v>
      </c>
      <c r="R81" s="414">
        <f t="shared" si="477"/>
        <v>0</v>
      </c>
      <c r="S81" s="414">
        <f t="shared" si="477"/>
        <v>0</v>
      </c>
      <c r="T81" s="414">
        <f t="shared" si="477"/>
        <v>0</v>
      </c>
      <c r="U81" s="414">
        <f t="shared" si="477"/>
        <v>0</v>
      </c>
      <c r="V81" s="414">
        <f t="shared" si="477"/>
        <v>0</v>
      </c>
      <c r="W81" s="415">
        <f t="shared" si="477"/>
        <v>0</v>
      </c>
      <c r="X81" s="416">
        <f t="shared" ref="X81:BG81" si="478">IF($F81&lt;(X$3+1),$K81/12,0)*IF($G81&gt;(X$3),1,0)*$I81</f>
        <v>0</v>
      </c>
      <c r="Y81" s="414">
        <f t="shared" si="478"/>
        <v>0</v>
      </c>
      <c r="Z81" s="414">
        <f t="shared" si="478"/>
        <v>0</v>
      </c>
      <c r="AA81" s="414">
        <f t="shared" si="478"/>
        <v>0</v>
      </c>
      <c r="AB81" s="414">
        <f t="shared" si="478"/>
        <v>0</v>
      </c>
      <c r="AC81" s="414">
        <f t="shared" si="478"/>
        <v>0</v>
      </c>
      <c r="AD81" s="414">
        <f t="shared" si="478"/>
        <v>0</v>
      </c>
      <c r="AE81" s="414">
        <f t="shared" si="478"/>
        <v>0</v>
      </c>
      <c r="AF81" s="414">
        <f t="shared" si="478"/>
        <v>0</v>
      </c>
      <c r="AG81" s="414">
        <f t="shared" si="478"/>
        <v>0</v>
      </c>
      <c r="AH81" s="414">
        <f t="shared" si="478"/>
        <v>0</v>
      </c>
      <c r="AI81" s="415">
        <f t="shared" si="478"/>
        <v>0</v>
      </c>
      <c r="AJ81" s="416">
        <f t="shared" si="478"/>
        <v>0</v>
      </c>
      <c r="AK81" s="414">
        <f t="shared" si="478"/>
        <v>0</v>
      </c>
      <c r="AL81" s="414">
        <f t="shared" si="478"/>
        <v>0</v>
      </c>
      <c r="AM81" s="414">
        <f t="shared" si="478"/>
        <v>0</v>
      </c>
      <c r="AN81" s="414">
        <f t="shared" si="478"/>
        <v>0</v>
      </c>
      <c r="AO81" s="414">
        <f t="shared" si="478"/>
        <v>0</v>
      </c>
      <c r="AP81" s="414">
        <f t="shared" si="478"/>
        <v>0</v>
      </c>
      <c r="AQ81" s="414">
        <f t="shared" si="478"/>
        <v>0</v>
      </c>
      <c r="AR81" s="414">
        <f t="shared" si="478"/>
        <v>0</v>
      </c>
      <c r="AS81" s="414">
        <f t="shared" si="478"/>
        <v>0</v>
      </c>
      <c r="AT81" s="414">
        <f t="shared" si="478"/>
        <v>0</v>
      </c>
      <c r="AU81" s="415">
        <f t="shared" si="478"/>
        <v>0</v>
      </c>
      <c r="AV81" s="416">
        <f t="shared" si="478"/>
        <v>0</v>
      </c>
      <c r="AW81" s="414">
        <f t="shared" si="478"/>
        <v>0</v>
      </c>
      <c r="AX81" s="414">
        <f t="shared" si="478"/>
        <v>0</v>
      </c>
      <c r="AY81" s="414">
        <f t="shared" si="478"/>
        <v>0</v>
      </c>
      <c r="AZ81" s="414">
        <f t="shared" si="478"/>
        <v>0</v>
      </c>
      <c r="BA81" s="414">
        <f t="shared" si="478"/>
        <v>0</v>
      </c>
      <c r="BB81" s="414">
        <f t="shared" si="478"/>
        <v>0</v>
      </c>
      <c r="BC81" s="414">
        <f t="shared" si="478"/>
        <v>0</v>
      </c>
      <c r="BD81" s="414">
        <f t="shared" si="478"/>
        <v>0</v>
      </c>
      <c r="BE81" s="414">
        <f t="shared" si="478"/>
        <v>0</v>
      </c>
      <c r="BF81" s="414">
        <f t="shared" si="478"/>
        <v>0</v>
      </c>
      <c r="BG81" s="415">
        <f t="shared" si="478"/>
        <v>0</v>
      </c>
      <c r="BH81" s="416">
        <f t="shared" ref="BH81:BS81" si="479">IF($F81&lt;(BH$3+1),$L81/12,0)*IF($G81&gt;(BH$3),1,0)*$I81</f>
        <v>0</v>
      </c>
      <c r="BI81" s="414">
        <f t="shared" si="479"/>
        <v>0</v>
      </c>
      <c r="BJ81" s="414">
        <f t="shared" si="479"/>
        <v>0</v>
      </c>
      <c r="BK81" s="414">
        <f t="shared" si="479"/>
        <v>0</v>
      </c>
      <c r="BL81" s="414">
        <f t="shared" si="479"/>
        <v>0</v>
      </c>
      <c r="BM81" s="414">
        <f t="shared" si="479"/>
        <v>0</v>
      </c>
      <c r="BN81" s="414">
        <f t="shared" si="479"/>
        <v>0</v>
      </c>
      <c r="BO81" s="414">
        <f t="shared" si="479"/>
        <v>0</v>
      </c>
      <c r="BP81" s="414">
        <f t="shared" si="479"/>
        <v>0</v>
      </c>
      <c r="BQ81" s="414">
        <f t="shared" si="479"/>
        <v>0</v>
      </c>
      <c r="BR81" s="414">
        <f t="shared" si="479"/>
        <v>0</v>
      </c>
      <c r="BS81" s="415">
        <f t="shared" si="479"/>
        <v>0</v>
      </c>
      <c r="BT81" s="416">
        <f t="shared" ref="BT81:CE81" si="480">IF($F81&lt;(BT$3+1),$M81/12,0)*IF($G81&gt;(BT$3),1,0)*$I81</f>
        <v>0</v>
      </c>
      <c r="BU81" s="414">
        <f t="shared" si="480"/>
        <v>0</v>
      </c>
      <c r="BV81" s="414">
        <f t="shared" si="480"/>
        <v>0</v>
      </c>
      <c r="BW81" s="414">
        <f t="shared" si="480"/>
        <v>0</v>
      </c>
      <c r="BX81" s="414">
        <f t="shared" si="480"/>
        <v>0</v>
      </c>
      <c r="BY81" s="414">
        <f t="shared" si="480"/>
        <v>0</v>
      </c>
      <c r="BZ81" s="414">
        <f t="shared" si="480"/>
        <v>0</v>
      </c>
      <c r="CA81" s="414">
        <f t="shared" si="480"/>
        <v>0</v>
      </c>
      <c r="CB81" s="414">
        <f t="shared" si="480"/>
        <v>0</v>
      </c>
      <c r="CC81" s="414">
        <f t="shared" si="480"/>
        <v>0</v>
      </c>
      <c r="CD81" s="414">
        <f t="shared" si="480"/>
        <v>0</v>
      </c>
      <c r="CE81" s="415">
        <f t="shared" si="480"/>
        <v>0</v>
      </c>
      <c r="CF81" s="416">
        <f t="shared" ref="CF81:CQ81" si="481">IF($F81&lt;(CF$3+1),$N81/12,0)*IF($G81&gt;(CF$3),1,0)*$I81</f>
        <v>0</v>
      </c>
      <c r="CG81" s="414">
        <f t="shared" si="481"/>
        <v>0</v>
      </c>
      <c r="CH81" s="414">
        <f t="shared" si="481"/>
        <v>0</v>
      </c>
      <c r="CI81" s="414">
        <f t="shared" si="481"/>
        <v>0</v>
      </c>
      <c r="CJ81" s="414">
        <f t="shared" si="481"/>
        <v>0</v>
      </c>
      <c r="CK81" s="414">
        <f t="shared" si="481"/>
        <v>0</v>
      </c>
      <c r="CL81" s="414">
        <f t="shared" si="481"/>
        <v>0</v>
      </c>
      <c r="CM81" s="414">
        <f t="shared" si="481"/>
        <v>0</v>
      </c>
      <c r="CN81" s="414">
        <f t="shared" si="481"/>
        <v>0</v>
      </c>
      <c r="CO81" s="414">
        <f t="shared" si="481"/>
        <v>0</v>
      </c>
      <c r="CP81" s="414">
        <f t="shared" si="481"/>
        <v>0</v>
      </c>
      <c r="CQ81" s="415">
        <f t="shared" si="481"/>
        <v>0</v>
      </c>
      <c r="CR81" s="407"/>
      <c r="CS81" s="407" t="e">
        <f t="shared" ca="1" si="463"/>
        <v>#NAME?</v>
      </c>
      <c r="CT81" s="407">
        <f t="shared" si="7"/>
        <v>0</v>
      </c>
      <c r="CU81" s="412">
        <f>'Annexe C  Plan produit'!$H$52</f>
        <v>46082</v>
      </c>
      <c r="CV81" s="412">
        <f>'Annexe C  Plan produit'!$I$54</f>
        <v>47090.5</v>
      </c>
    </row>
    <row r="82" spans="1:100" ht="15">
      <c r="A82" s="400" t="s">
        <v>270</v>
      </c>
      <c r="B82" s="401" t="s">
        <v>87</v>
      </c>
      <c r="C82" s="401" t="s">
        <v>329</v>
      </c>
      <c r="D82" s="4"/>
      <c r="E82" s="420"/>
      <c r="F82" s="421">
        <f>'Plan stratégique  likewatt'!G42+100</f>
        <v>48713</v>
      </c>
      <c r="G82" s="403">
        <v>51161</v>
      </c>
      <c r="H82" s="404"/>
      <c r="I82" s="417">
        <v>3</v>
      </c>
      <c r="J82" s="406">
        <v>50000</v>
      </c>
      <c r="K82" s="407">
        <f t="shared" ref="K82:O82" si="482">J82*(1+5%)</f>
        <v>52500</v>
      </c>
      <c r="L82" s="407">
        <f t="shared" si="482"/>
        <v>55125</v>
      </c>
      <c r="M82" s="407">
        <f t="shared" si="482"/>
        <v>57881.25</v>
      </c>
      <c r="N82" s="407">
        <f t="shared" si="482"/>
        <v>60775.3125</v>
      </c>
      <c r="O82" s="407">
        <f t="shared" si="482"/>
        <v>63814.078125</v>
      </c>
      <c r="P82" s="408">
        <v>0.15</v>
      </c>
      <c r="Q82" s="414">
        <f t="shared" ref="Q82:W82" si="483">IF($F82&lt;(Q$3+1),$J82/12,0)*IF($G82&gt;(Q$3),1,0)*$I82</f>
        <v>0</v>
      </c>
      <c r="R82" s="414">
        <f t="shared" si="483"/>
        <v>0</v>
      </c>
      <c r="S82" s="414">
        <f t="shared" si="483"/>
        <v>0</v>
      </c>
      <c r="T82" s="414">
        <f t="shared" si="483"/>
        <v>0</v>
      </c>
      <c r="U82" s="414">
        <f t="shared" si="483"/>
        <v>0</v>
      </c>
      <c r="V82" s="414">
        <f t="shared" si="483"/>
        <v>0</v>
      </c>
      <c r="W82" s="415">
        <f t="shared" si="483"/>
        <v>0</v>
      </c>
      <c r="X82" s="416">
        <f t="shared" ref="X82:BG82" si="484">IF($F82&lt;(X$3+1),$K82/12,0)*IF($G82&gt;(X$3),1,0)*$I82</f>
        <v>0</v>
      </c>
      <c r="Y82" s="414">
        <f t="shared" si="484"/>
        <v>0</v>
      </c>
      <c r="Z82" s="414">
        <f t="shared" si="484"/>
        <v>0</v>
      </c>
      <c r="AA82" s="414">
        <f t="shared" si="484"/>
        <v>0</v>
      </c>
      <c r="AB82" s="414">
        <f t="shared" si="484"/>
        <v>0</v>
      </c>
      <c r="AC82" s="414">
        <f t="shared" si="484"/>
        <v>0</v>
      </c>
      <c r="AD82" s="414">
        <f t="shared" si="484"/>
        <v>0</v>
      </c>
      <c r="AE82" s="414">
        <f t="shared" si="484"/>
        <v>0</v>
      </c>
      <c r="AF82" s="414">
        <f t="shared" si="484"/>
        <v>0</v>
      </c>
      <c r="AG82" s="414">
        <f t="shared" si="484"/>
        <v>0</v>
      </c>
      <c r="AH82" s="414">
        <f t="shared" si="484"/>
        <v>0</v>
      </c>
      <c r="AI82" s="415">
        <f t="shared" si="484"/>
        <v>0</v>
      </c>
      <c r="AJ82" s="416">
        <f t="shared" si="484"/>
        <v>0</v>
      </c>
      <c r="AK82" s="414">
        <f t="shared" si="484"/>
        <v>0</v>
      </c>
      <c r="AL82" s="414">
        <f t="shared" si="484"/>
        <v>0</v>
      </c>
      <c r="AM82" s="414">
        <f t="shared" si="484"/>
        <v>0</v>
      </c>
      <c r="AN82" s="414">
        <f t="shared" si="484"/>
        <v>0</v>
      </c>
      <c r="AO82" s="414">
        <f t="shared" si="484"/>
        <v>0</v>
      </c>
      <c r="AP82" s="414">
        <f t="shared" si="484"/>
        <v>0</v>
      </c>
      <c r="AQ82" s="414">
        <f t="shared" si="484"/>
        <v>0</v>
      </c>
      <c r="AR82" s="414">
        <f t="shared" si="484"/>
        <v>0</v>
      </c>
      <c r="AS82" s="414">
        <f t="shared" si="484"/>
        <v>0</v>
      </c>
      <c r="AT82" s="414">
        <f t="shared" si="484"/>
        <v>0</v>
      </c>
      <c r="AU82" s="415">
        <f t="shared" si="484"/>
        <v>0</v>
      </c>
      <c r="AV82" s="416">
        <f t="shared" si="484"/>
        <v>0</v>
      </c>
      <c r="AW82" s="414">
        <f t="shared" si="484"/>
        <v>0</v>
      </c>
      <c r="AX82" s="414">
        <f t="shared" si="484"/>
        <v>0</v>
      </c>
      <c r="AY82" s="414">
        <f t="shared" si="484"/>
        <v>0</v>
      </c>
      <c r="AZ82" s="414">
        <f t="shared" si="484"/>
        <v>0</v>
      </c>
      <c r="BA82" s="414">
        <f t="shared" si="484"/>
        <v>0</v>
      </c>
      <c r="BB82" s="414">
        <f t="shared" si="484"/>
        <v>0</v>
      </c>
      <c r="BC82" s="414">
        <f t="shared" si="484"/>
        <v>0</v>
      </c>
      <c r="BD82" s="414">
        <f t="shared" si="484"/>
        <v>0</v>
      </c>
      <c r="BE82" s="414">
        <f t="shared" si="484"/>
        <v>0</v>
      </c>
      <c r="BF82" s="414">
        <f t="shared" si="484"/>
        <v>0</v>
      </c>
      <c r="BG82" s="415">
        <f t="shared" si="484"/>
        <v>0</v>
      </c>
      <c r="BH82" s="416">
        <f t="shared" ref="BH82:BS82" si="485">IF($F82&lt;(BH$3+1),$L82/12,0)*IF($G82&gt;(BH$3),1,0)*$I82</f>
        <v>0</v>
      </c>
      <c r="BI82" s="414">
        <f t="shared" si="485"/>
        <v>0</v>
      </c>
      <c r="BJ82" s="414">
        <f t="shared" si="485"/>
        <v>0</v>
      </c>
      <c r="BK82" s="414">
        <f t="shared" si="485"/>
        <v>0</v>
      </c>
      <c r="BL82" s="414">
        <f t="shared" si="485"/>
        <v>0</v>
      </c>
      <c r="BM82" s="414">
        <f t="shared" si="485"/>
        <v>0</v>
      </c>
      <c r="BN82" s="414">
        <f t="shared" si="485"/>
        <v>0</v>
      </c>
      <c r="BO82" s="414">
        <f t="shared" si="485"/>
        <v>0</v>
      </c>
      <c r="BP82" s="414">
        <f t="shared" si="485"/>
        <v>0</v>
      </c>
      <c r="BQ82" s="414">
        <f t="shared" si="485"/>
        <v>0</v>
      </c>
      <c r="BR82" s="414">
        <f t="shared" si="485"/>
        <v>0</v>
      </c>
      <c r="BS82" s="415">
        <f t="shared" si="485"/>
        <v>0</v>
      </c>
      <c r="BT82" s="416">
        <f t="shared" ref="BT82:CE82" si="486">IF($F82&lt;(BT$3+1),$M82/12,0)*IF($G82&gt;(BT$3),1,0)*$I82</f>
        <v>0</v>
      </c>
      <c r="BU82" s="414">
        <f t="shared" si="486"/>
        <v>0</v>
      </c>
      <c r="BV82" s="414">
        <f t="shared" si="486"/>
        <v>0</v>
      </c>
      <c r="BW82" s="414">
        <f t="shared" si="486"/>
        <v>0</v>
      </c>
      <c r="BX82" s="414">
        <f t="shared" si="486"/>
        <v>0</v>
      </c>
      <c r="BY82" s="414">
        <f t="shared" si="486"/>
        <v>0</v>
      </c>
      <c r="BZ82" s="414">
        <f t="shared" si="486"/>
        <v>0</v>
      </c>
      <c r="CA82" s="414">
        <f t="shared" si="486"/>
        <v>0</v>
      </c>
      <c r="CB82" s="414">
        <f t="shared" si="486"/>
        <v>0</v>
      </c>
      <c r="CC82" s="414">
        <f t="shared" si="486"/>
        <v>0</v>
      </c>
      <c r="CD82" s="414">
        <f t="shared" si="486"/>
        <v>0</v>
      </c>
      <c r="CE82" s="415">
        <f t="shared" si="486"/>
        <v>0</v>
      </c>
      <c r="CF82" s="416">
        <f t="shared" ref="CF82:CQ82" si="487">IF($F82&lt;(CF$3+1),$N82/12,0)*IF($G82&gt;(CF$3),1,0)*$I82</f>
        <v>0</v>
      </c>
      <c r="CG82" s="414">
        <f t="shared" si="487"/>
        <v>0</v>
      </c>
      <c r="CH82" s="414">
        <f t="shared" si="487"/>
        <v>0</v>
      </c>
      <c r="CI82" s="414">
        <f t="shared" si="487"/>
        <v>0</v>
      </c>
      <c r="CJ82" s="414">
        <f t="shared" si="487"/>
        <v>0</v>
      </c>
      <c r="CK82" s="414">
        <f t="shared" si="487"/>
        <v>0</v>
      </c>
      <c r="CL82" s="414">
        <f t="shared" si="487"/>
        <v>0</v>
      </c>
      <c r="CM82" s="414">
        <f t="shared" si="487"/>
        <v>0</v>
      </c>
      <c r="CN82" s="414">
        <f t="shared" si="487"/>
        <v>0</v>
      </c>
      <c r="CO82" s="414">
        <f t="shared" si="487"/>
        <v>0</v>
      </c>
      <c r="CP82" s="414">
        <f t="shared" si="487"/>
        <v>0</v>
      </c>
      <c r="CQ82" s="415">
        <f t="shared" si="487"/>
        <v>0</v>
      </c>
      <c r="CR82" s="407"/>
      <c r="CS82" s="407" t="e">
        <f t="shared" ca="1" si="463"/>
        <v>#NAME?</v>
      </c>
      <c r="CT82" s="407">
        <f t="shared" si="7"/>
        <v>0</v>
      </c>
      <c r="CU82" s="412">
        <f>'Annexe C  Plan produit'!$H$52</f>
        <v>46082</v>
      </c>
      <c r="CV82" s="412">
        <f>'Annexe C  Plan produit'!$I$54</f>
        <v>47090.5</v>
      </c>
    </row>
    <row r="83" spans="1:100" ht="15">
      <c r="A83" s="400" t="s">
        <v>270</v>
      </c>
      <c r="B83" s="401" t="s">
        <v>85</v>
      </c>
      <c r="C83" s="401" t="s">
        <v>317</v>
      </c>
      <c r="D83" s="4"/>
      <c r="E83" s="420"/>
      <c r="F83" s="421">
        <f>'Plan stratégique  likewatt'!G40+840</f>
        <v>48721</v>
      </c>
      <c r="G83" s="403">
        <v>51161</v>
      </c>
      <c r="H83" s="404"/>
      <c r="I83" s="417">
        <v>2</v>
      </c>
      <c r="J83" s="406">
        <v>100000</v>
      </c>
      <c r="K83" s="407">
        <f t="shared" ref="K83:O83" si="488">J83*(1+5%)</f>
        <v>105000</v>
      </c>
      <c r="L83" s="407">
        <f t="shared" si="488"/>
        <v>110250</v>
      </c>
      <c r="M83" s="407">
        <f t="shared" si="488"/>
        <v>115762.5</v>
      </c>
      <c r="N83" s="407">
        <f t="shared" si="488"/>
        <v>121550.625</v>
      </c>
      <c r="O83" s="407">
        <f t="shared" si="488"/>
        <v>127628.15625</v>
      </c>
      <c r="P83" s="408">
        <v>0.15</v>
      </c>
      <c r="Q83" s="414">
        <f t="shared" ref="Q83:W83" si="489">IF($F83&lt;(Q$3+1),$J83/12,0)*IF($G83&gt;(Q$3),1,0)*$I83</f>
        <v>0</v>
      </c>
      <c r="R83" s="414">
        <f t="shared" si="489"/>
        <v>0</v>
      </c>
      <c r="S83" s="414">
        <f t="shared" si="489"/>
        <v>0</v>
      </c>
      <c r="T83" s="414">
        <f t="shared" si="489"/>
        <v>0</v>
      </c>
      <c r="U83" s="414">
        <f t="shared" si="489"/>
        <v>0</v>
      </c>
      <c r="V83" s="414">
        <f t="shared" si="489"/>
        <v>0</v>
      </c>
      <c r="W83" s="415">
        <f t="shared" si="489"/>
        <v>0</v>
      </c>
      <c r="X83" s="416">
        <f t="shared" ref="X83:BG83" si="490">IF($F83&lt;(X$3+1),$K83/12,0)*IF($G83&gt;(X$3),1,0)*$I83</f>
        <v>0</v>
      </c>
      <c r="Y83" s="414">
        <f t="shared" si="490"/>
        <v>0</v>
      </c>
      <c r="Z83" s="414">
        <f t="shared" si="490"/>
        <v>0</v>
      </c>
      <c r="AA83" s="414">
        <f t="shared" si="490"/>
        <v>0</v>
      </c>
      <c r="AB83" s="414">
        <f t="shared" si="490"/>
        <v>0</v>
      </c>
      <c r="AC83" s="414">
        <f t="shared" si="490"/>
        <v>0</v>
      </c>
      <c r="AD83" s="414">
        <f t="shared" si="490"/>
        <v>0</v>
      </c>
      <c r="AE83" s="414">
        <f t="shared" si="490"/>
        <v>0</v>
      </c>
      <c r="AF83" s="414">
        <f t="shared" si="490"/>
        <v>0</v>
      </c>
      <c r="AG83" s="414">
        <f t="shared" si="490"/>
        <v>0</v>
      </c>
      <c r="AH83" s="414">
        <f t="shared" si="490"/>
        <v>0</v>
      </c>
      <c r="AI83" s="415">
        <f t="shared" si="490"/>
        <v>0</v>
      </c>
      <c r="AJ83" s="416">
        <f t="shared" si="490"/>
        <v>0</v>
      </c>
      <c r="AK83" s="414">
        <f t="shared" si="490"/>
        <v>0</v>
      </c>
      <c r="AL83" s="414">
        <f t="shared" si="490"/>
        <v>0</v>
      </c>
      <c r="AM83" s="414">
        <f t="shared" si="490"/>
        <v>0</v>
      </c>
      <c r="AN83" s="414">
        <f t="shared" si="490"/>
        <v>0</v>
      </c>
      <c r="AO83" s="414">
        <f t="shared" si="490"/>
        <v>0</v>
      </c>
      <c r="AP83" s="414">
        <f t="shared" si="490"/>
        <v>0</v>
      </c>
      <c r="AQ83" s="414">
        <f t="shared" si="490"/>
        <v>0</v>
      </c>
      <c r="AR83" s="414">
        <f t="shared" si="490"/>
        <v>0</v>
      </c>
      <c r="AS83" s="414">
        <f t="shared" si="490"/>
        <v>0</v>
      </c>
      <c r="AT83" s="414">
        <f t="shared" si="490"/>
        <v>0</v>
      </c>
      <c r="AU83" s="415">
        <f t="shared" si="490"/>
        <v>0</v>
      </c>
      <c r="AV83" s="416">
        <f t="shared" si="490"/>
        <v>0</v>
      </c>
      <c r="AW83" s="414">
        <f t="shared" si="490"/>
        <v>0</v>
      </c>
      <c r="AX83" s="414">
        <f t="shared" si="490"/>
        <v>0</v>
      </c>
      <c r="AY83" s="414">
        <f t="shared" si="490"/>
        <v>0</v>
      </c>
      <c r="AZ83" s="414">
        <f t="shared" si="490"/>
        <v>0</v>
      </c>
      <c r="BA83" s="414">
        <f t="shared" si="490"/>
        <v>0</v>
      </c>
      <c r="BB83" s="414">
        <f t="shared" si="490"/>
        <v>0</v>
      </c>
      <c r="BC83" s="414">
        <f t="shared" si="490"/>
        <v>0</v>
      </c>
      <c r="BD83" s="414">
        <f t="shared" si="490"/>
        <v>0</v>
      </c>
      <c r="BE83" s="414">
        <f t="shared" si="490"/>
        <v>0</v>
      </c>
      <c r="BF83" s="414">
        <f t="shared" si="490"/>
        <v>0</v>
      </c>
      <c r="BG83" s="415">
        <f t="shared" si="490"/>
        <v>0</v>
      </c>
      <c r="BH83" s="416">
        <f t="shared" ref="BH83:BS83" si="491">IF($F83&lt;(BH$3+1),$L83/12,0)*IF($G83&gt;(BH$3),1,0)*$I83</f>
        <v>0</v>
      </c>
      <c r="BI83" s="414">
        <f t="shared" si="491"/>
        <v>0</v>
      </c>
      <c r="BJ83" s="414">
        <f t="shared" si="491"/>
        <v>0</v>
      </c>
      <c r="BK83" s="414">
        <f t="shared" si="491"/>
        <v>0</v>
      </c>
      <c r="BL83" s="414">
        <f t="shared" si="491"/>
        <v>0</v>
      </c>
      <c r="BM83" s="414">
        <f t="shared" si="491"/>
        <v>0</v>
      </c>
      <c r="BN83" s="414">
        <f t="shared" si="491"/>
        <v>0</v>
      </c>
      <c r="BO83" s="414">
        <f t="shared" si="491"/>
        <v>0</v>
      </c>
      <c r="BP83" s="414">
        <f t="shared" si="491"/>
        <v>0</v>
      </c>
      <c r="BQ83" s="414">
        <f t="shared" si="491"/>
        <v>0</v>
      </c>
      <c r="BR83" s="414">
        <f t="shared" si="491"/>
        <v>0</v>
      </c>
      <c r="BS83" s="415">
        <f t="shared" si="491"/>
        <v>0</v>
      </c>
      <c r="BT83" s="416">
        <f t="shared" ref="BT83:CE83" si="492">IF($F83&lt;(BT$3+1),$M83/12,0)*IF($G83&gt;(BT$3),1,0)*$I83</f>
        <v>0</v>
      </c>
      <c r="BU83" s="414">
        <f t="shared" si="492"/>
        <v>0</v>
      </c>
      <c r="BV83" s="414">
        <f t="shared" si="492"/>
        <v>0</v>
      </c>
      <c r="BW83" s="414">
        <f t="shared" si="492"/>
        <v>0</v>
      </c>
      <c r="BX83" s="414">
        <f t="shared" si="492"/>
        <v>0</v>
      </c>
      <c r="BY83" s="414">
        <f t="shared" si="492"/>
        <v>0</v>
      </c>
      <c r="BZ83" s="414">
        <f t="shared" si="492"/>
        <v>0</v>
      </c>
      <c r="CA83" s="414">
        <f t="shared" si="492"/>
        <v>0</v>
      </c>
      <c r="CB83" s="414">
        <f t="shared" si="492"/>
        <v>0</v>
      </c>
      <c r="CC83" s="414">
        <f t="shared" si="492"/>
        <v>0</v>
      </c>
      <c r="CD83" s="414">
        <f t="shared" si="492"/>
        <v>0</v>
      </c>
      <c r="CE83" s="415">
        <f t="shared" si="492"/>
        <v>0</v>
      </c>
      <c r="CF83" s="416">
        <f t="shared" ref="CF83:CQ83" si="493">IF($F83&lt;(CF$3+1),$N83/12,0)*IF($G83&gt;(CF$3),1,0)*$I83</f>
        <v>0</v>
      </c>
      <c r="CG83" s="414">
        <f t="shared" si="493"/>
        <v>0</v>
      </c>
      <c r="CH83" s="414">
        <f t="shared" si="493"/>
        <v>0</v>
      </c>
      <c r="CI83" s="414">
        <f t="shared" si="493"/>
        <v>0</v>
      </c>
      <c r="CJ83" s="414">
        <f t="shared" si="493"/>
        <v>0</v>
      </c>
      <c r="CK83" s="414">
        <f t="shared" si="493"/>
        <v>0</v>
      </c>
      <c r="CL83" s="414">
        <f t="shared" si="493"/>
        <v>0</v>
      </c>
      <c r="CM83" s="414">
        <f t="shared" si="493"/>
        <v>0</v>
      </c>
      <c r="CN83" s="414">
        <f t="shared" si="493"/>
        <v>0</v>
      </c>
      <c r="CO83" s="414">
        <f t="shared" si="493"/>
        <v>0</v>
      </c>
      <c r="CP83" s="414">
        <f t="shared" si="493"/>
        <v>0</v>
      </c>
      <c r="CQ83" s="415">
        <f t="shared" si="493"/>
        <v>0</v>
      </c>
      <c r="CR83" s="407"/>
      <c r="CS83" s="407" t="e">
        <f t="shared" ca="1" si="463"/>
        <v>#NAME?</v>
      </c>
      <c r="CT83" s="407">
        <f t="shared" si="7"/>
        <v>0</v>
      </c>
      <c r="CU83" s="412">
        <f>'Annexe C  Plan produit'!$H$52</f>
        <v>46082</v>
      </c>
      <c r="CV83" s="412">
        <f>'Annexe C  Plan produit'!$I$54</f>
        <v>47090.5</v>
      </c>
    </row>
    <row r="84" spans="1:100" ht="15">
      <c r="A84" s="400" t="s">
        <v>276</v>
      </c>
      <c r="B84" s="401" t="s">
        <v>87</v>
      </c>
      <c r="C84" s="11" t="s">
        <v>330</v>
      </c>
      <c r="D84" s="4"/>
      <c r="E84" s="420"/>
      <c r="F84" s="421">
        <f>'Plan stratégique  likewatt'!G42+60</f>
        <v>48673</v>
      </c>
      <c r="G84" s="403">
        <v>51161</v>
      </c>
      <c r="H84" s="404"/>
      <c r="I84" s="417">
        <v>2</v>
      </c>
      <c r="J84" s="406">
        <v>30000</v>
      </c>
      <c r="K84" s="407">
        <f t="shared" ref="K84:O84" si="494">J84*(1+5%)</f>
        <v>31500</v>
      </c>
      <c r="L84" s="407">
        <f t="shared" si="494"/>
        <v>33075</v>
      </c>
      <c r="M84" s="407">
        <f t="shared" si="494"/>
        <v>34728.75</v>
      </c>
      <c r="N84" s="407">
        <f t="shared" si="494"/>
        <v>36465.1875</v>
      </c>
      <c r="O84" s="407">
        <f t="shared" si="494"/>
        <v>38288.446875000001</v>
      </c>
      <c r="P84" s="408">
        <v>0.15</v>
      </c>
      <c r="Q84" s="414">
        <f t="shared" ref="Q84:W84" si="495">IF($F84&lt;(Q$3+1),$J84/12,0)*IF($G84&gt;(Q$3),1,0)*$I84</f>
        <v>0</v>
      </c>
      <c r="R84" s="414">
        <f t="shared" si="495"/>
        <v>0</v>
      </c>
      <c r="S84" s="414">
        <f t="shared" si="495"/>
        <v>0</v>
      </c>
      <c r="T84" s="414">
        <f t="shared" si="495"/>
        <v>0</v>
      </c>
      <c r="U84" s="414">
        <f t="shared" si="495"/>
        <v>0</v>
      </c>
      <c r="V84" s="414">
        <f t="shared" si="495"/>
        <v>0</v>
      </c>
      <c r="W84" s="415">
        <f t="shared" si="495"/>
        <v>0</v>
      </c>
      <c r="X84" s="416">
        <f t="shared" ref="X84:BG84" si="496">IF($F84&lt;(X$3+1),$K84/12,0)*IF($G84&gt;(X$3),1,0)*$I84</f>
        <v>0</v>
      </c>
      <c r="Y84" s="414">
        <f t="shared" si="496"/>
        <v>0</v>
      </c>
      <c r="Z84" s="414">
        <f t="shared" si="496"/>
        <v>0</v>
      </c>
      <c r="AA84" s="414">
        <f t="shared" si="496"/>
        <v>0</v>
      </c>
      <c r="AB84" s="414">
        <f t="shared" si="496"/>
        <v>0</v>
      </c>
      <c r="AC84" s="414">
        <f t="shared" si="496"/>
        <v>0</v>
      </c>
      <c r="AD84" s="414">
        <f t="shared" si="496"/>
        <v>0</v>
      </c>
      <c r="AE84" s="414">
        <f t="shared" si="496"/>
        <v>0</v>
      </c>
      <c r="AF84" s="414">
        <f t="shared" si="496"/>
        <v>0</v>
      </c>
      <c r="AG84" s="414">
        <f t="shared" si="496"/>
        <v>0</v>
      </c>
      <c r="AH84" s="414">
        <f t="shared" si="496"/>
        <v>0</v>
      </c>
      <c r="AI84" s="415">
        <f t="shared" si="496"/>
        <v>0</v>
      </c>
      <c r="AJ84" s="416">
        <f t="shared" si="496"/>
        <v>0</v>
      </c>
      <c r="AK84" s="414">
        <f t="shared" si="496"/>
        <v>0</v>
      </c>
      <c r="AL84" s="414">
        <f t="shared" si="496"/>
        <v>0</v>
      </c>
      <c r="AM84" s="414">
        <f t="shared" si="496"/>
        <v>0</v>
      </c>
      <c r="AN84" s="414">
        <f t="shared" si="496"/>
        <v>0</v>
      </c>
      <c r="AO84" s="414">
        <f t="shared" si="496"/>
        <v>0</v>
      </c>
      <c r="AP84" s="414">
        <f t="shared" si="496"/>
        <v>0</v>
      </c>
      <c r="AQ84" s="414">
        <f t="shared" si="496"/>
        <v>0</v>
      </c>
      <c r="AR84" s="414">
        <f t="shared" si="496"/>
        <v>0</v>
      </c>
      <c r="AS84" s="414">
        <f t="shared" si="496"/>
        <v>0</v>
      </c>
      <c r="AT84" s="414">
        <f t="shared" si="496"/>
        <v>0</v>
      </c>
      <c r="AU84" s="415">
        <f t="shared" si="496"/>
        <v>0</v>
      </c>
      <c r="AV84" s="416">
        <f t="shared" si="496"/>
        <v>0</v>
      </c>
      <c r="AW84" s="414">
        <f t="shared" si="496"/>
        <v>0</v>
      </c>
      <c r="AX84" s="414">
        <f t="shared" si="496"/>
        <v>0</v>
      </c>
      <c r="AY84" s="414">
        <f t="shared" si="496"/>
        <v>0</v>
      </c>
      <c r="AZ84" s="414">
        <f t="shared" si="496"/>
        <v>0</v>
      </c>
      <c r="BA84" s="414">
        <f t="shared" si="496"/>
        <v>0</v>
      </c>
      <c r="BB84" s="414">
        <f t="shared" si="496"/>
        <v>0</v>
      </c>
      <c r="BC84" s="414">
        <f t="shared" si="496"/>
        <v>0</v>
      </c>
      <c r="BD84" s="414">
        <f t="shared" si="496"/>
        <v>0</v>
      </c>
      <c r="BE84" s="414">
        <f t="shared" si="496"/>
        <v>0</v>
      </c>
      <c r="BF84" s="414">
        <f t="shared" si="496"/>
        <v>0</v>
      </c>
      <c r="BG84" s="415">
        <f t="shared" si="496"/>
        <v>0</v>
      </c>
      <c r="BH84" s="416">
        <f t="shared" ref="BH84:BS84" si="497">IF($F84&lt;(BH$3+1),$L84/12,0)*IF($G84&gt;(BH$3),1,0)*$I84</f>
        <v>0</v>
      </c>
      <c r="BI84" s="414">
        <f t="shared" si="497"/>
        <v>0</v>
      </c>
      <c r="BJ84" s="414">
        <f t="shared" si="497"/>
        <v>0</v>
      </c>
      <c r="BK84" s="414">
        <f t="shared" si="497"/>
        <v>0</v>
      </c>
      <c r="BL84" s="414">
        <f t="shared" si="497"/>
        <v>0</v>
      </c>
      <c r="BM84" s="414">
        <f t="shared" si="497"/>
        <v>0</v>
      </c>
      <c r="BN84" s="414">
        <f t="shared" si="497"/>
        <v>0</v>
      </c>
      <c r="BO84" s="414">
        <f t="shared" si="497"/>
        <v>0</v>
      </c>
      <c r="BP84" s="414">
        <f t="shared" si="497"/>
        <v>0</v>
      </c>
      <c r="BQ84" s="414">
        <f t="shared" si="497"/>
        <v>0</v>
      </c>
      <c r="BR84" s="414">
        <f t="shared" si="497"/>
        <v>0</v>
      </c>
      <c r="BS84" s="415">
        <f t="shared" si="497"/>
        <v>0</v>
      </c>
      <c r="BT84" s="416">
        <f t="shared" ref="BT84:CE84" si="498">IF($F84&lt;(BT$3+1),$M84/12,0)*IF($G84&gt;(BT$3),1,0)*$I84</f>
        <v>0</v>
      </c>
      <c r="BU84" s="414">
        <f t="shared" si="498"/>
        <v>0</v>
      </c>
      <c r="BV84" s="414">
        <f t="shared" si="498"/>
        <v>0</v>
      </c>
      <c r="BW84" s="414">
        <f t="shared" si="498"/>
        <v>0</v>
      </c>
      <c r="BX84" s="414">
        <f t="shared" si="498"/>
        <v>0</v>
      </c>
      <c r="BY84" s="414">
        <f t="shared" si="498"/>
        <v>0</v>
      </c>
      <c r="BZ84" s="414">
        <f t="shared" si="498"/>
        <v>0</v>
      </c>
      <c r="CA84" s="414">
        <f t="shared" si="498"/>
        <v>0</v>
      </c>
      <c r="CB84" s="414">
        <f t="shared" si="498"/>
        <v>0</v>
      </c>
      <c r="CC84" s="414">
        <f t="shared" si="498"/>
        <v>0</v>
      </c>
      <c r="CD84" s="414">
        <f t="shared" si="498"/>
        <v>0</v>
      </c>
      <c r="CE84" s="415">
        <f t="shared" si="498"/>
        <v>0</v>
      </c>
      <c r="CF84" s="416">
        <f t="shared" ref="CF84:CQ84" si="499">IF($F84&lt;(CF$3+1),$N84/12,0)*IF($G84&gt;(CF$3),1,0)*$I84</f>
        <v>0</v>
      </c>
      <c r="CG84" s="414">
        <f t="shared" si="499"/>
        <v>0</v>
      </c>
      <c r="CH84" s="414">
        <f t="shared" si="499"/>
        <v>0</v>
      </c>
      <c r="CI84" s="414">
        <f t="shared" si="499"/>
        <v>0</v>
      </c>
      <c r="CJ84" s="414">
        <f t="shared" si="499"/>
        <v>0</v>
      </c>
      <c r="CK84" s="414">
        <f t="shared" si="499"/>
        <v>0</v>
      </c>
      <c r="CL84" s="414">
        <f t="shared" si="499"/>
        <v>0</v>
      </c>
      <c r="CM84" s="414">
        <f t="shared" si="499"/>
        <v>0</v>
      </c>
      <c r="CN84" s="414">
        <f t="shared" si="499"/>
        <v>0</v>
      </c>
      <c r="CO84" s="414">
        <f t="shared" si="499"/>
        <v>0</v>
      </c>
      <c r="CP84" s="414">
        <f t="shared" si="499"/>
        <v>0</v>
      </c>
      <c r="CQ84" s="415">
        <f t="shared" si="499"/>
        <v>0</v>
      </c>
      <c r="CR84" s="407"/>
      <c r="CS84" s="407"/>
      <c r="CT84" s="407">
        <f t="shared" si="7"/>
        <v>0</v>
      </c>
      <c r="CU84" s="412">
        <f>'Annexe C  Plan produit'!$H$52</f>
        <v>46082</v>
      </c>
      <c r="CV84" s="412">
        <f>'Annexe C  Plan produit'!$I$54</f>
        <v>47090.5</v>
      </c>
    </row>
    <row r="85" spans="1:100" ht="15">
      <c r="A85" s="400" t="s">
        <v>270</v>
      </c>
      <c r="B85" s="401" t="s">
        <v>84</v>
      </c>
      <c r="C85" s="11" t="s">
        <v>325</v>
      </c>
      <c r="D85" s="4"/>
      <c r="E85" s="420"/>
      <c r="F85" s="421">
        <f>'Plan stratégique  likewatt'!G39+460+1000</f>
        <v>48975</v>
      </c>
      <c r="G85" s="403">
        <v>51161</v>
      </c>
      <c r="H85" s="404"/>
      <c r="I85" s="417">
        <v>1</v>
      </c>
      <c r="J85" s="406">
        <v>35000</v>
      </c>
      <c r="K85" s="407">
        <f t="shared" ref="K85:O85" si="500">J85*(1+5%)</f>
        <v>36750</v>
      </c>
      <c r="L85" s="407">
        <f t="shared" si="500"/>
        <v>38587.5</v>
      </c>
      <c r="M85" s="407">
        <f t="shared" si="500"/>
        <v>40516.875</v>
      </c>
      <c r="N85" s="407">
        <f t="shared" si="500"/>
        <v>42542.71875</v>
      </c>
      <c r="O85" s="407">
        <f t="shared" si="500"/>
        <v>44669.854687500003</v>
      </c>
      <c r="P85" s="408">
        <v>0.15</v>
      </c>
      <c r="Q85" s="423">
        <f t="shared" ref="Q85:W85" si="501">IF($F85&lt;(Q$3+1),$J85/12,0)*IF($G85&gt;(Q$3),1,0)*$I85</f>
        <v>0</v>
      </c>
      <c r="R85" s="423">
        <f t="shared" si="501"/>
        <v>0</v>
      </c>
      <c r="S85" s="423">
        <f t="shared" si="501"/>
        <v>0</v>
      </c>
      <c r="T85" s="423">
        <f t="shared" si="501"/>
        <v>0</v>
      </c>
      <c r="U85" s="423">
        <f t="shared" si="501"/>
        <v>0</v>
      </c>
      <c r="V85" s="423">
        <f t="shared" si="501"/>
        <v>0</v>
      </c>
      <c r="W85" s="424">
        <f t="shared" si="501"/>
        <v>0</v>
      </c>
      <c r="X85" s="425">
        <f t="shared" ref="X85:BG85" si="502">IF($F85&lt;(X$3+1),$K85/12,0)*IF($G85&gt;(X$3),1,0)*$I85</f>
        <v>0</v>
      </c>
      <c r="Y85" s="423">
        <f t="shared" si="502"/>
        <v>0</v>
      </c>
      <c r="Z85" s="423">
        <f t="shared" si="502"/>
        <v>0</v>
      </c>
      <c r="AA85" s="423">
        <f t="shared" si="502"/>
        <v>0</v>
      </c>
      <c r="AB85" s="423">
        <f t="shared" si="502"/>
        <v>0</v>
      </c>
      <c r="AC85" s="423">
        <f t="shared" si="502"/>
        <v>0</v>
      </c>
      <c r="AD85" s="423">
        <f t="shared" si="502"/>
        <v>0</v>
      </c>
      <c r="AE85" s="423">
        <f t="shared" si="502"/>
        <v>0</v>
      </c>
      <c r="AF85" s="423">
        <f t="shared" si="502"/>
        <v>0</v>
      </c>
      <c r="AG85" s="423">
        <f t="shared" si="502"/>
        <v>0</v>
      </c>
      <c r="AH85" s="423">
        <f t="shared" si="502"/>
        <v>0</v>
      </c>
      <c r="AI85" s="424">
        <f t="shared" si="502"/>
        <v>0</v>
      </c>
      <c r="AJ85" s="425">
        <f t="shared" si="502"/>
        <v>0</v>
      </c>
      <c r="AK85" s="423">
        <f t="shared" si="502"/>
        <v>0</v>
      </c>
      <c r="AL85" s="423">
        <f t="shared" si="502"/>
        <v>0</v>
      </c>
      <c r="AM85" s="423">
        <f t="shared" si="502"/>
        <v>0</v>
      </c>
      <c r="AN85" s="423">
        <f t="shared" si="502"/>
        <v>0</v>
      </c>
      <c r="AO85" s="423">
        <f t="shared" si="502"/>
        <v>0</v>
      </c>
      <c r="AP85" s="423">
        <f t="shared" si="502"/>
        <v>0</v>
      </c>
      <c r="AQ85" s="423">
        <f t="shared" si="502"/>
        <v>0</v>
      </c>
      <c r="AR85" s="423">
        <f t="shared" si="502"/>
        <v>0</v>
      </c>
      <c r="AS85" s="423">
        <f t="shared" si="502"/>
        <v>0</v>
      </c>
      <c r="AT85" s="423">
        <f t="shared" si="502"/>
        <v>0</v>
      </c>
      <c r="AU85" s="424">
        <f t="shared" si="502"/>
        <v>0</v>
      </c>
      <c r="AV85" s="425">
        <f t="shared" si="502"/>
        <v>0</v>
      </c>
      <c r="AW85" s="423">
        <f t="shared" si="502"/>
        <v>0</v>
      </c>
      <c r="AX85" s="423">
        <f t="shared" si="502"/>
        <v>0</v>
      </c>
      <c r="AY85" s="423">
        <f t="shared" si="502"/>
        <v>0</v>
      </c>
      <c r="AZ85" s="423">
        <f t="shared" si="502"/>
        <v>0</v>
      </c>
      <c r="BA85" s="423">
        <f t="shared" si="502"/>
        <v>0</v>
      </c>
      <c r="BB85" s="423">
        <f t="shared" si="502"/>
        <v>0</v>
      </c>
      <c r="BC85" s="423">
        <f t="shared" si="502"/>
        <v>0</v>
      </c>
      <c r="BD85" s="423">
        <f t="shared" si="502"/>
        <v>0</v>
      </c>
      <c r="BE85" s="423">
        <f t="shared" si="502"/>
        <v>0</v>
      </c>
      <c r="BF85" s="423">
        <f t="shared" si="502"/>
        <v>0</v>
      </c>
      <c r="BG85" s="424">
        <f t="shared" si="502"/>
        <v>0</v>
      </c>
      <c r="BH85" s="425">
        <f t="shared" ref="BH85:BS85" si="503">IF($F85&lt;(BH$3+1),$L85/12,0)*IF($G85&gt;(BH$3),1,0)*$I85</f>
        <v>0</v>
      </c>
      <c r="BI85" s="423">
        <f t="shared" si="503"/>
        <v>0</v>
      </c>
      <c r="BJ85" s="423">
        <f t="shared" si="503"/>
        <v>0</v>
      </c>
      <c r="BK85" s="423">
        <f t="shared" si="503"/>
        <v>0</v>
      </c>
      <c r="BL85" s="423">
        <f t="shared" si="503"/>
        <v>0</v>
      </c>
      <c r="BM85" s="423">
        <f t="shared" si="503"/>
        <v>0</v>
      </c>
      <c r="BN85" s="423">
        <f t="shared" si="503"/>
        <v>0</v>
      </c>
      <c r="BO85" s="423">
        <f t="shared" si="503"/>
        <v>0</v>
      </c>
      <c r="BP85" s="423">
        <f t="shared" si="503"/>
        <v>0</v>
      </c>
      <c r="BQ85" s="423">
        <f t="shared" si="503"/>
        <v>0</v>
      </c>
      <c r="BR85" s="423">
        <f t="shared" si="503"/>
        <v>0</v>
      </c>
      <c r="BS85" s="424">
        <f t="shared" si="503"/>
        <v>0</v>
      </c>
      <c r="BT85" s="425">
        <f t="shared" ref="BT85:CE85" si="504">IF($F85&lt;(BT$3+1),$M85/12,0)*IF($G85&gt;(BT$3),1,0)*$I85</f>
        <v>0</v>
      </c>
      <c r="BU85" s="423">
        <f t="shared" si="504"/>
        <v>0</v>
      </c>
      <c r="BV85" s="423">
        <f t="shared" si="504"/>
        <v>0</v>
      </c>
      <c r="BW85" s="423">
        <f t="shared" si="504"/>
        <v>0</v>
      </c>
      <c r="BX85" s="423">
        <f t="shared" si="504"/>
        <v>0</v>
      </c>
      <c r="BY85" s="423">
        <f t="shared" si="504"/>
        <v>0</v>
      </c>
      <c r="BZ85" s="423">
        <f t="shared" si="504"/>
        <v>0</v>
      </c>
      <c r="CA85" s="423">
        <f t="shared" si="504"/>
        <v>0</v>
      </c>
      <c r="CB85" s="423">
        <f t="shared" si="504"/>
        <v>0</v>
      </c>
      <c r="CC85" s="423">
        <f t="shared" si="504"/>
        <v>0</v>
      </c>
      <c r="CD85" s="423">
        <f t="shared" si="504"/>
        <v>0</v>
      </c>
      <c r="CE85" s="424">
        <f t="shared" si="504"/>
        <v>0</v>
      </c>
      <c r="CF85" s="425">
        <f t="shared" ref="CF85:CQ85" si="505">IF($F85&lt;(CF$3+1),$N85/12,0)*IF($G85&gt;(CF$3),1,0)*$I85</f>
        <v>0</v>
      </c>
      <c r="CG85" s="423">
        <f t="shared" si="505"/>
        <v>0</v>
      </c>
      <c r="CH85" s="423">
        <f t="shared" si="505"/>
        <v>0</v>
      </c>
      <c r="CI85" s="423">
        <f t="shared" si="505"/>
        <v>0</v>
      </c>
      <c r="CJ85" s="423">
        <f t="shared" si="505"/>
        <v>0</v>
      </c>
      <c r="CK85" s="423">
        <f t="shared" si="505"/>
        <v>0</v>
      </c>
      <c r="CL85" s="423">
        <f t="shared" si="505"/>
        <v>0</v>
      </c>
      <c r="CM85" s="423">
        <f t="shared" si="505"/>
        <v>0</v>
      </c>
      <c r="CN85" s="423">
        <f t="shared" si="505"/>
        <v>0</v>
      </c>
      <c r="CO85" s="423">
        <f t="shared" si="505"/>
        <v>0</v>
      </c>
      <c r="CP85" s="423">
        <f t="shared" si="505"/>
        <v>0</v>
      </c>
      <c r="CQ85" s="424">
        <f t="shared" si="505"/>
        <v>0</v>
      </c>
      <c r="CR85" s="407"/>
      <c r="CS85" s="407" t="e">
        <f ca="1">SUM($Q88:$CQ88)*(1+_xludf.IFS(B85="FR",$C$99,B85="ES",$D$99,B85="CH",$E$99,B85="BE",$F$99,B85="DE",$G$99))</f>
        <v>#NAME?</v>
      </c>
      <c r="CT85" s="407">
        <f t="shared" si="7"/>
        <v>0</v>
      </c>
      <c r="CU85" s="412">
        <f>'Annexe C  Plan produit'!$H$52</f>
        <v>46082</v>
      </c>
      <c r="CV85" s="412">
        <f>'Annexe C  Plan produit'!$I$54</f>
        <v>47090.5</v>
      </c>
    </row>
    <row r="86" spans="1:100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</row>
    <row r="87" spans="1:100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</row>
    <row r="88" spans="1:100" ht="15.75" customHeight="1">
      <c r="A88" s="426"/>
      <c r="B88" s="426"/>
      <c r="C88" s="426"/>
      <c r="D88" s="426"/>
      <c r="E88" s="426"/>
      <c r="F88" s="426"/>
      <c r="G88" s="426"/>
      <c r="H88" s="426"/>
      <c r="I88" s="426"/>
      <c r="J88" s="426"/>
      <c r="K88" s="426"/>
      <c r="L88" s="426"/>
      <c r="M88" s="426"/>
      <c r="N88" s="426"/>
      <c r="O88" s="426"/>
      <c r="P88" s="426"/>
      <c r="Q88" s="426"/>
      <c r="R88" s="426"/>
      <c r="S88" s="426"/>
      <c r="T88" s="426"/>
      <c r="U88" s="426"/>
      <c r="V88" s="426"/>
      <c r="W88" s="426"/>
      <c r="X88" s="426"/>
      <c r="Y88" s="426"/>
      <c r="Z88" s="426"/>
      <c r="AA88" s="426"/>
      <c r="AB88" s="426"/>
      <c r="AC88" s="426"/>
      <c r="AD88" s="426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</row>
    <row r="89" spans="1:100" ht="16">
      <c r="A89" s="4"/>
      <c r="B89" s="4"/>
      <c r="C89" s="4"/>
      <c r="D89" s="4"/>
      <c r="E89" s="4"/>
      <c r="F89" s="4"/>
      <c r="G89" s="4"/>
      <c r="H89" s="4"/>
      <c r="I89" s="4"/>
      <c r="J89" s="4"/>
      <c r="K89" s="427" t="s">
        <v>331</v>
      </c>
      <c r="L89" s="428"/>
      <c r="M89" s="428"/>
      <c r="N89" s="428"/>
      <c r="O89" s="428"/>
      <c r="P89" s="428"/>
      <c r="Q89" s="429">
        <f t="shared" ref="Q89:CQ89" si="506">SUM(Q4:Q85)</f>
        <v>39433.333333333328</v>
      </c>
      <c r="R89" s="429">
        <f t="shared" si="506"/>
        <v>42433.333333333328</v>
      </c>
      <c r="S89" s="429">
        <f t="shared" si="506"/>
        <v>41183.333333333328</v>
      </c>
      <c r="T89" s="429">
        <f t="shared" si="506"/>
        <v>41183.333333333328</v>
      </c>
      <c r="U89" s="429">
        <f t="shared" si="506"/>
        <v>44266.666666666664</v>
      </c>
      <c r="V89" s="429">
        <f t="shared" si="506"/>
        <v>44266.666666666664</v>
      </c>
      <c r="W89" s="429">
        <f t="shared" si="506"/>
        <v>38100</v>
      </c>
      <c r="X89" s="429">
        <f t="shared" si="506"/>
        <v>43067.5</v>
      </c>
      <c r="Y89" s="429">
        <f t="shared" si="506"/>
        <v>41755</v>
      </c>
      <c r="Z89" s="429">
        <f t="shared" si="506"/>
        <v>46130</v>
      </c>
      <c r="AA89" s="429">
        <f t="shared" si="506"/>
        <v>46130</v>
      </c>
      <c r="AB89" s="429">
        <f t="shared" si="506"/>
        <v>46130</v>
      </c>
      <c r="AC89" s="429">
        <f t="shared" si="506"/>
        <v>46130</v>
      </c>
      <c r="AD89" s="429">
        <f t="shared" si="506"/>
        <v>57505</v>
      </c>
      <c r="AE89" s="429">
        <f t="shared" si="506"/>
        <v>57505</v>
      </c>
      <c r="AF89" s="429">
        <f t="shared" si="506"/>
        <v>57505</v>
      </c>
      <c r="AG89" s="429">
        <f t="shared" si="506"/>
        <v>57505</v>
      </c>
      <c r="AH89" s="429">
        <f t="shared" si="506"/>
        <v>57505</v>
      </c>
      <c r="AI89" s="429">
        <f t="shared" si="506"/>
        <v>57505</v>
      </c>
      <c r="AJ89" s="429">
        <f t="shared" si="506"/>
        <v>57505</v>
      </c>
      <c r="AK89" s="429">
        <f t="shared" si="506"/>
        <v>57505</v>
      </c>
      <c r="AL89" s="429">
        <f t="shared" si="506"/>
        <v>57505</v>
      </c>
      <c r="AM89" s="429">
        <f t="shared" si="506"/>
        <v>57505</v>
      </c>
      <c r="AN89" s="429">
        <f t="shared" si="506"/>
        <v>57505</v>
      </c>
      <c r="AO89" s="429">
        <f t="shared" si="506"/>
        <v>57505</v>
      </c>
      <c r="AP89" s="429">
        <f t="shared" si="506"/>
        <v>57505</v>
      </c>
      <c r="AQ89" s="429">
        <f t="shared" si="506"/>
        <v>57505</v>
      </c>
      <c r="AR89" s="429">
        <f t="shared" si="506"/>
        <v>57505</v>
      </c>
      <c r="AS89" s="429">
        <f t="shared" si="506"/>
        <v>57505</v>
      </c>
      <c r="AT89" s="429">
        <f t="shared" si="506"/>
        <v>57505</v>
      </c>
      <c r="AU89" s="429">
        <f t="shared" si="506"/>
        <v>57505</v>
      </c>
      <c r="AV89" s="429">
        <f t="shared" si="506"/>
        <v>57505</v>
      </c>
      <c r="AW89" s="429">
        <f t="shared" si="506"/>
        <v>57505</v>
      </c>
      <c r="AX89" s="429">
        <f t="shared" si="506"/>
        <v>57505</v>
      </c>
      <c r="AY89" s="429">
        <f t="shared" si="506"/>
        <v>57505</v>
      </c>
      <c r="AZ89" s="429">
        <f t="shared" si="506"/>
        <v>57505</v>
      </c>
      <c r="BA89" s="429">
        <f t="shared" si="506"/>
        <v>57505</v>
      </c>
      <c r="BB89" s="429">
        <f t="shared" si="506"/>
        <v>57505</v>
      </c>
      <c r="BC89" s="429">
        <f t="shared" si="506"/>
        <v>57505</v>
      </c>
      <c r="BD89" s="429">
        <f t="shared" si="506"/>
        <v>57505</v>
      </c>
      <c r="BE89" s="429">
        <f t="shared" si="506"/>
        <v>57505</v>
      </c>
      <c r="BF89" s="429">
        <f t="shared" si="506"/>
        <v>57505</v>
      </c>
      <c r="BG89" s="429">
        <f t="shared" si="506"/>
        <v>57505</v>
      </c>
      <c r="BH89" s="429">
        <f t="shared" si="506"/>
        <v>60380.25</v>
      </c>
      <c r="BI89" s="429">
        <f t="shared" si="506"/>
        <v>60380.25</v>
      </c>
      <c r="BJ89" s="429">
        <f t="shared" si="506"/>
        <v>60380.25</v>
      </c>
      <c r="BK89" s="429">
        <f t="shared" si="506"/>
        <v>60380.25</v>
      </c>
      <c r="BL89" s="429">
        <f t="shared" si="506"/>
        <v>60380.25</v>
      </c>
      <c r="BM89" s="429">
        <f t="shared" si="506"/>
        <v>60380.25</v>
      </c>
      <c r="BN89" s="429">
        <f t="shared" si="506"/>
        <v>60380.25</v>
      </c>
      <c r="BO89" s="429">
        <f t="shared" si="506"/>
        <v>60380.25</v>
      </c>
      <c r="BP89" s="429">
        <f t="shared" si="506"/>
        <v>64974</v>
      </c>
      <c r="BQ89" s="429">
        <f t="shared" si="506"/>
        <v>69567.75</v>
      </c>
      <c r="BR89" s="429">
        <f t="shared" si="506"/>
        <v>74161.5</v>
      </c>
      <c r="BS89" s="429">
        <f t="shared" si="506"/>
        <v>74161.5</v>
      </c>
      <c r="BT89" s="429">
        <f t="shared" si="506"/>
        <v>77869.574999999997</v>
      </c>
      <c r="BU89" s="429">
        <f t="shared" si="506"/>
        <v>108257.23125</v>
      </c>
      <c r="BV89" s="429">
        <f t="shared" si="506"/>
        <v>108257.23125</v>
      </c>
      <c r="BW89" s="429">
        <f t="shared" si="506"/>
        <v>128033.325</v>
      </c>
      <c r="BX89" s="429">
        <f t="shared" si="506"/>
        <v>137680.20000000001</v>
      </c>
      <c r="BY89" s="429">
        <f t="shared" si="506"/>
        <v>143950.66875000001</v>
      </c>
      <c r="BZ89" s="429">
        <f t="shared" si="506"/>
        <v>160350.35625000001</v>
      </c>
      <c r="CA89" s="429">
        <f t="shared" si="506"/>
        <v>173373.63750000001</v>
      </c>
      <c r="CB89" s="429">
        <f t="shared" si="506"/>
        <v>181091.13750000001</v>
      </c>
      <c r="CC89" s="429">
        <f t="shared" si="506"/>
        <v>181091.13750000001</v>
      </c>
      <c r="CD89" s="429">
        <f t="shared" si="506"/>
        <v>185914.57500000001</v>
      </c>
      <c r="CE89" s="429">
        <f t="shared" si="506"/>
        <v>195561.45</v>
      </c>
      <c r="CF89" s="429">
        <f t="shared" si="506"/>
        <v>209391.21000000002</v>
      </c>
      <c r="CG89" s="429">
        <f t="shared" si="506"/>
        <v>223065.65531250002</v>
      </c>
      <c r="CH89" s="429">
        <f t="shared" si="506"/>
        <v>238259.48343750002</v>
      </c>
      <c r="CI89" s="429">
        <f t="shared" si="506"/>
        <v>238259.48343750002</v>
      </c>
      <c r="CJ89" s="429">
        <f t="shared" si="506"/>
        <v>238259.48343750002</v>
      </c>
      <c r="CK89" s="429">
        <f t="shared" si="506"/>
        <v>256492.07718750002</v>
      </c>
      <c r="CL89" s="429">
        <f t="shared" si="506"/>
        <v>264595.45218750002</v>
      </c>
      <c r="CM89" s="429">
        <f t="shared" si="506"/>
        <v>284347.42875000002</v>
      </c>
      <c r="CN89" s="429">
        <f t="shared" si="506"/>
        <v>284347.42875000002</v>
      </c>
      <c r="CO89" s="429">
        <f t="shared" si="506"/>
        <v>292450.80375000002</v>
      </c>
      <c r="CP89" s="429">
        <f t="shared" si="506"/>
        <v>292450.80375000002</v>
      </c>
      <c r="CQ89" s="429">
        <f t="shared" si="506"/>
        <v>292450.80375000002</v>
      </c>
      <c r="CR89" s="430"/>
      <c r="CS89" s="430"/>
      <c r="CT89" s="430"/>
      <c r="CU89" s="430"/>
      <c r="CV89" s="430"/>
    </row>
    <row r="90" spans="1:100" ht="16">
      <c r="A90" s="4"/>
      <c r="B90" s="4"/>
      <c r="C90" s="4"/>
      <c r="D90" s="4"/>
      <c r="E90" s="4"/>
      <c r="F90" s="4"/>
      <c r="G90" s="4"/>
      <c r="H90" s="4"/>
      <c r="I90" s="4"/>
      <c r="J90" s="4"/>
      <c r="K90" s="427" t="s">
        <v>332</v>
      </c>
      <c r="L90" s="428"/>
      <c r="M90" s="428"/>
      <c r="N90" s="428"/>
      <c r="O90" s="428"/>
      <c r="P90" s="428"/>
      <c r="Q90" s="431">
        <f t="shared" ref="Q90:CQ90" si="507">SUMIF($B4:$B85,"FR",Q4:Q85)*$C$99+SUMIF($B4:$B85,"ES",Q4:Q85)*$D$99+SUMIF($B4:$B85,"CH",Q4:Q85)*$E$99+SUMIF($B4:$B85,"BE",Q4:Q85)*$F$99+SUMIF($B4:$B85,"DE",Q4:Q85)*$G$99</f>
        <v>9858.3333333333321</v>
      </c>
      <c r="R90" s="431">
        <f t="shared" si="507"/>
        <v>10608.333333333332</v>
      </c>
      <c r="S90" s="431">
        <f t="shared" si="507"/>
        <v>10295.833333333332</v>
      </c>
      <c r="T90" s="431">
        <f t="shared" si="507"/>
        <v>10295.833333333332</v>
      </c>
      <c r="U90" s="431">
        <f t="shared" si="507"/>
        <v>11066.666666666666</v>
      </c>
      <c r="V90" s="431">
        <f t="shared" si="507"/>
        <v>11066.666666666666</v>
      </c>
      <c r="W90" s="431">
        <f t="shared" si="507"/>
        <v>9525</v>
      </c>
      <c r="X90" s="431">
        <f t="shared" si="507"/>
        <v>10766.875</v>
      </c>
      <c r="Y90" s="431">
        <f t="shared" si="507"/>
        <v>10438.75</v>
      </c>
      <c r="Z90" s="431">
        <f t="shared" si="507"/>
        <v>11532.5</v>
      </c>
      <c r="AA90" s="431">
        <f t="shared" si="507"/>
        <v>11532.5</v>
      </c>
      <c r="AB90" s="431">
        <f t="shared" si="507"/>
        <v>11532.5</v>
      </c>
      <c r="AC90" s="431">
        <f t="shared" si="507"/>
        <v>11532.5</v>
      </c>
      <c r="AD90" s="431">
        <f t="shared" si="507"/>
        <v>14376.25</v>
      </c>
      <c r="AE90" s="431">
        <f t="shared" si="507"/>
        <v>14376.25</v>
      </c>
      <c r="AF90" s="431">
        <f t="shared" si="507"/>
        <v>14376.25</v>
      </c>
      <c r="AG90" s="431">
        <f t="shared" si="507"/>
        <v>14376.25</v>
      </c>
      <c r="AH90" s="431">
        <f t="shared" si="507"/>
        <v>14376.25</v>
      </c>
      <c r="AI90" s="431">
        <f t="shared" si="507"/>
        <v>14376.25</v>
      </c>
      <c r="AJ90" s="431">
        <f t="shared" si="507"/>
        <v>14376.25</v>
      </c>
      <c r="AK90" s="431">
        <f t="shared" si="507"/>
        <v>14376.25</v>
      </c>
      <c r="AL90" s="431">
        <f t="shared" si="507"/>
        <v>14376.25</v>
      </c>
      <c r="AM90" s="431">
        <f t="shared" si="507"/>
        <v>14376.25</v>
      </c>
      <c r="AN90" s="431">
        <f t="shared" si="507"/>
        <v>14376.25</v>
      </c>
      <c r="AO90" s="431">
        <f t="shared" si="507"/>
        <v>14376.25</v>
      </c>
      <c r="AP90" s="431">
        <f t="shared" si="507"/>
        <v>14376.25</v>
      </c>
      <c r="AQ90" s="431">
        <f t="shared" si="507"/>
        <v>14376.25</v>
      </c>
      <c r="AR90" s="431">
        <f t="shared" si="507"/>
        <v>14376.25</v>
      </c>
      <c r="AS90" s="431">
        <f t="shared" si="507"/>
        <v>14376.25</v>
      </c>
      <c r="AT90" s="431">
        <f t="shared" si="507"/>
        <v>14376.25</v>
      </c>
      <c r="AU90" s="431">
        <f t="shared" si="507"/>
        <v>14376.25</v>
      </c>
      <c r="AV90" s="431">
        <f t="shared" si="507"/>
        <v>14376.25</v>
      </c>
      <c r="AW90" s="431">
        <f t="shared" si="507"/>
        <v>14376.25</v>
      </c>
      <c r="AX90" s="431">
        <f t="shared" si="507"/>
        <v>14376.25</v>
      </c>
      <c r="AY90" s="431">
        <f t="shared" si="507"/>
        <v>14376.25</v>
      </c>
      <c r="AZ90" s="431">
        <f t="shared" si="507"/>
        <v>14376.25</v>
      </c>
      <c r="BA90" s="431">
        <f t="shared" si="507"/>
        <v>14376.25</v>
      </c>
      <c r="BB90" s="431">
        <f t="shared" si="507"/>
        <v>14376.25</v>
      </c>
      <c r="BC90" s="431">
        <f t="shared" si="507"/>
        <v>14376.25</v>
      </c>
      <c r="BD90" s="431">
        <f t="shared" si="507"/>
        <v>14376.25</v>
      </c>
      <c r="BE90" s="431">
        <f t="shared" si="507"/>
        <v>14376.25</v>
      </c>
      <c r="BF90" s="431">
        <f t="shared" si="507"/>
        <v>14376.25</v>
      </c>
      <c r="BG90" s="431">
        <f t="shared" si="507"/>
        <v>14376.25</v>
      </c>
      <c r="BH90" s="431">
        <f t="shared" si="507"/>
        <v>15095.0625</v>
      </c>
      <c r="BI90" s="431">
        <f t="shared" si="507"/>
        <v>15095.0625</v>
      </c>
      <c r="BJ90" s="431">
        <f t="shared" si="507"/>
        <v>15095.0625</v>
      </c>
      <c r="BK90" s="431">
        <f t="shared" si="507"/>
        <v>15095.0625</v>
      </c>
      <c r="BL90" s="431">
        <f t="shared" si="507"/>
        <v>15095.0625</v>
      </c>
      <c r="BM90" s="431">
        <f t="shared" si="507"/>
        <v>15095.0625</v>
      </c>
      <c r="BN90" s="431">
        <f t="shared" si="507"/>
        <v>15095.0625</v>
      </c>
      <c r="BO90" s="431">
        <f t="shared" si="507"/>
        <v>15095.0625</v>
      </c>
      <c r="BP90" s="431">
        <f t="shared" si="507"/>
        <v>16243.5</v>
      </c>
      <c r="BQ90" s="431">
        <f t="shared" si="507"/>
        <v>17391.9375</v>
      </c>
      <c r="BR90" s="431">
        <f t="shared" si="507"/>
        <v>18540.375</v>
      </c>
      <c r="BS90" s="431">
        <f t="shared" si="507"/>
        <v>18540.375</v>
      </c>
      <c r="BT90" s="431">
        <f t="shared" si="507"/>
        <v>19467.393749999999</v>
      </c>
      <c r="BU90" s="431">
        <f t="shared" si="507"/>
        <v>27450.182812499999</v>
      </c>
      <c r="BV90" s="431">
        <f t="shared" si="507"/>
        <v>27450.182812499999</v>
      </c>
      <c r="BW90" s="431">
        <f t="shared" si="507"/>
        <v>32394.206249999999</v>
      </c>
      <c r="BX90" s="431">
        <f t="shared" si="507"/>
        <v>34805.925000000003</v>
      </c>
      <c r="BY90" s="431">
        <f t="shared" si="507"/>
        <v>36518.245312500003</v>
      </c>
      <c r="BZ90" s="431">
        <f t="shared" si="507"/>
        <v>40618.167187500003</v>
      </c>
      <c r="CA90" s="431">
        <f t="shared" si="507"/>
        <v>43873.987500000003</v>
      </c>
      <c r="CB90" s="431">
        <f t="shared" si="507"/>
        <v>45803.362500000003</v>
      </c>
      <c r="CC90" s="431">
        <f t="shared" si="507"/>
        <v>45803.362500000003</v>
      </c>
      <c r="CD90" s="431">
        <f t="shared" si="507"/>
        <v>47009.221875000003</v>
      </c>
      <c r="CE90" s="431">
        <f t="shared" si="507"/>
        <v>49420.940625000003</v>
      </c>
      <c r="CF90" s="431">
        <f t="shared" si="507"/>
        <v>53107.493906250005</v>
      </c>
      <c r="CG90" s="431">
        <f t="shared" si="507"/>
        <v>56526.105234375005</v>
      </c>
      <c r="CH90" s="431">
        <f t="shared" si="507"/>
        <v>59564.870859375005</v>
      </c>
      <c r="CI90" s="431">
        <f t="shared" si="507"/>
        <v>59564.870859375005</v>
      </c>
      <c r="CJ90" s="431">
        <f t="shared" si="507"/>
        <v>59564.870859375005</v>
      </c>
      <c r="CK90" s="431">
        <f t="shared" si="507"/>
        <v>64021.727109375002</v>
      </c>
      <c r="CL90" s="431">
        <f t="shared" si="507"/>
        <v>66047.570859375002</v>
      </c>
      <c r="CM90" s="431">
        <f t="shared" si="507"/>
        <v>70175.227500000008</v>
      </c>
      <c r="CN90" s="431">
        <f t="shared" si="507"/>
        <v>70175.227500000008</v>
      </c>
      <c r="CO90" s="431">
        <f t="shared" si="507"/>
        <v>72606.240000000005</v>
      </c>
      <c r="CP90" s="431">
        <f t="shared" si="507"/>
        <v>72606.240000000005</v>
      </c>
      <c r="CQ90" s="431">
        <f t="shared" si="507"/>
        <v>72606.240000000005</v>
      </c>
      <c r="CR90" s="431"/>
      <c r="CS90" s="431"/>
      <c r="CT90" s="431"/>
      <c r="CU90" s="431"/>
      <c r="CV90" s="431"/>
    </row>
    <row r="91" spans="1:100" ht="16">
      <c r="A91" s="4"/>
      <c r="B91" s="4"/>
      <c r="C91" s="4"/>
      <c r="D91" s="4"/>
      <c r="E91" s="4"/>
      <c r="F91" s="4"/>
      <c r="G91" s="712"/>
      <c r="H91" s="700"/>
      <c r="I91" s="700"/>
      <c r="J91" s="700"/>
      <c r="K91" s="427" t="s">
        <v>333</v>
      </c>
      <c r="L91" s="428"/>
      <c r="M91" s="428"/>
      <c r="N91" s="428"/>
      <c r="O91" s="428"/>
      <c r="P91" s="428"/>
      <c r="Q91" s="429">
        <f t="shared" ref="Q91:CQ91" si="508">Q89+Q90</f>
        <v>49291.666666666657</v>
      </c>
      <c r="R91" s="429">
        <f t="shared" si="508"/>
        <v>53041.666666666657</v>
      </c>
      <c r="S91" s="429">
        <f t="shared" si="508"/>
        <v>51479.166666666657</v>
      </c>
      <c r="T91" s="429">
        <f t="shared" si="508"/>
        <v>51479.166666666657</v>
      </c>
      <c r="U91" s="429">
        <f t="shared" si="508"/>
        <v>55333.333333333328</v>
      </c>
      <c r="V91" s="429">
        <f t="shared" si="508"/>
        <v>55333.333333333328</v>
      </c>
      <c r="W91" s="429">
        <f t="shared" si="508"/>
        <v>47625</v>
      </c>
      <c r="X91" s="429">
        <f t="shared" si="508"/>
        <v>53834.375</v>
      </c>
      <c r="Y91" s="429">
        <f t="shared" si="508"/>
        <v>52193.75</v>
      </c>
      <c r="Z91" s="429">
        <f t="shared" si="508"/>
        <v>57662.5</v>
      </c>
      <c r="AA91" s="429">
        <f t="shared" si="508"/>
        <v>57662.5</v>
      </c>
      <c r="AB91" s="429">
        <f t="shared" si="508"/>
        <v>57662.5</v>
      </c>
      <c r="AC91" s="429">
        <f t="shared" si="508"/>
        <v>57662.5</v>
      </c>
      <c r="AD91" s="429">
        <f t="shared" si="508"/>
        <v>71881.25</v>
      </c>
      <c r="AE91" s="429">
        <f t="shared" si="508"/>
        <v>71881.25</v>
      </c>
      <c r="AF91" s="429">
        <f t="shared" si="508"/>
        <v>71881.25</v>
      </c>
      <c r="AG91" s="429">
        <f t="shared" si="508"/>
        <v>71881.25</v>
      </c>
      <c r="AH91" s="429">
        <f t="shared" si="508"/>
        <v>71881.25</v>
      </c>
      <c r="AI91" s="429">
        <f t="shared" si="508"/>
        <v>71881.25</v>
      </c>
      <c r="AJ91" s="429">
        <f t="shared" si="508"/>
        <v>71881.25</v>
      </c>
      <c r="AK91" s="429">
        <f t="shared" si="508"/>
        <v>71881.25</v>
      </c>
      <c r="AL91" s="429">
        <f t="shared" si="508"/>
        <v>71881.25</v>
      </c>
      <c r="AM91" s="429">
        <f t="shared" si="508"/>
        <v>71881.25</v>
      </c>
      <c r="AN91" s="429">
        <f t="shared" si="508"/>
        <v>71881.25</v>
      </c>
      <c r="AO91" s="429">
        <f t="shared" si="508"/>
        <v>71881.25</v>
      </c>
      <c r="AP91" s="429">
        <f t="shared" si="508"/>
        <v>71881.25</v>
      </c>
      <c r="AQ91" s="429">
        <f t="shared" si="508"/>
        <v>71881.25</v>
      </c>
      <c r="AR91" s="429">
        <f t="shared" si="508"/>
        <v>71881.25</v>
      </c>
      <c r="AS91" s="429">
        <f t="shared" si="508"/>
        <v>71881.25</v>
      </c>
      <c r="AT91" s="429">
        <f t="shared" si="508"/>
        <v>71881.25</v>
      </c>
      <c r="AU91" s="429">
        <f t="shared" si="508"/>
        <v>71881.25</v>
      </c>
      <c r="AV91" s="429">
        <f t="shared" si="508"/>
        <v>71881.25</v>
      </c>
      <c r="AW91" s="429">
        <f t="shared" si="508"/>
        <v>71881.25</v>
      </c>
      <c r="AX91" s="429">
        <f t="shared" si="508"/>
        <v>71881.25</v>
      </c>
      <c r="AY91" s="429">
        <f t="shared" si="508"/>
        <v>71881.25</v>
      </c>
      <c r="AZ91" s="429">
        <f t="shared" si="508"/>
        <v>71881.25</v>
      </c>
      <c r="BA91" s="429">
        <f t="shared" si="508"/>
        <v>71881.25</v>
      </c>
      <c r="BB91" s="429">
        <f t="shared" si="508"/>
        <v>71881.25</v>
      </c>
      <c r="BC91" s="429">
        <f t="shared" si="508"/>
        <v>71881.25</v>
      </c>
      <c r="BD91" s="429">
        <f t="shared" si="508"/>
        <v>71881.25</v>
      </c>
      <c r="BE91" s="429">
        <f t="shared" si="508"/>
        <v>71881.25</v>
      </c>
      <c r="BF91" s="429">
        <f t="shared" si="508"/>
        <v>71881.25</v>
      </c>
      <c r="BG91" s="429">
        <f t="shared" si="508"/>
        <v>71881.25</v>
      </c>
      <c r="BH91" s="429">
        <f t="shared" si="508"/>
        <v>75475.3125</v>
      </c>
      <c r="BI91" s="429">
        <f t="shared" si="508"/>
        <v>75475.3125</v>
      </c>
      <c r="BJ91" s="429">
        <f t="shared" si="508"/>
        <v>75475.3125</v>
      </c>
      <c r="BK91" s="429">
        <f t="shared" si="508"/>
        <v>75475.3125</v>
      </c>
      <c r="BL91" s="429">
        <f t="shared" si="508"/>
        <v>75475.3125</v>
      </c>
      <c r="BM91" s="429">
        <f t="shared" si="508"/>
        <v>75475.3125</v>
      </c>
      <c r="BN91" s="429">
        <f t="shared" si="508"/>
        <v>75475.3125</v>
      </c>
      <c r="BO91" s="429">
        <f t="shared" si="508"/>
        <v>75475.3125</v>
      </c>
      <c r="BP91" s="429">
        <f t="shared" si="508"/>
        <v>81217.5</v>
      </c>
      <c r="BQ91" s="429">
        <f t="shared" si="508"/>
        <v>86959.6875</v>
      </c>
      <c r="BR91" s="429">
        <f t="shared" si="508"/>
        <v>92701.875</v>
      </c>
      <c r="BS91" s="429">
        <f t="shared" si="508"/>
        <v>92701.875</v>
      </c>
      <c r="BT91" s="429">
        <f t="shared" si="508"/>
        <v>97336.96875</v>
      </c>
      <c r="BU91" s="429">
        <f t="shared" si="508"/>
        <v>135707.4140625</v>
      </c>
      <c r="BV91" s="429">
        <f t="shared" si="508"/>
        <v>135707.4140625</v>
      </c>
      <c r="BW91" s="429">
        <f t="shared" si="508"/>
        <v>160427.53125</v>
      </c>
      <c r="BX91" s="429">
        <f t="shared" si="508"/>
        <v>172486.125</v>
      </c>
      <c r="BY91" s="429">
        <f t="shared" si="508"/>
        <v>180468.9140625</v>
      </c>
      <c r="BZ91" s="429">
        <f t="shared" si="508"/>
        <v>200968.5234375</v>
      </c>
      <c r="CA91" s="429">
        <f t="shared" si="508"/>
        <v>217247.625</v>
      </c>
      <c r="CB91" s="429">
        <f t="shared" si="508"/>
        <v>226894.5</v>
      </c>
      <c r="CC91" s="429">
        <f t="shared" si="508"/>
        <v>226894.5</v>
      </c>
      <c r="CD91" s="429">
        <f t="shared" si="508"/>
        <v>232923.796875</v>
      </c>
      <c r="CE91" s="429">
        <f t="shared" si="508"/>
        <v>244982.390625</v>
      </c>
      <c r="CF91" s="429">
        <f t="shared" si="508"/>
        <v>262498.70390625001</v>
      </c>
      <c r="CG91" s="429">
        <f t="shared" si="508"/>
        <v>279591.76054687501</v>
      </c>
      <c r="CH91" s="429">
        <f t="shared" si="508"/>
        <v>297824.35429687501</v>
      </c>
      <c r="CI91" s="429">
        <f t="shared" si="508"/>
        <v>297824.35429687501</v>
      </c>
      <c r="CJ91" s="429">
        <f t="shared" si="508"/>
        <v>297824.35429687501</v>
      </c>
      <c r="CK91" s="429">
        <f t="shared" si="508"/>
        <v>320513.80429687502</v>
      </c>
      <c r="CL91" s="429">
        <f t="shared" si="508"/>
        <v>330643.02304687502</v>
      </c>
      <c r="CM91" s="429">
        <f t="shared" si="508"/>
        <v>354522.65625</v>
      </c>
      <c r="CN91" s="429">
        <f t="shared" si="508"/>
        <v>354522.65625</v>
      </c>
      <c r="CO91" s="429">
        <f t="shared" si="508"/>
        <v>365057.04375000001</v>
      </c>
      <c r="CP91" s="429">
        <f t="shared" si="508"/>
        <v>365057.04375000001</v>
      </c>
      <c r="CQ91" s="429">
        <f t="shared" si="508"/>
        <v>365057.04375000001</v>
      </c>
      <c r="CR91" s="430"/>
      <c r="CS91" s="430"/>
      <c r="CT91" s="430"/>
      <c r="CU91" s="430"/>
      <c r="CV91" s="430"/>
    </row>
    <row r="92" spans="1:100" ht="16">
      <c r="A92" s="432"/>
      <c r="B92" s="432"/>
      <c r="C92" s="432"/>
      <c r="D92" s="432"/>
      <c r="E92" s="432"/>
      <c r="F92" s="432"/>
      <c r="G92" s="432"/>
      <c r="H92" s="432"/>
      <c r="I92" s="432"/>
      <c r="J92" s="432"/>
      <c r="K92" s="433" t="s">
        <v>334</v>
      </c>
      <c r="L92" s="434"/>
      <c r="M92" s="434"/>
      <c r="N92" s="434"/>
      <c r="O92" s="434"/>
      <c r="P92" s="434"/>
      <c r="Q92" s="432">
        <f t="shared" ref="Q92:CQ92" si="509">SUM(Q93:Q95)</f>
        <v>12</v>
      </c>
      <c r="R92" s="432">
        <f t="shared" si="509"/>
        <v>13</v>
      </c>
      <c r="S92" s="432">
        <f t="shared" si="509"/>
        <v>12</v>
      </c>
      <c r="T92" s="432">
        <f t="shared" si="509"/>
        <v>12</v>
      </c>
      <c r="U92" s="432">
        <f t="shared" si="509"/>
        <v>13</v>
      </c>
      <c r="V92" s="432">
        <f t="shared" si="509"/>
        <v>13</v>
      </c>
      <c r="W92" s="432">
        <f t="shared" si="509"/>
        <v>11</v>
      </c>
      <c r="X92" s="432">
        <f t="shared" si="509"/>
        <v>12</v>
      </c>
      <c r="Y92" s="432">
        <f t="shared" si="509"/>
        <v>11</v>
      </c>
      <c r="Z92" s="432">
        <f t="shared" si="509"/>
        <v>12</v>
      </c>
      <c r="AA92" s="432">
        <f t="shared" si="509"/>
        <v>12</v>
      </c>
      <c r="AB92" s="432">
        <f t="shared" si="509"/>
        <v>12</v>
      </c>
      <c r="AC92" s="432">
        <f t="shared" si="509"/>
        <v>12</v>
      </c>
      <c r="AD92" s="432">
        <f t="shared" si="509"/>
        <v>15</v>
      </c>
      <c r="AE92" s="432">
        <f t="shared" si="509"/>
        <v>15</v>
      </c>
      <c r="AF92" s="432">
        <f t="shared" si="509"/>
        <v>15</v>
      </c>
      <c r="AG92" s="432">
        <f t="shared" si="509"/>
        <v>15</v>
      </c>
      <c r="AH92" s="432">
        <f t="shared" si="509"/>
        <v>15</v>
      </c>
      <c r="AI92" s="432">
        <f t="shared" si="509"/>
        <v>15</v>
      </c>
      <c r="AJ92" s="432">
        <f t="shared" si="509"/>
        <v>15</v>
      </c>
      <c r="AK92" s="432">
        <f t="shared" si="509"/>
        <v>15</v>
      </c>
      <c r="AL92" s="432">
        <f t="shared" si="509"/>
        <v>15</v>
      </c>
      <c r="AM92" s="432">
        <f t="shared" si="509"/>
        <v>15</v>
      </c>
      <c r="AN92" s="432">
        <f t="shared" si="509"/>
        <v>15</v>
      </c>
      <c r="AO92" s="432">
        <f t="shared" si="509"/>
        <v>15</v>
      </c>
      <c r="AP92" s="432">
        <f t="shared" si="509"/>
        <v>15</v>
      </c>
      <c r="AQ92" s="432">
        <f t="shared" si="509"/>
        <v>15</v>
      </c>
      <c r="AR92" s="432">
        <f t="shared" si="509"/>
        <v>15</v>
      </c>
      <c r="AS92" s="432">
        <f t="shared" si="509"/>
        <v>15</v>
      </c>
      <c r="AT92" s="432">
        <f t="shared" si="509"/>
        <v>15</v>
      </c>
      <c r="AU92" s="432">
        <f t="shared" si="509"/>
        <v>15</v>
      </c>
      <c r="AV92" s="432">
        <f t="shared" si="509"/>
        <v>15</v>
      </c>
      <c r="AW92" s="432">
        <f t="shared" si="509"/>
        <v>15</v>
      </c>
      <c r="AX92" s="432">
        <f t="shared" si="509"/>
        <v>15</v>
      </c>
      <c r="AY92" s="432">
        <f t="shared" si="509"/>
        <v>15</v>
      </c>
      <c r="AZ92" s="432">
        <f t="shared" si="509"/>
        <v>15</v>
      </c>
      <c r="BA92" s="432">
        <f t="shared" si="509"/>
        <v>15</v>
      </c>
      <c r="BB92" s="432">
        <f t="shared" si="509"/>
        <v>15</v>
      </c>
      <c r="BC92" s="432">
        <f t="shared" si="509"/>
        <v>15</v>
      </c>
      <c r="BD92" s="432">
        <f t="shared" si="509"/>
        <v>15</v>
      </c>
      <c r="BE92" s="432">
        <f t="shared" si="509"/>
        <v>15</v>
      </c>
      <c r="BF92" s="432">
        <f t="shared" si="509"/>
        <v>15</v>
      </c>
      <c r="BG92" s="432">
        <f t="shared" si="509"/>
        <v>15</v>
      </c>
      <c r="BH92" s="432">
        <f t="shared" si="509"/>
        <v>15</v>
      </c>
      <c r="BI92" s="432">
        <f t="shared" si="509"/>
        <v>15</v>
      </c>
      <c r="BJ92" s="432">
        <f t="shared" si="509"/>
        <v>15</v>
      </c>
      <c r="BK92" s="432">
        <f t="shared" si="509"/>
        <v>15</v>
      </c>
      <c r="BL92" s="432">
        <f t="shared" si="509"/>
        <v>15</v>
      </c>
      <c r="BM92" s="432">
        <f t="shared" si="509"/>
        <v>15</v>
      </c>
      <c r="BN92" s="432">
        <f t="shared" si="509"/>
        <v>15</v>
      </c>
      <c r="BO92" s="432">
        <f t="shared" si="509"/>
        <v>15</v>
      </c>
      <c r="BP92" s="432">
        <f t="shared" si="509"/>
        <v>16</v>
      </c>
      <c r="BQ92" s="432">
        <f t="shared" si="509"/>
        <v>17</v>
      </c>
      <c r="BR92" s="432">
        <f t="shared" si="509"/>
        <v>18</v>
      </c>
      <c r="BS92" s="432">
        <f t="shared" si="509"/>
        <v>18</v>
      </c>
      <c r="BT92" s="432">
        <f t="shared" si="509"/>
        <v>18</v>
      </c>
      <c r="BU92" s="432">
        <f t="shared" si="509"/>
        <v>22</v>
      </c>
      <c r="BV92" s="432">
        <f t="shared" si="509"/>
        <v>22</v>
      </c>
      <c r="BW92" s="432">
        <f t="shared" si="509"/>
        <v>27</v>
      </c>
      <c r="BX92" s="432">
        <f t="shared" si="509"/>
        <v>29</v>
      </c>
      <c r="BY92" s="432">
        <f t="shared" si="509"/>
        <v>31</v>
      </c>
      <c r="BZ92" s="432">
        <f t="shared" si="509"/>
        <v>35</v>
      </c>
      <c r="CA92" s="432">
        <f t="shared" si="509"/>
        <v>37</v>
      </c>
      <c r="CB92" s="432">
        <f t="shared" si="509"/>
        <v>39</v>
      </c>
      <c r="CC92" s="432">
        <f t="shared" si="509"/>
        <v>39</v>
      </c>
      <c r="CD92" s="432">
        <f t="shared" si="509"/>
        <v>40</v>
      </c>
      <c r="CE92" s="432">
        <f t="shared" si="509"/>
        <v>42</v>
      </c>
      <c r="CF92" s="432">
        <f t="shared" si="509"/>
        <v>43</v>
      </c>
      <c r="CG92" s="432">
        <f t="shared" si="509"/>
        <v>45</v>
      </c>
      <c r="CH92" s="432">
        <f t="shared" si="509"/>
        <v>46</v>
      </c>
      <c r="CI92" s="432">
        <f t="shared" si="509"/>
        <v>46</v>
      </c>
      <c r="CJ92" s="432">
        <f t="shared" si="509"/>
        <v>46</v>
      </c>
      <c r="CK92" s="432">
        <f t="shared" si="509"/>
        <v>49</v>
      </c>
      <c r="CL92" s="432">
        <f t="shared" si="509"/>
        <v>50</v>
      </c>
      <c r="CM92" s="432">
        <f t="shared" si="509"/>
        <v>53</v>
      </c>
      <c r="CN92" s="432">
        <f t="shared" si="509"/>
        <v>53</v>
      </c>
      <c r="CO92" s="432">
        <f t="shared" si="509"/>
        <v>55</v>
      </c>
      <c r="CP92" s="432">
        <f t="shared" si="509"/>
        <v>55</v>
      </c>
      <c r="CQ92" s="432">
        <f t="shared" si="509"/>
        <v>55</v>
      </c>
      <c r="CR92" s="432"/>
      <c r="CS92" s="432"/>
      <c r="CT92" s="432"/>
      <c r="CU92" s="432"/>
      <c r="CV92" s="432"/>
    </row>
    <row r="93" spans="1:100" ht="15.75" customHeight="1" outlineLevel="1">
      <c r="A93" s="432"/>
      <c r="B93" s="432"/>
      <c r="C93" s="432"/>
      <c r="D93" s="432"/>
      <c r="E93" s="432"/>
      <c r="F93" s="432"/>
      <c r="G93" s="432"/>
      <c r="H93" s="432"/>
      <c r="I93" s="432"/>
      <c r="J93" s="432"/>
      <c r="K93" s="5" t="s">
        <v>83</v>
      </c>
      <c r="L93" s="432"/>
      <c r="M93" s="432"/>
      <c r="N93" s="432"/>
      <c r="O93" s="432"/>
      <c r="P93" s="432"/>
      <c r="Q93" s="432">
        <f t="shared" ref="Q93:CQ93" si="510">SUMIFS($I4:$I85,$B4:$B85,"FR",Q$4:Q$85,"&gt;0")</f>
        <v>12</v>
      </c>
      <c r="R93" s="432">
        <f t="shared" si="510"/>
        <v>13</v>
      </c>
      <c r="S93" s="432">
        <f t="shared" si="510"/>
        <v>12</v>
      </c>
      <c r="T93" s="432">
        <f t="shared" si="510"/>
        <v>12</v>
      </c>
      <c r="U93" s="432">
        <f t="shared" si="510"/>
        <v>13</v>
      </c>
      <c r="V93" s="432">
        <f t="shared" si="510"/>
        <v>13</v>
      </c>
      <c r="W93" s="432">
        <f t="shared" si="510"/>
        <v>11</v>
      </c>
      <c r="X93" s="432">
        <f t="shared" si="510"/>
        <v>12</v>
      </c>
      <c r="Y93" s="432">
        <f t="shared" si="510"/>
        <v>11</v>
      </c>
      <c r="Z93" s="432">
        <f t="shared" si="510"/>
        <v>12</v>
      </c>
      <c r="AA93" s="432">
        <f t="shared" si="510"/>
        <v>12</v>
      </c>
      <c r="AB93" s="432">
        <f t="shared" si="510"/>
        <v>12</v>
      </c>
      <c r="AC93" s="432">
        <f t="shared" si="510"/>
        <v>12</v>
      </c>
      <c r="AD93" s="432">
        <f t="shared" si="510"/>
        <v>15</v>
      </c>
      <c r="AE93" s="432">
        <f t="shared" si="510"/>
        <v>15</v>
      </c>
      <c r="AF93" s="432">
        <f t="shared" si="510"/>
        <v>15</v>
      </c>
      <c r="AG93" s="432">
        <f t="shared" si="510"/>
        <v>15</v>
      </c>
      <c r="AH93" s="432">
        <f t="shared" si="510"/>
        <v>15</v>
      </c>
      <c r="AI93" s="432">
        <f t="shared" si="510"/>
        <v>15</v>
      </c>
      <c r="AJ93" s="432">
        <f t="shared" si="510"/>
        <v>15</v>
      </c>
      <c r="AK93" s="432">
        <f t="shared" si="510"/>
        <v>15</v>
      </c>
      <c r="AL93" s="432">
        <f t="shared" si="510"/>
        <v>15</v>
      </c>
      <c r="AM93" s="432">
        <f t="shared" si="510"/>
        <v>15</v>
      </c>
      <c r="AN93" s="432">
        <f t="shared" si="510"/>
        <v>15</v>
      </c>
      <c r="AO93" s="432">
        <f t="shared" si="510"/>
        <v>15</v>
      </c>
      <c r="AP93" s="432">
        <f t="shared" si="510"/>
        <v>15</v>
      </c>
      <c r="AQ93" s="432">
        <f t="shared" si="510"/>
        <v>15</v>
      </c>
      <c r="AR93" s="432">
        <f t="shared" si="510"/>
        <v>15</v>
      </c>
      <c r="AS93" s="432">
        <f t="shared" si="510"/>
        <v>15</v>
      </c>
      <c r="AT93" s="432">
        <f t="shared" si="510"/>
        <v>15</v>
      </c>
      <c r="AU93" s="432">
        <f t="shared" si="510"/>
        <v>15</v>
      </c>
      <c r="AV93" s="432">
        <f t="shared" si="510"/>
        <v>15</v>
      </c>
      <c r="AW93" s="432">
        <f t="shared" si="510"/>
        <v>15</v>
      </c>
      <c r="AX93" s="432">
        <f t="shared" si="510"/>
        <v>15</v>
      </c>
      <c r="AY93" s="432">
        <f t="shared" si="510"/>
        <v>15</v>
      </c>
      <c r="AZ93" s="432">
        <f t="shared" si="510"/>
        <v>15</v>
      </c>
      <c r="BA93" s="432">
        <f t="shared" si="510"/>
        <v>15</v>
      </c>
      <c r="BB93" s="432">
        <f t="shared" si="510"/>
        <v>15</v>
      </c>
      <c r="BC93" s="432">
        <f t="shared" si="510"/>
        <v>15</v>
      </c>
      <c r="BD93" s="432">
        <f t="shared" si="510"/>
        <v>15</v>
      </c>
      <c r="BE93" s="432">
        <f t="shared" si="510"/>
        <v>15</v>
      </c>
      <c r="BF93" s="432">
        <f t="shared" si="510"/>
        <v>15</v>
      </c>
      <c r="BG93" s="432">
        <f t="shared" si="510"/>
        <v>15</v>
      </c>
      <c r="BH93" s="432">
        <f t="shared" si="510"/>
        <v>15</v>
      </c>
      <c r="BI93" s="432">
        <f t="shared" si="510"/>
        <v>15</v>
      </c>
      <c r="BJ93" s="432">
        <f t="shared" si="510"/>
        <v>15</v>
      </c>
      <c r="BK93" s="432">
        <f t="shared" si="510"/>
        <v>15</v>
      </c>
      <c r="BL93" s="432">
        <f t="shared" si="510"/>
        <v>15</v>
      </c>
      <c r="BM93" s="432">
        <f t="shared" si="510"/>
        <v>15</v>
      </c>
      <c r="BN93" s="432">
        <f t="shared" si="510"/>
        <v>15</v>
      </c>
      <c r="BO93" s="432">
        <f t="shared" si="510"/>
        <v>15</v>
      </c>
      <c r="BP93" s="432">
        <f t="shared" si="510"/>
        <v>16</v>
      </c>
      <c r="BQ93" s="432">
        <f t="shared" si="510"/>
        <v>17</v>
      </c>
      <c r="BR93" s="432">
        <f t="shared" si="510"/>
        <v>18</v>
      </c>
      <c r="BS93" s="432">
        <f t="shared" si="510"/>
        <v>18</v>
      </c>
      <c r="BT93" s="432">
        <f t="shared" si="510"/>
        <v>18</v>
      </c>
      <c r="BU93" s="432">
        <f t="shared" si="510"/>
        <v>21</v>
      </c>
      <c r="BV93" s="432">
        <f t="shared" si="510"/>
        <v>21</v>
      </c>
      <c r="BW93" s="432">
        <f t="shared" si="510"/>
        <v>26</v>
      </c>
      <c r="BX93" s="432">
        <f t="shared" si="510"/>
        <v>28</v>
      </c>
      <c r="BY93" s="432">
        <f t="shared" si="510"/>
        <v>29</v>
      </c>
      <c r="BZ93" s="432">
        <f t="shared" si="510"/>
        <v>33</v>
      </c>
      <c r="CA93" s="432">
        <f t="shared" si="510"/>
        <v>35</v>
      </c>
      <c r="CB93" s="432">
        <f t="shared" si="510"/>
        <v>37</v>
      </c>
      <c r="CC93" s="432">
        <f t="shared" si="510"/>
        <v>37</v>
      </c>
      <c r="CD93" s="432">
        <f t="shared" si="510"/>
        <v>38</v>
      </c>
      <c r="CE93" s="432">
        <f t="shared" si="510"/>
        <v>40</v>
      </c>
      <c r="CF93" s="432">
        <f t="shared" si="510"/>
        <v>40</v>
      </c>
      <c r="CG93" s="432">
        <f t="shared" si="510"/>
        <v>42</v>
      </c>
      <c r="CH93" s="432">
        <f t="shared" si="510"/>
        <v>42</v>
      </c>
      <c r="CI93" s="432">
        <f t="shared" si="510"/>
        <v>42</v>
      </c>
      <c r="CJ93" s="432">
        <f t="shared" si="510"/>
        <v>42</v>
      </c>
      <c r="CK93" s="432">
        <f t="shared" si="510"/>
        <v>42</v>
      </c>
      <c r="CL93" s="432">
        <f t="shared" si="510"/>
        <v>43</v>
      </c>
      <c r="CM93" s="432">
        <f t="shared" si="510"/>
        <v>44</v>
      </c>
      <c r="CN93" s="432">
        <f t="shared" si="510"/>
        <v>44</v>
      </c>
      <c r="CO93" s="432">
        <f t="shared" si="510"/>
        <v>44</v>
      </c>
      <c r="CP93" s="432">
        <f t="shared" si="510"/>
        <v>44</v>
      </c>
      <c r="CQ93" s="432">
        <f t="shared" si="510"/>
        <v>44</v>
      </c>
      <c r="CR93" s="432"/>
      <c r="CS93" s="432"/>
      <c r="CT93" s="432"/>
      <c r="CU93" s="432"/>
      <c r="CV93" s="432"/>
    </row>
    <row r="94" spans="1:100" ht="15.75" customHeight="1" outlineLevel="1">
      <c r="A94" s="432"/>
      <c r="B94" s="432"/>
      <c r="C94" s="432"/>
      <c r="D94" s="432"/>
      <c r="E94" s="432"/>
      <c r="F94" s="432"/>
      <c r="G94" s="432"/>
      <c r="H94" s="432"/>
      <c r="I94" s="432"/>
      <c r="J94" s="432"/>
      <c r="K94" s="5" t="s">
        <v>84</v>
      </c>
      <c r="L94" s="432"/>
      <c r="M94" s="432"/>
      <c r="N94" s="432"/>
      <c r="O94" s="432"/>
      <c r="P94" s="432"/>
      <c r="Q94" s="432">
        <f t="shared" ref="Q94:CQ94" si="511">SUMIFS($I4:$I85,$B$4:$B$85,"ES",Q$4:Q$85,"&gt;0")</f>
        <v>0</v>
      </c>
      <c r="R94" s="432">
        <f t="shared" si="511"/>
        <v>0</v>
      </c>
      <c r="S94" s="432">
        <f t="shared" si="511"/>
        <v>0</v>
      </c>
      <c r="T94" s="432">
        <f t="shared" si="511"/>
        <v>0</v>
      </c>
      <c r="U94" s="432">
        <f t="shared" si="511"/>
        <v>0</v>
      </c>
      <c r="V94" s="432">
        <f t="shared" si="511"/>
        <v>0</v>
      </c>
      <c r="W94" s="432">
        <f t="shared" si="511"/>
        <v>0</v>
      </c>
      <c r="X94" s="432">
        <f t="shared" si="511"/>
        <v>0</v>
      </c>
      <c r="Y94" s="432">
        <f t="shared" si="511"/>
        <v>0</v>
      </c>
      <c r="Z94" s="432">
        <f t="shared" si="511"/>
        <v>0</v>
      </c>
      <c r="AA94" s="432">
        <f t="shared" si="511"/>
        <v>0</v>
      </c>
      <c r="AB94" s="432">
        <f t="shared" si="511"/>
        <v>0</v>
      </c>
      <c r="AC94" s="432">
        <f t="shared" si="511"/>
        <v>0</v>
      </c>
      <c r="AD94" s="432">
        <f t="shared" si="511"/>
        <v>0</v>
      </c>
      <c r="AE94" s="432">
        <f t="shared" si="511"/>
        <v>0</v>
      </c>
      <c r="AF94" s="432">
        <f t="shared" si="511"/>
        <v>0</v>
      </c>
      <c r="AG94" s="432">
        <f t="shared" si="511"/>
        <v>0</v>
      </c>
      <c r="AH94" s="432">
        <f t="shared" si="511"/>
        <v>0</v>
      </c>
      <c r="AI94" s="432">
        <f t="shared" si="511"/>
        <v>0</v>
      </c>
      <c r="AJ94" s="432">
        <f t="shared" si="511"/>
        <v>0</v>
      </c>
      <c r="AK94" s="432">
        <f t="shared" si="511"/>
        <v>0</v>
      </c>
      <c r="AL94" s="432">
        <f t="shared" si="511"/>
        <v>0</v>
      </c>
      <c r="AM94" s="432">
        <f t="shared" si="511"/>
        <v>0</v>
      </c>
      <c r="AN94" s="432">
        <f t="shared" si="511"/>
        <v>0</v>
      </c>
      <c r="AO94" s="432">
        <f t="shared" si="511"/>
        <v>0</v>
      </c>
      <c r="AP94" s="432">
        <f t="shared" si="511"/>
        <v>0</v>
      </c>
      <c r="AQ94" s="432">
        <f t="shared" si="511"/>
        <v>0</v>
      </c>
      <c r="AR94" s="432">
        <f t="shared" si="511"/>
        <v>0</v>
      </c>
      <c r="AS94" s="432">
        <f t="shared" si="511"/>
        <v>0</v>
      </c>
      <c r="AT94" s="432">
        <f t="shared" si="511"/>
        <v>0</v>
      </c>
      <c r="AU94" s="432">
        <f t="shared" si="511"/>
        <v>0</v>
      </c>
      <c r="AV94" s="432">
        <f t="shared" si="511"/>
        <v>0</v>
      </c>
      <c r="AW94" s="432">
        <f t="shared" si="511"/>
        <v>0</v>
      </c>
      <c r="AX94" s="432">
        <f t="shared" si="511"/>
        <v>0</v>
      </c>
      <c r="AY94" s="432">
        <f t="shared" si="511"/>
        <v>0</v>
      </c>
      <c r="AZ94" s="432">
        <f t="shared" si="511"/>
        <v>0</v>
      </c>
      <c r="BA94" s="432">
        <f t="shared" si="511"/>
        <v>0</v>
      </c>
      <c r="BB94" s="432">
        <f t="shared" si="511"/>
        <v>0</v>
      </c>
      <c r="BC94" s="432">
        <f t="shared" si="511"/>
        <v>0</v>
      </c>
      <c r="BD94" s="432">
        <f t="shared" si="511"/>
        <v>0</v>
      </c>
      <c r="BE94" s="432">
        <f t="shared" si="511"/>
        <v>0</v>
      </c>
      <c r="BF94" s="432">
        <f t="shared" si="511"/>
        <v>0</v>
      </c>
      <c r="BG94" s="432">
        <f t="shared" si="511"/>
        <v>0</v>
      </c>
      <c r="BH94" s="432">
        <f t="shared" si="511"/>
        <v>0</v>
      </c>
      <c r="BI94" s="432">
        <f t="shared" si="511"/>
        <v>0</v>
      </c>
      <c r="BJ94" s="432">
        <f t="shared" si="511"/>
        <v>0</v>
      </c>
      <c r="BK94" s="432">
        <f t="shared" si="511"/>
        <v>0</v>
      </c>
      <c r="BL94" s="432">
        <f t="shared" si="511"/>
        <v>0</v>
      </c>
      <c r="BM94" s="432">
        <f t="shared" si="511"/>
        <v>0</v>
      </c>
      <c r="BN94" s="432">
        <f t="shared" si="511"/>
        <v>0</v>
      </c>
      <c r="BO94" s="432">
        <f t="shared" si="511"/>
        <v>0</v>
      </c>
      <c r="BP94" s="432">
        <f t="shared" si="511"/>
        <v>0</v>
      </c>
      <c r="BQ94" s="432">
        <f t="shared" si="511"/>
        <v>0</v>
      </c>
      <c r="BR94" s="432">
        <f t="shared" si="511"/>
        <v>0</v>
      </c>
      <c r="BS94" s="432">
        <f t="shared" si="511"/>
        <v>0</v>
      </c>
      <c r="BT94" s="432">
        <f t="shared" si="511"/>
        <v>0</v>
      </c>
      <c r="BU94" s="432">
        <f t="shared" si="511"/>
        <v>1</v>
      </c>
      <c r="BV94" s="432">
        <f t="shared" si="511"/>
        <v>1</v>
      </c>
      <c r="BW94" s="432">
        <f t="shared" si="511"/>
        <v>1</v>
      </c>
      <c r="BX94" s="432">
        <f t="shared" si="511"/>
        <v>1</v>
      </c>
      <c r="BY94" s="432">
        <f t="shared" si="511"/>
        <v>2</v>
      </c>
      <c r="BZ94" s="432">
        <f t="shared" si="511"/>
        <v>2</v>
      </c>
      <c r="CA94" s="432">
        <f t="shared" si="511"/>
        <v>2</v>
      </c>
      <c r="CB94" s="432">
        <f t="shared" si="511"/>
        <v>2</v>
      </c>
      <c r="CC94" s="432">
        <f t="shared" si="511"/>
        <v>2</v>
      </c>
      <c r="CD94" s="432">
        <f t="shared" si="511"/>
        <v>2</v>
      </c>
      <c r="CE94" s="432">
        <f t="shared" si="511"/>
        <v>2</v>
      </c>
      <c r="CF94" s="432">
        <f t="shared" si="511"/>
        <v>3</v>
      </c>
      <c r="CG94" s="432">
        <f t="shared" si="511"/>
        <v>3</v>
      </c>
      <c r="CH94" s="432">
        <f t="shared" si="511"/>
        <v>3</v>
      </c>
      <c r="CI94" s="432">
        <f t="shared" si="511"/>
        <v>3</v>
      </c>
      <c r="CJ94" s="432">
        <f t="shared" si="511"/>
        <v>3</v>
      </c>
      <c r="CK94" s="432">
        <f t="shared" si="511"/>
        <v>5</v>
      </c>
      <c r="CL94" s="432">
        <f t="shared" si="511"/>
        <v>5</v>
      </c>
      <c r="CM94" s="432">
        <f t="shared" si="511"/>
        <v>5</v>
      </c>
      <c r="CN94" s="432">
        <f t="shared" si="511"/>
        <v>5</v>
      </c>
      <c r="CO94" s="432">
        <f t="shared" si="511"/>
        <v>7</v>
      </c>
      <c r="CP94" s="432">
        <f t="shared" si="511"/>
        <v>7</v>
      </c>
      <c r="CQ94" s="432">
        <f t="shared" si="511"/>
        <v>7</v>
      </c>
      <c r="CR94" s="432"/>
      <c r="CS94" s="432"/>
      <c r="CT94" s="432"/>
      <c r="CU94" s="432"/>
      <c r="CV94" s="432"/>
    </row>
    <row r="95" spans="1:100" ht="15.75" customHeight="1" outlineLevel="1">
      <c r="A95" s="432"/>
      <c r="B95" s="432"/>
      <c r="C95" s="432"/>
      <c r="D95" s="432"/>
      <c r="E95" s="432"/>
      <c r="F95" s="432"/>
      <c r="G95" s="432"/>
      <c r="H95" s="432"/>
      <c r="I95" s="432"/>
      <c r="J95" s="432"/>
      <c r="K95" s="5" t="s">
        <v>85</v>
      </c>
      <c r="L95" s="432"/>
      <c r="M95" s="432"/>
      <c r="N95" s="432"/>
      <c r="O95" s="432"/>
      <c r="P95" s="432"/>
      <c r="Q95" s="432">
        <f t="shared" ref="Q95:CQ95" si="512">SUMIFS($I4:$I85,$B$4:$B$85,"CH",Q$4:Q$85,"&gt;0")</f>
        <v>0</v>
      </c>
      <c r="R95" s="432">
        <f t="shared" si="512"/>
        <v>0</v>
      </c>
      <c r="S95" s="432">
        <f t="shared" si="512"/>
        <v>0</v>
      </c>
      <c r="T95" s="432">
        <f t="shared" si="512"/>
        <v>0</v>
      </c>
      <c r="U95" s="432">
        <f t="shared" si="512"/>
        <v>0</v>
      </c>
      <c r="V95" s="432">
        <f t="shared" si="512"/>
        <v>0</v>
      </c>
      <c r="W95" s="432">
        <f t="shared" si="512"/>
        <v>0</v>
      </c>
      <c r="X95" s="432">
        <f t="shared" si="512"/>
        <v>0</v>
      </c>
      <c r="Y95" s="432">
        <f t="shared" si="512"/>
        <v>0</v>
      </c>
      <c r="Z95" s="432">
        <f t="shared" si="512"/>
        <v>0</v>
      </c>
      <c r="AA95" s="432">
        <f t="shared" si="512"/>
        <v>0</v>
      </c>
      <c r="AB95" s="432">
        <f t="shared" si="512"/>
        <v>0</v>
      </c>
      <c r="AC95" s="432">
        <f t="shared" si="512"/>
        <v>0</v>
      </c>
      <c r="AD95" s="432">
        <f t="shared" si="512"/>
        <v>0</v>
      </c>
      <c r="AE95" s="432">
        <f t="shared" si="512"/>
        <v>0</v>
      </c>
      <c r="AF95" s="432">
        <f t="shared" si="512"/>
        <v>0</v>
      </c>
      <c r="AG95" s="432">
        <f t="shared" si="512"/>
        <v>0</v>
      </c>
      <c r="AH95" s="432">
        <f t="shared" si="512"/>
        <v>0</v>
      </c>
      <c r="AI95" s="432">
        <f t="shared" si="512"/>
        <v>0</v>
      </c>
      <c r="AJ95" s="432">
        <f t="shared" si="512"/>
        <v>0</v>
      </c>
      <c r="AK95" s="432">
        <f t="shared" si="512"/>
        <v>0</v>
      </c>
      <c r="AL95" s="432">
        <f t="shared" si="512"/>
        <v>0</v>
      </c>
      <c r="AM95" s="432">
        <f t="shared" si="512"/>
        <v>0</v>
      </c>
      <c r="AN95" s="432">
        <f t="shared" si="512"/>
        <v>0</v>
      </c>
      <c r="AO95" s="432">
        <f t="shared" si="512"/>
        <v>0</v>
      </c>
      <c r="AP95" s="432">
        <f t="shared" si="512"/>
        <v>0</v>
      </c>
      <c r="AQ95" s="432">
        <f t="shared" si="512"/>
        <v>0</v>
      </c>
      <c r="AR95" s="432">
        <f t="shared" si="512"/>
        <v>0</v>
      </c>
      <c r="AS95" s="432">
        <f t="shared" si="512"/>
        <v>0</v>
      </c>
      <c r="AT95" s="432">
        <f t="shared" si="512"/>
        <v>0</v>
      </c>
      <c r="AU95" s="432">
        <f t="shared" si="512"/>
        <v>0</v>
      </c>
      <c r="AV95" s="432">
        <f t="shared" si="512"/>
        <v>0</v>
      </c>
      <c r="AW95" s="432">
        <f t="shared" si="512"/>
        <v>0</v>
      </c>
      <c r="AX95" s="432">
        <f t="shared" si="512"/>
        <v>0</v>
      </c>
      <c r="AY95" s="432">
        <f t="shared" si="512"/>
        <v>0</v>
      </c>
      <c r="AZ95" s="432">
        <f t="shared" si="512"/>
        <v>0</v>
      </c>
      <c r="BA95" s="432">
        <f t="shared" si="512"/>
        <v>0</v>
      </c>
      <c r="BB95" s="432">
        <f t="shared" si="512"/>
        <v>0</v>
      </c>
      <c r="BC95" s="432">
        <f t="shared" si="512"/>
        <v>0</v>
      </c>
      <c r="BD95" s="432">
        <f t="shared" si="512"/>
        <v>0</v>
      </c>
      <c r="BE95" s="432">
        <f t="shared" si="512"/>
        <v>0</v>
      </c>
      <c r="BF95" s="432">
        <f t="shared" si="512"/>
        <v>0</v>
      </c>
      <c r="BG95" s="432">
        <f t="shared" si="512"/>
        <v>0</v>
      </c>
      <c r="BH95" s="432">
        <f t="shared" si="512"/>
        <v>0</v>
      </c>
      <c r="BI95" s="432">
        <f t="shared" si="512"/>
        <v>0</v>
      </c>
      <c r="BJ95" s="432">
        <f t="shared" si="512"/>
        <v>0</v>
      </c>
      <c r="BK95" s="432">
        <f t="shared" si="512"/>
        <v>0</v>
      </c>
      <c r="BL95" s="432">
        <f t="shared" si="512"/>
        <v>0</v>
      </c>
      <c r="BM95" s="432">
        <f t="shared" si="512"/>
        <v>0</v>
      </c>
      <c r="BN95" s="432">
        <f t="shared" si="512"/>
        <v>0</v>
      </c>
      <c r="BO95" s="432">
        <f t="shared" si="512"/>
        <v>0</v>
      </c>
      <c r="BP95" s="432">
        <f t="shared" si="512"/>
        <v>0</v>
      </c>
      <c r="BQ95" s="432">
        <f t="shared" si="512"/>
        <v>0</v>
      </c>
      <c r="BR95" s="432">
        <f t="shared" si="512"/>
        <v>0</v>
      </c>
      <c r="BS95" s="432">
        <f t="shared" si="512"/>
        <v>0</v>
      </c>
      <c r="BT95" s="432">
        <f t="shared" si="512"/>
        <v>0</v>
      </c>
      <c r="BU95" s="432">
        <f t="shared" si="512"/>
        <v>0</v>
      </c>
      <c r="BV95" s="432">
        <f t="shared" si="512"/>
        <v>0</v>
      </c>
      <c r="BW95" s="432">
        <f t="shared" si="512"/>
        <v>0</v>
      </c>
      <c r="BX95" s="432">
        <f t="shared" si="512"/>
        <v>0</v>
      </c>
      <c r="BY95" s="432">
        <f t="shared" si="512"/>
        <v>0</v>
      </c>
      <c r="BZ95" s="432">
        <f t="shared" si="512"/>
        <v>0</v>
      </c>
      <c r="CA95" s="432">
        <f t="shared" si="512"/>
        <v>0</v>
      </c>
      <c r="CB95" s="432">
        <f t="shared" si="512"/>
        <v>0</v>
      </c>
      <c r="CC95" s="432">
        <f t="shared" si="512"/>
        <v>0</v>
      </c>
      <c r="CD95" s="432">
        <f t="shared" si="512"/>
        <v>0</v>
      </c>
      <c r="CE95" s="432">
        <f t="shared" si="512"/>
        <v>0</v>
      </c>
      <c r="CF95" s="432">
        <f t="shared" si="512"/>
        <v>0</v>
      </c>
      <c r="CG95" s="432">
        <f t="shared" si="512"/>
        <v>0</v>
      </c>
      <c r="CH95" s="432">
        <f t="shared" si="512"/>
        <v>1</v>
      </c>
      <c r="CI95" s="432">
        <f t="shared" si="512"/>
        <v>1</v>
      </c>
      <c r="CJ95" s="432">
        <f t="shared" si="512"/>
        <v>1</v>
      </c>
      <c r="CK95" s="432">
        <f t="shared" si="512"/>
        <v>2</v>
      </c>
      <c r="CL95" s="432">
        <f t="shared" si="512"/>
        <v>2</v>
      </c>
      <c r="CM95" s="432">
        <f t="shared" si="512"/>
        <v>4</v>
      </c>
      <c r="CN95" s="432">
        <f t="shared" si="512"/>
        <v>4</v>
      </c>
      <c r="CO95" s="432">
        <f t="shared" si="512"/>
        <v>4</v>
      </c>
      <c r="CP95" s="432">
        <f t="shared" si="512"/>
        <v>4</v>
      </c>
      <c r="CQ95" s="432">
        <f t="shared" si="512"/>
        <v>4</v>
      </c>
      <c r="CR95" s="432"/>
      <c r="CS95" s="432"/>
      <c r="CT95" s="432"/>
      <c r="CU95" s="432"/>
      <c r="CV95" s="432"/>
    </row>
    <row r="96" spans="1:100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6" t="s">
        <v>86</v>
      </c>
      <c r="L96" s="4"/>
      <c r="M96" s="4"/>
      <c r="N96" s="4"/>
      <c r="O96" s="4"/>
      <c r="P96" s="4"/>
      <c r="Q96" s="432">
        <f t="shared" ref="Q96:CQ96" si="513">SUMIFS($I4:$I85,$B$4:$B$85,"BE",Q$4:Q$85,"&gt;0")</f>
        <v>0</v>
      </c>
      <c r="R96" s="432">
        <f t="shared" si="513"/>
        <v>0</v>
      </c>
      <c r="S96" s="432">
        <f t="shared" si="513"/>
        <v>0</v>
      </c>
      <c r="T96" s="432">
        <f t="shared" si="513"/>
        <v>0</v>
      </c>
      <c r="U96" s="432">
        <f t="shared" si="513"/>
        <v>0</v>
      </c>
      <c r="V96" s="432">
        <f t="shared" si="513"/>
        <v>0</v>
      </c>
      <c r="W96" s="432">
        <f t="shared" si="513"/>
        <v>0</v>
      </c>
      <c r="X96" s="432">
        <f t="shared" si="513"/>
        <v>0</v>
      </c>
      <c r="Y96" s="432">
        <f t="shared" si="513"/>
        <v>0</v>
      </c>
      <c r="Z96" s="432">
        <f t="shared" si="513"/>
        <v>0</v>
      </c>
      <c r="AA96" s="432">
        <f t="shared" si="513"/>
        <v>0</v>
      </c>
      <c r="AB96" s="432">
        <f t="shared" si="513"/>
        <v>0</v>
      </c>
      <c r="AC96" s="432">
        <f t="shared" si="513"/>
        <v>0</v>
      </c>
      <c r="AD96" s="432">
        <f t="shared" si="513"/>
        <v>0</v>
      </c>
      <c r="AE96" s="432">
        <f t="shared" si="513"/>
        <v>0</v>
      </c>
      <c r="AF96" s="432">
        <f t="shared" si="513"/>
        <v>0</v>
      </c>
      <c r="AG96" s="432">
        <f t="shared" si="513"/>
        <v>0</v>
      </c>
      <c r="AH96" s="432">
        <f t="shared" si="513"/>
        <v>0</v>
      </c>
      <c r="AI96" s="432">
        <f t="shared" si="513"/>
        <v>0</v>
      </c>
      <c r="AJ96" s="432">
        <f t="shared" si="513"/>
        <v>0</v>
      </c>
      <c r="AK96" s="432">
        <f t="shared" si="513"/>
        <v>0</v>
      </c>
      <c r="AL96" s="432">
        <f t="shared" si="513"/>
        <v>0</v>
      </c>
      <c r="AM96" s="432">
        <f t="shared" si="513"/>
        <v>0</v>
      </c>
      <c r="AN96" s="432">
        <f t="shared" si="513"/>
        <v>0</v>
      </c>
      <c r="AO96" s="432">
        <f t="shared" si="513"/>
        <v>0</v>
      </c>
      <c r="AP96" s="432">
        <f t="shared" si="513"/>
        <v>0</v>
      </c>
      <c r="AQ96" s="432">
        <f t="shared" si="513"/>
        <v>0</v>
      </c>
      <c r="AR96" s="432">
        <f t="shared" si="513"/>
        <v>0</v>
      </c>
      <c r="AS96" s="432">
        <f t="shared" si="513"/>
        <v>0</v>
      </c>
      <c r="AT96" s="432">
        <f t="shared" si="513"/>
        <v>0</v>
      </c>
      <c r="AU96" s="432">
        <f t="shared" si="513"/>
        <v>0</v>
      </c>
      <c r="AV96" s="432">
        <f t="shared" si="513"/>
        <v>0</v>
      </c>
      <c r="AW96" s="432">
        <f t="shared" si="513"/>
        <v>0</v>
      </c>
      <c r="AX96" s="432">
        <f t="shared" si="513"/>
        <v>0</v>
      </c>
      <c r="AY96" s="432">
        <f t="shared" si="513"/>
        <v>0</v>
      </c>
      <c r="AZ96" s="432">
        <f t="shared" si="513"/>
        <v>0</v>
      </c>
      <c r="BA96" s="432">
        <f t="shared" si="513"/>
        <v>0</v>
      </c>
      <c r="BB96" s="432">
        <f t="shared" si="513"/>
        <v>0</v>
      </c>
      <c r="BC96" s="432">
        <f t="shared" si="513"/>
        <v>0</v>
      </c>
      <c r="BD96" s="432">
        <f t="shared" si="513"/>
        <v>0</v>
      </c>
      <c r="BE96" s="432">
        <f t="shared" si="513"/>
        <v>0</v>
      </c>
      <c r="BF96" s="432">
        <f t="shared" si="513"/>
        <v>0</v>
      </c>
      <c r="BG96" s="432">
        <f t="shared" si="513"/>
        <v>0</v>
      </c>
      <c r="BH96" s="432">
        <f t="shared" si="513"/>
        <v>0</v>
      </c>
      <c r="BI96" s="432">
        <f t="shared" si="513"/>
        <v>0</v>
      </c>
      <c r="BJ96" s="432">
        <f t="shared" si="513"/>
        <v>0</v>
      </c>
      <c r="BK96" s="432">
        <f t="shared" si="513"/>
        <v>0</v>
      </c>
      <c r="BL96" s="432">
        <f t="shared" si="513"/>
        <v>0</v>
      </c>
      <c r="BM96" s="432">
        <f t="shared" si="513"/>
        <v>0</v>
      </c>
      <c r="BN96" s="432">
        <f t="shared" si="513"/>
        <v>0</v>
      </c>
      <c r="BO96" s="432">
        <f t="shared" si="513"/>
        <v>0</v>
      </c>
      <c r="BP96" s="432">
        <f t="shared" si="513"/>
        <v>0</v>
      </c>
      <c r="BQ96" s="432">
        <f t="shared" si="513"/>
        <v>0</v>
      </c>
      <c r="BR96" s="432">
        <f t="shared" si="513"/>
        <v>0</v>
      </c>
      <c r="BS96" s="432">
        <f t="shared" si="513"/>
        <v>0</v>
      </c>
      <c r="BT96" s="432">
        <f t="shared" si="513"/>
        <v>0</v>
      </c>
      <c r="BU96" s="432">
        <f t="shared" si="513"/>
        <v>0</v>
      </c>
      <c r="BV96" s="432">
        <f t="shared" si="513"/>
        <v>0</v>
      </c>
      <c r="BW96" s="432">
        <f t="shared" si="513"/>
        <v>0</v>
      </c>
      <c r="BX96" s="432">
        <f t="shared" si="513"/>
        <v>0</v>
      </c>
      <c r="BY96" s="432">
        <f t="shared" si="513"/>
        <v>0</v>
      </c>
      <c r="BZ96" s="432">
        <f t="shared" si="513"/>
        <v>0</v>
      </c>
      <c r="CA96" s="432">
        <f t="shared" si="513"/>
        <v>0</v>
      </c>
      <c r="CB96" s="432">
        <f t="shared" si="513"/>
        <v>0</v>
      </c>
      <c r="CC96" s="432">
        <f t="shared" si="513"/>
        <v>0</v>
      </c>
      <c r="CD96" s="432">
        <f t="shared" si="513"/>
        <v>0</v>
      </c>
      <c r="CE96" s="432">
        <f t="shared" si="513"/>
        <v>0</v>
      </c>
      <c r="CF96" s="432">
        <f t="shared" si="513"/>
        <v>0</v>
      </c>
      <c r="CG96" s="432">
        <f t="shared" si="513"/>
        <v>0</v>
      </c>
      <c r="CH96" s="432">
        <f t="shared" si="513"/>
        <v>0</v>
      </c>
      <c r="CI96" s="432">
        <f t="shared" si="513"/>
        <v>0</v>
      </c>
      <c r="CJ96" s="432">
        <f t="shared" si="513"/>
        <v>0</v>
      </c>
      <c r="CK96" s="432">
        <f t="shared" si="513"/>
        <v>0</v>
      </c>
      <c r="CL96" s="432">
        <f t="shared" si="513"/>
        <v>0</v>
      </c>
      <c r="CM96" s="432">
        <f t="shared" si="513"/>
        <v>0</v>
      </c>
      <c r="CN96" s="432">
        <f t="shared" si="513"/>
        <v>0</v>
      </c>
      <c r="CO96" s="432">
        <f t="shared" si="513"/>
        <v>0</v>
      </c>
      <c r="CP96" s="432">
        <f t="shared" si="513"/>
        <v>0</v>
      </c>
      <c r="CQ96" s="432">
        <f t="shared" si="513"/>
        <v>0</v>
      </c>
      <c r="CR96" s="432"/>
      <c r="CS96" s="432"/>
      <c r="CT96" s="432"/>
      <c r="CU96" s="432"/>
      <c r="CV96" s="432"/>
    </row>
    <row r="97" spans="1:100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6" t="s">
        <v>87</v>
      </c>
      <c r="L97" s="4"/>
      <c r="M97" s="4"/>
      <c r="N97" s="4"/>
      <c r="O97" s="4"/>
      <c r="P97" s="4"/>
      <c r="Q97" s="432">
        <f t="shared" ref="Q97:CQ97" si="514">SUMIFS($I4:$I85,$B$4:$B$85,"DE",Q$4:Q$85,"&gt;0")</f>
        <v>0</v>
      </c>
      <c r="R97" s="432">
        <f t="shared" si="514"/>
        <v>0</v>
      </c>
      <c r="S97" s="432">
        <f t="shared" si="514"/>
        <v>0</v>
      </c>
      <c r="T97" s="432">
        <f t="shared" si="514"/>
        <v>0</v>
      </c>
      <c r="U97" s="432">
        <f t="shared" si="514"/>
        <v>0</v>
      </c>
      <c r="V97" s="432">
        <f t="shared" si="514"/>
        <v>0</v>
      </c>
      <c r="W97" s="432">
        <f t="shared" si="514"/>
        <v>0</v>
      </c>
      <c r="X97" s="432">
        <f t="shared" si="514"/>
        <v>0</v>
      </c>
      <c r="Y97" s="432">
        <f t="shared" si="514"/>
        <v>0</v>
      </c>
      <c r="Z97" s="432">
        <f t="shared" si="514"/>
        <v>0</v>
      </c>
      <c r="AA97" s="432">
        <f t="shared" si="514"/>
        <v>0</v>
      </c>
      <c r="AB97" s="432">
        <f t="shared" si="514"/>
        <v>0</v>
      </c>
      <c r="AC97" s="432">
        <f t="shared" si="514"/>
        <v>0</v>
      </c>
      <c r="AD97" s="432">
        <f t="shared" si="514"/>
        <v>0</v>
      </c>
      <c r="AE97" s="432">
        <f t="shared" si="514"/>
        <v>0</v>
      </c>
      <c r="AF97" s="432">
        <f t="shared" si="514"/>
        <v>0</v>
      </c>
      <c r="AG97" s="432">
        <f t="shared" si="514"/>
        <v>0</v>
      </c>
      <c r="AH97" s="432">
        <f t="shared" si="514"/>
        <v>0</v>
      </c>
      <c r="AI97" s="432">
        <f t="shared" si="514"/>
        <v>0</v>
      </c>
      <c r="AJ97" s="432">
        <f t="shared" si="514"/>
        <v>0</v>
      </c>
      <c r="AK97" s="432">
        <f t="shared" si="514"/>
        <v>0</v>
      </c>
      <c r="AL97" s="432">
        <f t="shared" si="514"/>
        <v>0</v>
      </c>
      <c r="AM97" s="432">
        <f t="shared" si="514"/>
        <v>0</v>
      </c>
      <c r="AN97" s="432">
        <f t="shared" si="514"/>
        <v>0</v>
      </c>
      <c r="AO97" s="432">
        <f t="shared" si="514"/>
        <v>0</v>
      </c>
      <c r="AP97" s="432">
        <f t="shared" si="514"/>
        <v>0</v>
      </c>
      <c r="AQ97" s="432">
        <f t="shared" si="514"/>
        <v>0</v>
      </c>
      <c r="AR97" s="432">
        <f t="shared" si="514"/>
        <v>0</v>
      </c>
      <c r="AS97" s="432">
        <f t="shared" si="514"/>
        <v>0</v>
      </c>
      <c r="AT97" s="432">
        <f t="shared" si="514"/>
        <v>0</v>
      </c>
      <c r="AU97" s="432">
        <f t="shared" si="514"/>
        <v>0</v>
      </c>
      <c r="AV97" s="432">
        <f t="shared" si="514"/>
        <v>0</v>
      </c>
      <c r="AW97" s="432">
        <f t="shared" si="514"/>
        <v>0</v>
      </c>
      <c r="AX97" s="432">
        <f t="shared" si="514"/>
        <v>0</v>
      </c>
      <c r="AY97" s="432">
        <f t="shared" si="514"/>
        <v>0</v>
      </c>
      <c r="AZ97" s="432">
        <f t="shared" si="514"/>
        <v>0</v>
      </c>
      <c r="BA97" s="432">
        <f t="shared" si="514"/>
        <v>0</v>
      </c>
      <c r="BB97" s="432">
        <f t="shared" si="514"/>
        <v>0</v>
      </c>
      <c r="BC97" s="432">
        <f t="shared" si="514"/>
        <v>0</v>
      </c>
      <c r="BD97" s="432">
        <f t="shared" si="514"/>
        <v>0</v>
      </c>
      <c r="BE97" s="432">
        <f t="shared" si="514"/>
        <v>0</v>
      </c>
      <c r="BF97" s="432">
        <f t="shared" si="514"/>
        <v>0</v>
      </c>
      <c r="BG97" s="432">
        <f t="shared" si="514"/>
        <v>0</v>
      </c>
      <c r="BH97" s="432">
        <f t="shared" si="514"/>
        <v>0</v>
      </c>
      <c r="BI97" s="432">
        <f t="shared" si="514"/>
        <v>0</v>
      </c>
      <c r="BJ97" s="432">
        <f t="shared" si="514"/>
        <v>0</v>
      </c>
      <c r="BK97" s="432">
        <f t="shared" si="514"/>
        <v>0</v>
      </c>
      <c r="BL97" s="432">
        <f t="shared" si="514"/>
        <v>0</v>
      </c>
      <c r="BM97" s="432">
        <f t="shared" si="514"/>
        <v>0</v>
      </c>
      <c r="BN97" s="432">
        <f t="shared" si="514"/>
        <v>0</v>
      </c>
      <c r="BO97" s="432">
        <f t="shared" si="514"/>
        <v>0</v>
      </c>
      <c r="BP97" s="432">
        <f t="shared" si="514"/>
        <v>0</v>
      </c>
      <c r="BQ97" s="432">
        <f t="shared" si="514"/>
        <v>0</v>
      </c>
      <c r="BR97" s="432">
        <f t="shared" si="514"/>
        <v>0</v>
      </c>
      <c r="BS97" s="432">
        <f t="shared" si="514"/>
        <v>0</v>
      </c>
      <c r="BT97" s="432">
        <f t="shared" si="514"/>
        <v>0</v>
      </c>
      <c r="BU97" s="432">
        <f t="shared" si="514"/>
        <v>0</v>
      </c>
      <c r="BV97" s="432">
        <f t="shared" si="514"/>
        <v>0</v>
      </c>
      <c r="BW97" s="432">
        <f t="shared" si="514"/>
        <v>0</v>
      </c>
      <c r="BX97" s="432">
        <f t="shared" si="514"/>
        <v>0</v>
      </c>
      <c r="BY97" s="432">
        <f t="shared" si="514"/>
        <v>0</v>
      </c>
      <c r="BZ97" s="432">
        <f t="shared" si="514"/>
        <v>0</v>
      </c>
      <c r="CA97" s="432">
        <f t="shared" si="514"/>
        <v>0</v>
      </c>
      <c r="CB97" s="432">
        <f t="shared" si="514"/>
        <v>0</v>
      </c>
      <c r="CC97" s="432">
        <f t="shared" si="514"/>
        <v>0</v>
      </c>
      <c r="CD97" s="432">
        <f t="shared" si="514"/>
        <v>0</v>
      </c>
      <c r="CE97" s="432">
        <f t="shared" si="514"/>
        <v>0</v>
      </c>
      <c r="CF97" s="432">
        <f t="shared" si="514"/>
        <v>0</v>
      </c>
      <c r="CG97" s="432">
        <f t="shared" si="514"/>
        <v>0</v>
      </c>
      <c r="CH97" s="432">
        <f t="shared" si="514"/>
        <v>0</v>
      </c>
      <c r="CI97" s="432">
        <f t="shared" si="514"/>
        <v>0</v>
      </c>
      <c r="CJ97" s="432">
        <f t="shared" si="514"/>
        <v>0</v>
      </c>
      <c r="CK97" s="432">
        <f t="shared" si="514"/>
        <v>0</v>
      </c>
      <c r="CL97" s="432">
        <f t="shared" si="514"/>
        <v>0</v>
      </c>
      <c r="CM97" s="432">
        <f t="shared" si="514"/>
        <v>0</v>
      </c>
      <c r="CN97" s="432">
        <f t="shared" si="514"/>
        <v>0</v>
      </c>
      <c r="CO97" s="432">
        <f t="shared" si="514"/>
        <v>0</v>
      </c>
      <c r="CP97" s="432">
        <f t="shared" si="514"/>
        <v>0</v>
      </c>
      <c r="CQ97" s="432">
        <f t="shared" si="514"/>
        <v>0</v>
      </c>
      <c r="CR97" s="432"/>
      <c r="CS97" s="432"/>
      <c r="CT97" s="432"/>
      <c r="CU97" s="432"/>
      <c r="CV97" s="432"/>
    </row>
    <row r="98" spans="1:100" ht="15.75" customHeight="1">
      <c r="A98" s="4"/>
      <c r="B98" s="4"/>
      <c r="C98" s="435" t="s">
        <v>83</v>
      </c>
      <c r="D98" s="5" t="s">
        <v>84</v>
      </c>
      <c r="E98" s="5" t="s">
        <v>85</v>
      </c>
      <c r="F98" s="6" t="s">
        <v>86</v>
      </c>
      <c r="G98" s="6" t="s">
        <v>87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</row>
    <row r="99" spans="1:100" ht="15">
      <c r="A99" s="4"/>
      <c r="B99" s="401" t="s">
        <v>335</v>
      </c>
      <c r="C99" s="436">
        <v>0.25</v>
      </c>
      <c r="D99" s="436">
        <v>0.3</v>
      </c>
      <c r="E99" s="436">
        <v>0.2</v>
      </c>
      <c r="F99" s="436">
        <v>0.3</v>
      </c>
      <c r="G99" s="436">
        <v>0.22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</row>
    <row r="100" spans="1:100" ht="15.75" customHeight="1">
      <c r="A100" s="4"/>
      <c r="B100" s="4"/>
      <c r="C100" s="5" t="s">
        <v>336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</row>
    <row r="101" spans="1:100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</row>
    <row r="102" spans="1:100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</row>
    <row r="103" spans="1:100" ht="15.75" customHeight="1">
      <c r="A103" s="3" t="s">
        <v>337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</row>
    <row r="104" spans="1:100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</row>
    <row r="105" spans="1:100" ht="15.75" customHeight="1">
      <c r="A105" s="4"/>
      <c r="B105" s="437"/>
      <c r="C105" s="437"/>
      <c r="D105" s="437"/>
      <c r="E105" s="437"/>
      <c r="F105" s="437"/>
      <c r="G105" s="437"/>
      <c r="H105" s="437"/>
      <c r="I105" s="437"/>
      <c r="J105" s="437"/>
      <c r="K105" s="437"/>
      <c r="L105" s="437"/>
      <c r="M105" s="437"/>
      <c r="N105" s="437"/>
      <c r="O105" s="437"/>
      <c r="P105" s="437"/>
      <c r="Q105" s="437"/>
      <c r="R105" s="437"/>
      <c r="S105" s="437"/>
      <c r="T105" s="437"/>
      <c r="U105" s="437"/>
      <c r="V105" s="437"/>
      <c r="W105" s="437"/>
      <c r="X105" s="437"/>
      <c r="Y105" s="437"/>
      <c r="Z105" s="437"/>
      <c r="AA105" s="437"/>
      <c r="AB105" s="437"/>
      <c r="AC105" s="437"/>
      <c r="AD105" s="437"/>
      <c r="AE105" s="437"/>
      <c r="AF105" s="437"/>
      <c r="AG105" s="437"/>
      <c r="AH105" s="437"/>
      <c r="AI105" s="437"/>
      <c r="AJ105" s="437"/>
      <c r="AK105" s="437"/>
      <c r="AL105" s="437"/>
      <c r="AM105" s="437"/>
      <c r="AN105" s="437"/>
      <c r="AO105" s="437"/>
      <c r="AP105" s="437"/>
      <c r="AQ105" s="437"/>
      <c r="AR105" s="437"/>
      <c r="AS105" s="437"/>
      <c r="AT105" s="437"/>
      <c r="AU105" s="437"/>
      <c r="AV105" s="437"/>
      <c r="AW105" s="437"/>
      <c r="AX105" s="437"/>
      <c r="AY105" s="437"/>
      <c r="AZ105" s="437"/>
      <c r="BA105" s="437"/>
      <c r="BB105" s="437"/>
      <c r="BC105" s="437"/>
      <c r="BD105" s="437"/>
      <c r="BE105" s="437"/>
      <c r="BF105" s="437"/>
      <c r="BG105" s="437"/>
      <c r="BH105" s="437"/>
      <c r="BI105" s="437"/>
      <c r="BJ105" s="437"/>
      <c r="BK105" s="437"/>
      <c r="BL105" s="437"/>
      <c r="BM105" s="437"/>
      <c r="BN105" s="437"/>
      <c r="BO105" s="437"/>
      <c r="BP105" s="437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</row>
    <row r="106" spans="1:100" ht="15.75" customHeight="1">
      <c r="A106" s="438"/>
      <c r="B106" s="172">
        <v>45809</v>
      </c>
      <c r="C106" s="171">
        <v>45839</v>
      </c>
      <c r="D106" s="171">
        <v>45870</v>
      </c>
      <c r="E106" s="171">
        <v>45901</v>
      </c>
      <c r="F106" s="171">
        <v>45931</v>
      </c>
      <c r="G106" s="171">
        <v>45962</v>
      </c>
      <c r="H106" s="173">
        <v>45992</v>
      </c>
      <c r="I106" s="169">
        <v>46023</v>
      </c>
      <c r="J106" s="169">
        <v>46054</v>
      </c>
      <c r="K106" s="169">
        <v>46082</v>
      </c>
      <c r="L106" s="169">
        <v>46113</v>
      </c>
      <c r="M106" s="169">
        <v>46143</v>
      </c>
      <c r="N106" s="169">
        <v>46174</v>
      </c>
      <c r="O106" s="169">
        <v>46204</v>
      </c>
      <c r="P106" s="169">
        <v>46235</v>
      </c>
      <c r="Q106" s="169">
        <v>46266</v>
      </c>
      <c r="R106" s="169">
        <v>46296</v>
      </c>
      <c r="S106" s="169">
        <v>46327</v>
      </c>
      <c r="T106" s="169">
        <v>46357</v>
      </c>
      <c r="U106" s="169">
        <v>46388</v>
      </c>
      <c r="V106" s="169">
        <v>46419</v>
      </c>
      <c r="W106" s="169">
        <v>46447</v>
      </c>
      <c r="X106" s="169">
        <v>46478</v>
      </c>
      <c r="Y106" s="169">
        <v>46508</v>
      </c>
      <c r="Z106" s="169">
        <v>46539</v>
      </c>
      <c r="AA106" s="169">
        <v>46569</v>
      </c>
      <c r="AB106" s="169">
        <v>46600</v>
      </c>
      <c r="AC106" s="169">
        <v>46631</v>
      </c>
      <c r="AD106" s="169">
        <v>46661</v>
      </c>
      <c r="AE106" s="169">
        <v>46692</v>
      </c>
      <c r="AF106" s="169">
        <v>46722</v>
      </c>
      <c r="AG106" s="169">
        <v>46753</v>
      </c>
      <c r="AH106" s="169">
        <v>46784</v>
      </c>
      <c r="AI106" s="169">
        <v>46813</v>
      </c>
      <c r="AJ106" s="169">
        <v>46844</v>
      </c>
      <c r="AK106" s="169">
        <v>46874</v>
      </c>
      <c r="AL106" s="169">
        <v>46905</v>
      </c>
      <c r="AM106" s="169">
        <v>46935</v>
      </c>
      <c r="AN106" s="169">
        <v>46966</v>
      </c>
      <c r="AO106" s="169">
        <v>46997</v>
      </c>
      <c r="AP106" s="169">
        <v>47027</v>
      </c>
      <c r="AQ106" s="169">
        <v>47058</v>
      </c>
      <c r="AR106" s="169">
        <v>47088</v>
      </c>
      <c r="AS106" s="168">
        <v>47119</v>
      </c>
      <c r="AT106" s="169">
        <v>47150</v>
      </c>
      <c r="AU106" s="169">
        <v>47178</v>
      </c>
      <c r="AV106" s="169">
        <v>47209</v>
      </c>
      <c r="AW106" s="169">
        <v>47239</v>
      </c>
      <c r="AX106" s="169">
        <v>47270</v>
      </c>
      <c r="AY106" s="169">
        <v>47300</v>
      </c>
      <c r="AZ106" s="169">
        <v>47331</v>
      </c>
      <c r="BA106" s="169">
        <v>47362</v>
      </c>
      <c r="BB106" s="169">
        <v>47392</v>
      </c>
      <c r="BC106" s="169">
        <v>47423</v>
      </c>
      <c r="BD106" s="170">
        <v>47453</v>
      </c>
      <c r="BE106" s="169">
        <v>47484</v>
      </c>
      <c r="BF106" s="169">
        <v>47515</v>
      </c>
      <c r="BG106" s="169">
        <v>47543</v>
      </c>
      <c r="BH106" s="169">
        <v>47574</v>
      </c>
      <c r="BI106" s="169">
        <v>47604</v>
      </c>
      <c r="BJ106" s="169">
        <v>47635</v>
      </c>
      <c r="BK106" s="169">
        <v>47665</v>
      </c>
      <c r="BL106" s="169">
        <v>47696</v>
      </c>
      <c r="BM106" s="169">
        <v>47727</v>
      </c>
      <c r="BN106" s="169">
        <v>47757</v>
      </c>
      <c r="BO106" s="169">
        <v>47788</v>
      </c>
      <c r="BP106" s="169">
        <v>47818</v>
      </c>
      <c r="BQ106" s="168">
        <v>47849</v>
      </c>
      <c r="BR106" s="169">
        <v>47880</v>
      </c>
      <c r="BS106" s="169">
        <v>47908</v>
      </c>
      <c r="BT106" s="169">
        <v>47939</v>
      </c>
      <c r="BU106" s="169">
        <v>47969</v>
      </c>
      <c r="BV106" s="169">
        <v>48000</v>
      </c>
      <c r="BW106" s="169">
        <v>48030</v>
      </c>
      <c r="BX106" s="169">
        <v>48061</v>
      </c>
      <c r="BY106" s="169">
        <v>48092</v>
      </c>
      <c r="BZ106" s="169">
        <v>48122</v>
      </c>
      <c r="CA106" s="169">
        <v>48153</v>
      </c>
      <c r="CB106" s="170">
        <v>48183</v>
      </c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</row>
    <row r="107" spans="1:100" ht="15.75" customHeight="1">
      <c r="A107" s="439" t="s">
        <v>338</v>
      </c>
      <c r="B107" s="440">
        <f t="shared" ref="B107:CB107" si="515">SUMIFS($I$4:$I$85,$A$4:$A$85,"Sales",Q$4:Q$85,"&gt;0")+SUMIFS($I$4:$I$85,$A$4:$A$85,"Marketing",Q$4:Q$85,"&gt;0")</f>
        <v>4</v>
      </c>
      <c r="C107" s="441">
        <f t="shared" si="515"/>
        <v>4</v>
      </c>
      <c r="D107" s="441">
        <f t="shared" si="515"/>
        <v>3</v>
      </c>
      <c r="E107" s="441">
        <f t="shared" si="515"/>
        <v>3</v>
      </c>
      <c r="F107" s="441">
        <f t="shared" si="515"/>
        <v>3</v>
      </c>
      <c r="G107" s="441">
        <f t="shared" si="515"/>
        <v>3</v>
      </c>
      <c r="H107" s="442">
        <f t="shared" si="515"/>
        <v>3</v>
      </c>
      <c r="I107" s="440">
        <f t="shared" si="515"/>
        <v>3</v>
      </c>
      <c r="J107" s="441">
        <f t="shared" si="515"/>
        <v>2</v>
      </c>
      <c r="K107" s="441">
        <f t="shared" si="515"/>
        <v>3</v>
      </c>
      <c r="L107" s="441">
        <f t="shared" si="515"/>
        <v>3</v>
      </c>
      <c r="M107" s="441">
        <f t="shared" si="515"/>
        <v>3</v>
      </c>
      <c r="N107" s="441">
        <f t="shared" si="515"/>
        <v>3</v>
      </c>
      <c r="O107" s="441">
        <f t="shared" si="515"/>
        <v>3</v>
      </c>
      <c r="P107" s="441">
        <f t="shared" si="515"/>
        <v>3</v>
      </c>
      <c r="Q107" s="441">
        <f t="shared" si="515"/>
        <v>3</v>
      </c>
      <c r="R107" s="441">
        <f t="shared" si="515"/>
        <v>3</v>
      </c>
      <c r="S107" s="441">
        <f t="shared" si="515"/>
        <v>3</v>
      </c>
      <c r="T107" s="441">
        <f t="shared" si="515"/>
        <v>3</v>
      </c>
      <c r="U107" s="440">
        <f t="shared" si="515"/>
        <v>3</v>
      </c>
      <c r="V107" s="441">
        <f t="shared" si="515"/>
        <v>3</v>
      </c>
      <c r="W107" s="441">
        <f t="shared" si="515"/>
        <v>3</v>
      </c>
      <c r="X107" s="441">
        <f t="shared" si="515"/>
        <v>3</v>
      </c>
      <c r="Y107" s="441">
        <f t="shared" si="515"/>
        <v>3</v>
      </c>
      <c r="Z107" s="441">
        <f t="shared" si="515"/>
        <v>3</v>
      </c>
      <c r="AA107" s="441">
        <f t="shared" si="515"/>
        <v>3</v>
      </c>
      <c r="AB107" s="441">
        <f t="shared" si="515"/>
        <v>3</v>
      </c>
      <c r="AC107" s="441">
        <f t="shared" si="515"/>
        <v>3</v>
      </c>
      <c r="AD107" s="441">
        <f t="shared" si="515"/>
        <v>3</v>
      </c>
      <c r="AE107" s="441">
        <f t="shared" si="515"/>
        <v>3</v>
      </c>
      <c r="AF107" s="441">
        <f t="shared" si="515"/>
        <v>3</v>
      </c>
      <c r="AG107" s="440">
        <f t="shared" si="515"/>
        <v>3</v>
      </c>
      <c r="AH107" s="441">
        <f t="shared" si="515"/>
        <v>3</v>
      </c>
      <c r="AI107" s="441">
        <f t="shared" si="515"/>
        <v>3</v>
      </c>
      <c r="AJ107" s="441">
        <f t="shared" si="515"/>
        <v>3</v>
      </c>
      <c r="AK107" s="441">
        <f t="shared" si="515"/>
        <v>3</v>
      </c>
      <c r="AL107" s="441">
        <f t="shared" si="515"/>
        <v>3</v>
      </c>
      <c r="AM107" s="441">
        <f t="shared" si="515"/>
        <v>3</v>
      </c>
      <c r="AN107" s="441">
        <f t="shared" si="515"/>
        <v>3</v>
      </c>
      <c r="AO107" s="441">
        <f t="shared" si="515"/>
        <v>3</v>
      </c>
      <c r="AP107" s="441">
        <f t="shared" si="515"/>
        <v>3</v>
      </c>
      <c r="AQ107" s="441">
        <f t="shared" si="515"/>
        <v>3</v>
      </c>
      <c r="AR107" s="441">
        <f t="shared" si="515"/>
        <v>3</v>
      </c>
      <c r="AS107" s="440">
        <f t="shared" si="515"/>
        <v>3</v>
      </c>
      <c r="AT107" s="441">
        <f t="shared" si="515"/>
        <v>3</v>
      </c>
      <c r="AU107" s="441">
        <f t="shared" si="515"/>
        <v>3</v>
      </c>
      <c r="AV107" s="441">
        <f t="shared" si="515"/>
        <v>3</v>
      </c>
      <c r="AW107" s="441">
        <f t="shared" si="515"/>
        <v>3</v>
      </c>
      <c r="AX107" s="441">
        <f t="shared" si="515"/>
        <v>3</v>
      </c>
      <c r="AY107" s="441">
        <f t="shared" si="515"/>
        <v>3</v>
      </c>
      <c r="AZ107" s="441">
        <f t="shared" si="515"/>
        <v>3</v>
      </c>
      <c r="BA107" s="441">
        <f t="shared" si="515"/>
        <v>3</v>
      </c>
      <c r="BB107" s="441">
        <f t="shared" si="515"/>
        <v>3</v>
      </c>
      <c r="BC107" s="441">
        <f t="shared" si="515"/>
        <v>3</v>
      </c>
      <c r="BD107" s="441">
        <f t="shared" si="515"/>
        <v>3</v>
      </c>
      <c r="BE107" s="440">
        <f t="shared" si="515"/>
        <v>3</v>
      </c>
      <c r="BF107" s="441">
        <f t="shared" si="515"/>
        <v>5</v>
      </c>
      <c r="BG107" s="441">
        <f t="shared" si="515"/>
        <v>5</v>
      </c>
      <c r="BH107" s="441">
        <f t="shared" si="515"/>
        <v>8</v>
      </c>
      <c r="BI107" s="441">
        <f t="shared" si="515"/>
        <v>10</v>
      </c>
      <c r="BJ107" s="441">
        <f t="shared" si="515"/>
        <v>10</v>
      </c>
      <c r="BK107" s="441">
        <f t="shared" si="515"/>
        <v>12</v>
      </c>
      <c r="BL107" s="441">
        <f t="shared" si="515"/>
        <v>12</v>
      </c>
      <c r="BM107" s="441">
        <f t="shared" si="515"/>
        <v>12</v>
      </c>
      <c r="BN107" s="441">
        <f t="shared" si="515"/>
        <v>12</v>
      </c>
      <c r="BO107" s="441">
        <f t="shared" si="515"/>
        <v>12</v>
      </c>
      <c r="BP107" s="441">
        <f t="shared" si="515"/>
        <v>12</v>
      </c>
      <c r="BQ107" s="440">
        <f t="shared" si="515"/>
        <v>13</v>
      </c>
      <c r="BR107" s="441">
        <f t="shared" si="515"/>
        <v>14</v>
      </c>
      <c r="BS107" s="441">
        <f t="shared" si="515"/>
        <v>15</v>
      </c>
      <c r="BT107" s="441">
        <f t="shared" si="515"/>
        <v>15</v>
      </c>
      <c r="BU107" s="441">
        <f t="shared" si="515"/>
        <v>15</v>
      </c>
      <c r="BV107" s="441">
        <f t="shared" si="515"/>
        <v>18</v>
      </c>
      <c r="BW107" s="441">
        <f t="shared" si="515"/>
        <v>18</v>
      </c>
      <c r="BX107" s="441">
        <f t="shared" si="515"/>
        <v>19</v>
      </c>
      <c r="BY107" s="441">
        <f t="shared" si="515"/>
        <v>19</v>
      </c>
      <c r="BZ107" s="441">
        <f t="shared" si="515"/>
        <v>21</v>
      </c>
      <c r="CA107" s="441">
        <f t="shared" si="515"/>
        <v>21</v>
      </c>
      <c r="CB107" s="442">
        <f t="shared" si="515"/>
        <v>21</v>
      </c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</row>
    <row r="108" spans="1:100" ht="15.75" customHeight="1">
      <c r="A108" s="443" t="s">
        <v>339</v>
      </c>
      <c r="B108" s="444">
        <f ca="1">'Annexe D  Organisation'!B5</f>
        <v>2.5</v>
      </c>
      <c r="C108" s="445">
        <f ca="1">'Annexe D  Organisation'!C5</f>
        <v>3.5161133490764067</v>
      </c>
      <c r="D108" s="445">
        <f ca="1">'Annexe D  Organisation'!D5</f>
        <v>3.5164971420025188</v>
      </c>
      <c r="E108" s="445">
        <f ca="1">'Annexe D  Organisation'!E5</f>
        <v>3.5168693963901396</v>
      </c>
      <c r="F108" s="445">
        <f ca="1">'Annexe D  Organisation'!F5</f>
        <v>3.5172304760950404</v>
      </c>
      <c r="G108" s="445">
        <f ca="1">'Annexe D  Organisation'!G5</f>
        <v>3.5175807322544026</v>
      </c>
      <c r="H108" s="446">
        <f ca="1">'Annexe D  Organisation'!H5</f>
        <v>3.5179205037775771</v>
      </c>
      <c r="I108" s="444">
        <f ca="1">'Annexe D  Organisation'!I5</f>
        <v>3.5455347184159876</v>
      </c>
      <c r="J108" s="445">
        <f ca="1">'Annexe D  Organisation'!J5</f>
        <v>3.5480806508645135</v>
      </c>
      <c r="K108" s="447">
        <f ca="1">'Annexe D  Organisation'!K5</f>
        <v>3.5424163522629226</v>
      </c>
      <c r="L108" s="447">
        <f ca="1">'Annexe D  Organisation'!L5</f>
        <v>3.5506531786048598</v>
      </c>
      <c r="M108" s="447">
        <f ca="1">'Annexe D  Organisation'!M5</f>
        <v>3.5521588939852631</v>
      </c>
      <c r="N108" s="447">
        <f ca="1">'Annexe D  Organisation'!N5</f>
        <v>3.553629815520563</v>
      </c>
      <c r="O108" s="447">
        <f ca="1">'Annexe D  Organisation'!O5</f>
        <v>3.5550667928943285</v>
      </c>
      <c r="P108" s="447">
        <f ca="1">'Annexe D  Organisation'!P5</f>
        <v>3.561150543590978</v>
      </c>
      <c r="Q108" s="445">
        <f ca="1">'Annexe D  Organisation'!Q5</f>
        <v>3.5630088719792328</v>
      </c>
      <c r="R108" s="445">
        <f ca="1">'Annexe D  Organisation'!R5</f>
        <v>3.5648209357877576</v>
      </c>
      <c r="S108" s="445">
        <f ca="1">'Annexe D  Organisation'!S5</f>
        <v>3.56658799315937</v>
      </c>
      <c r="T108" s="446">
        <f ca="1">'Annexe D  Organisation'!T5</f>
        <v>3.5683112634383818</v>
      </c>
      <c r="U108" s="448">
        <f ca="1">'Annexe D  Organisation'!U5</f>
        <v>3.5890331364408392</v>
      </c>
      <c r="V108" s="445">
        <f ca="1">'Annexe D  Organisation'!V5</f>
        <v>3.5916884091038059</v>
      </c>
      <c r="W108" s="447">
        <f ca="1">'Annexe D  Organisation'!W5</f>
        <v>3.5942971731929738</v>
      </c>
      <c r="X108" s="447">
        <f ca="1">'Annexe D  Organisation'!X5</f>
        <v>3.5968603066366347</v>
      </c>
      <c r="Y108" s="447">
        <f ca="1">'Annexe D  Organisation'!Y5</f>
        <v>3.5993786689395986</v>
      </c>
      <c r="Z108" s="447">
        <f ca="1">'Annexe D  Organisation'!Z5</f>
        <v>3.6018531016250535</v>
      </c>
      <c r="AA108" s="447">
        <f ca="1">'Annexe D  Organisation'!AA5</f>
        <v>3.6042844286640849</v>
      </c>
      <c r="AB108" s="447">
        <f ca="1">'Annexe D  Organisation'!AB5</f>
        <v>3.6111583522892925</v>
      </c>
      <c r="AC108" s="449">
        <f ca="1">'Annexe D  Organisation'!AC5</f>
        <v>3.6138205164780581</v>
      </c>
      <c r="AD108" s="449">
        <f ca="1">'Annexe D  Organisation'!AD5</f>
        <v>3.6164342556063405</v>
      </c>
      <c r="AE108" s="449">
        <f ca="1">'Annexe D  Organisation'!AE5</f>
        <v>3.6190005552651678</v>
      </c>
      <c r="AF108" s="450">
        <f ca="1">'Annexe D  Organisation'!AF5</f>
        <v>3.6215203776392642</v>
      </c>
      <c r="AG108" s="448">
        <f ca="1">'Annexe D  Organisation'!AG5</f>
        <v>3.6070839663018748</v>
      </c>
      <c r="AH108" s="445">
        <f ca="1">'Annexe D  Organisation'!AH5</f>
        <v>3.6091136941984439</v>
      </c>
      <c r="AI108" s="447">
        <f ca="1">'Annexe D  Organisation'!AI5</f>
        <v>3.6111160404353382</v>
      </c>
      <c r="AJ108" s="447">
        <f ca="1">'Annexe D  Organisation'!AJ5</f>
        <v>3.6130913545885006</v>
      </c>
      <c r="AK108" s="447">
        <f ca="1">'Annexe D  Organisation'!AK5</f>
        <v>3.6150399830487561</v>
      </c>
      <c r="AL108" s="447">
        <f ca="1">'Annexe D  Organisation'!AL5</f>
        <v>3.6169622689898104</v>
      </c>
      <c r="AM108" s="447">
        <f ca="1">'Annexe D  Organisation'!AM5</f>
        <v>3.6188585523396783</v>
      </c>
      <c r="AN108" s="447">
        <f ca="1">'Annexe D  Organisation'!AN5</f>
        <v>3.6207291697554234</v>
      </c>
      <c r="AO108" s="449">
        <f ca="1">'Annexe D  Organisation'!AO5</f>
        <v>3.6225744546009997</v>
      </c>
      <c r="AP108" s="449">
        <f ca="1">'Annexe D  Organisation'!AP5</f>
        <v>3.6243947369281235</v>
      </c>
      <c r="AQ108" s="449">
        <f ca="1">'Annexe D  Organisation'!AQ5</f>
        <v>3.6261903434599558</v>
      </c>
      <c r="AR108" s="450">
        <f ca="1">'Annexe D  Organisation'!AR5</f>
        <v>3.6279615975775252</v>
      </c>
      <c r="AS108" s="448">
        <f ca="1">'Annexe D  Organisation'!AS5</f>
        <v>4.5805128033208513</v>
      </c>
      <c r="AT108" s="445">
        <f ca="1">'Annexe D  Organisation'!AT5</f>
        <v>4.5809353909596506</v>
      </c>
      <c r="AU108" s="447">
        <f ca="1">'Annexe D  Organisation'!AU5</f>
        <v>4.5813509820164917</v>
      </c>
      <c r="AV108" s="447">
        <f ca="1">'Annexe D  Organisation'!AV5</f>
        <v>4.581759671509019</v>
      </c>
      <c r="AW108" s="447">
        <f ca="1">'Annexe D  Organisation'!AW5</f>
        <v>4.5821615538009413</v>
      </c>
      <c r="AX108" s="447">
        <f ca="1">'Annexe D  Organisation'!AX5</f>
        <v>4.5825567225739583</v>
      </c>
      <c r="AY108" s="447">
        <f ca="1">'Annexe D  Organisation'!AY5</f>
        <v>4.5829452708017042</v>
      </c>
      <c r="AZ108" s="447">
        <f ca="1">'Annexe D  Organisation'!AZ5</f>
        <v>4.6018518586656949</v>
      </c>
      <c r="BA108" s="449">
        <f ca="1">'Annexe D  Organisation'!BA5</f>
        <v>4.602266075246499</v>
      </c>
      <c r="BB108" s="449">
        <f ca="1">'Annexe D  Organisation'!BB5</f>
        <v>5.6026731520905129</v>
      </c>
      <c r="BC108" s="449">
        <f ca="1">'Annexe D  Organisation'!BC5</f>
        <v>5.603073194694268</v>
      </c>
      <c r="BD108" s="450">
        <f ca="1">'Annexe D  Organisation'!BD5</f>
        <v>5.6034663072824804</v>
      </c>
      <c r="BE108" s="448">
        <f ca="1">'Annexe D  Organisation'!BE5</f>
        <v>9.5772955152760222</v>
      </c>
      <c r="BF108" s="445">
        <f ca="1">'Annexe D  Organisation'!BF5</f>
        <v>9.5767319226576255</v>
      </c>
      <c r="BG108" s="447">
        <f ca="1">'Annexe D  Organisation'!BG5</f>
        <v>9.6444229587323349</v>
      </c>
      <c r="BH108" s="447">
        <f ca="1">'Annexe D  Organisation'!BH5</f>
        <v>9.6431894965145712</v>
      </c>
      <c r="BI108" s="447">
        <f ca="1">'Annexe D  Organisation'!BI5</f>
        <v>9.7102198458279805</v>
      </c>
      <c r="BJ108" s="447">
        <f ca="1">'Annexe D  Organisation'!BJ5</f>
        <v>9.7765949510241263</v>
      </c>
      <c r="BK108" s="447">
        <f ca="1">'Annexe D  Organisation'!BK5</f>
        <v>10.774073708075424</v>
      </c>
      <c r="BL108" s="447">
        <f ca="1">'Annexe D  Organisation'!BL5</f>
        <v>11.084274429420011</v>
      </c>
      <c r="BM108" s="449">
        <f ca="1">'Annexe D  Organisation'!BM5</f>
        <v>11.078660328223176</v>
      </c>
      <c r="BN108" s="449">
        <f ca="1">'Annexe D  Organisation'!BN5</f>
        <v>11.07311956352893</v>
      </c>
      <c r="BO108" s="449">
        <f ca="1">'Annexe D  Organisation'!BO5</f>
        <v>11.067650863933387</v>
      </c>
      <c r="BP108" s="450">
        <f ca="1">'Annexe D  Organisation'!BP5</f>
        <v>12.062252984918308</v>
      </c>
      <c r="BQ108" s="448">
        <f ca="1">'Annexe D  Organisation'!BQ5</f>
        <v>22.055945640595052</v>
      </c>
      <c r="BR108" s="445">
        <f ca="1">'Annexe D  Organisation'!BR5</f>
        <v>22.084704633989322</v>
      </c>
      <c r="BS108" s="447">
        <f ca="1">'Annexe D  Organisation'!BS5</f>
        <v>22.079056361775329</v>
      </c>
      <c r="BT108" s="447">
        <f ca="1">'Annexe D  Organisation'!BT5</f>
        <v>23.10760237728541</v>
      </c>
      <c r="BU108" s="447">
        <f ca="1">'Annexe D  Organisation'!BU5</f>
        <v>23.101743582838353</v>
      </c>
      <c r="BV108" s="447">
        <f ca="1">'Annexe D  Organisation'!BV5</f>
        <v>23.095956497922359</v>
      </c>
      <c r="BW108" s="447">
        <f ca="1">'Annexe D  Organisation'!BW5</f>
        <v>23.192615066547365</v>
      </c>
      <c r="BX108" s="447">
        <f ca="1">'Annexe D  Organisation'!BX5</f>
        <v>24.124153928319704</v>
      </c>
      <c r="BY108" s="449">
        <f ca="1">'Annexe D  Organisation'!BY5</f>
        <v>24.142206354115523</v>
      </c>
      <c r="BZ108" s="449">
        <f ca="1">'Annexe D  Organisation'!BZ5</f>
        <v>24.125998922040822</v>
      </c>
      <c r="CA108" s="449">
        <f ca="1">'Annexe D  Organisation'!CA5</f>
        <v>24.178243992154073</v>
      </c>
      <c r="CB108" s="450">
        <f ca="1">'Annexe D  Organisation'!CB5</f>
        <v>24.161742383183096</v>
      </c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</row>
    <row r="109" spans="1:100" ht="15.75" customHeight="1">
      <c r="A109" s="439" t="s">
        <v>340</v>
      </c>
      <c r="B109" s="440">
        <f t="shared" ref="B109:CB109" si="516">SUMIFS($I$4:$I$85,$A$4:$A$85,"R&amp;D",Q$4:Q$85,"&gt;0")</f>
        <v>6</v>
      </c>
      <c r="C109" s="441">
        <f t="shared" si="516"/>
        <v>6</v>
      </c>
      <c r="D109" s="441">
        <f t="shared" si="516"/>
        <v>6</v>
      </c>
      <c r="E109" s="441">
        <f t="shared" si="516"/>
        <v>6</v>
      </c>
      <c r="F109" s="441">
        <f t="shared" si="516"/>
        <v>7</v>
      </c>
      <c r="G109" s="441">
        <f t="shared" si="516"/>
        <v>7</v>
      </c>
      <c r="H109" s="442">
        <f t="shared" si="516"/>
        <v>6</v>
      </c>
      <c r="I109" s="440">
        <f t="shared" si="516"/>
        <v>6</v>
      </c>
      <c r="J109" s="441">
        <f t="shared" si="516"/>
        <v>6</v>
      </c>
      <c r="K109" s="441">
        <f t="shared" si="516"/>
        <v>6</v>
      </c>
      <c r="L109" s="441">
        <f t="shared" si="516"/>
        <v>6</v>
      </c>
      <c r="M109" s="441">
        <f t="shared" si="516"/>
        <v>6</v>
      </c>
      <c r="N109" s="441">
        <f t="shared" si="516"/>
        <v>6</v>
      </c>
      <c r="O109" s="441">
        <f t="shared" si="516"/>
        <v>9</v>
      </c>
      <c r="P109" s="441">
        <f t="shared" si="516"/>
        <v>9</v>
      </c>
      <c r="Q109" s="441">
        <f t="shared" si="516"/>
        <v>9</v>
      </c>
      <c r="R109" s="441">
        <f t="shared" si="516"/>
        <v>9</v>
      </c>
      <c r="S109" s="441">
        <f t="shared" si="516"/>
        <v>9</v>
      </c>
      <c r="T109" s="441">
        <f t="shared" si="516"/>
        <v>9</v>
      </c>
      <c r="U109" s="440">
        <f t="shared" si="516"/>
        <v>9</v>
      </c>
      <c r="V109" s="441">
        <f t="shared" si="516"/>
        <v>9</v>
      </c>
      <c r="W109" s="441">
        <f t="shared" si="516"/>
        <v>9</v>
      </c>
      <c r="X109" s="441">
        <f t="shared" si="516"/>
        <v>9</v>
      </c>
      <c r="Y109" s="441">
        <f t="shared" si="516"/>
        <v>9</v>
      </c>
      <c r="Z109" s="441">
        <f t="shared" si="516"/>
        <v>9</v>
      </c>
      <c r="AA109" s="441">
        <f t="shared" si="516"/>
        <v>9</v>
      </c>
      <c r="AB109" s="441">
        <f t="shared" si="516"/>
        <v>9</v>
      </c>
      <c r="AC109" s="441">
        <f t="shared" si="516"/>
        <v>9</v>
      </c>
      <c r="AD109" s="441">
        <f t="shared" si="516"/>
        <v>9</v>
      </c>
      <c r="AE109" s="441">
        <f t="shared" si="516"/>
        <v>9</v>
      </c>
      <c r="AF109" s="441">
        <f t="shared" si="516"/>
        <v>9</v>
      </c>
      <c r="AG109" s="440">
        <f t="shared" si="516"/>
        <v>9</v>
      </c>
      <c r="AH109" s="441">
        <f t="shared" si="516"/>
        <v>9</v>
      </c>
      <c r="AI109" s="441">
        <f t="shared" si="516"/>
        <v>9</v>
      </c>
      <c r="AJ109" s="441">
        <f t="shared" si="516"/>
        <v>9</v>
      </c>
      <c r="AK109" s="441">
        <f t="shared" si="516"/>
        <v>9</v>
      </c>
      <c r="AL109" s="441">
        <f t="shared" si="516"/>
        <v>9</v>
      </c>
      <c r="AM109" s="441">
        <f t="shared" si="516"/>
        <v>9</v>
      </c>
      <c r="AN109" s="441">
        <f t="shared" si="516"/>
        <v>9</v>
      </c>
      <c r="AO109" s="441">
        <f t="shared" si="516"/>
        <v>9</v>
      </c>
      <c r="AP109" s="441">
        <f t="shared" si="516"/>
        <v>9</v>
      </c>
      <c r="AQ109" s="441">
        <f t="shared" si="516"/>
        <v>9</v>
      </c>
      <c r="AR109" s="441">
        <f t="shared" si="516"/>
        <v>9</v>
      </c>
      <c r="AS109" s="440">
        <f t="shared" si="516"/>
        <v>9</v>
      </c>
      <c r="AT109" s="441">
        <f t="shared" si="516"/>
        <v>9</v>
      </c>
      <c r="AU109" s="441">
        <f t="shared" si="516"/>
        <v>9</v>
      </c>
      <c r="AV109" s="441">
        <f t="shared" si="516"/>
        <v>9</v>
      </c>
      <c r="AW109" s="441">
        <f t="shared" si="516"/>
        <v>9</v>
      </c>
      <c r="AX109" s="441">
        <f t="shared" si="516"/>
        <v>9</v>
      </c>
      <c r="AY109" s="441">
        <f t="shared" si="516"/>
        <v>9</v>
      </c>
      <c r="AZ109" s="441">
        <f t="shared" si="516"/>
        <v>9</v>
      </c>
      <c r="BA109" s="441">
        <f t="shared" si="516"/>
        <v>10</v>
      </c>
      <c r="BB109" s="441">
        <f t="shared" si="516"/>
        <v>11</v>
      </c>
      <c r="BC109" s="441">
        <f t="shared" si="516"/>
        <v>12</v>
      </c>
      <c r="BD109" s="441">
        <f t="shared" si="516"/>
        <v>12</v>
      </c>
      <c r="BE109" s="440">
        <f t="shared" si="516"/>
        <v>12</v>
      </c>
      <c r="BF109" s="441">
        <f t="shared" si="516"/>
        <v>12</v>
      </c>
      <c r="BG109" s="441">
        <f t="shared" si="516"/>
        <v>12</v>
      </c>
      <c r="BH109" s="441">
        <f t="shared" si="516"/>
        <v>14</v>
      </c>
      <c r="BI109" s="441">
        <f t="shared" si="516"/>
        <v>14</v>
      </c>
      <c r="BJ109" s="441">
        <f t="shared" si="516"/>
        <v>14</v>
      </c>
      <c r="BK109" s="441">
        <f t="shared" si="516"/>
        <v>14</v>
      </c>
      <c r="BL109" s="441">
        <f t="shared" si="516"/>
        <v>15</v>
      </c>
      <c r="BM109" s="441">
        <f t="shared" si="516"/>
        <v>17</v>
      </c>
      <c r="BN109" s="441">
        <f t="shared" si="516"/>
        <v>17</v>
      </c>
      <c r="BO109" s="441">
        <f t="shared" si="516"/>
        <v>18</v>
      </c>
      <c r="BP109" s="441">
        <f t="shared" si="516"/>
        <v>18</v>
      </c>
      <c r="BQ109" s="440">
        <f t="shared" si="516"/>
        <v>18</v>
      </c>
      <c r="BR109" s="441">
        <f t="shared" si="516"/>
        <v>18</v>
      </c>
      <c r="BS109" s="441">
        <f t="shared" si="516"/>
        <v>18</v>
      </c>
      <c r="BT109" s="441">
        <f t="shared" si="516"/>
        <v>18</v>
      </c>
      <c r="BU109" s="441">
        <f t="shared" si="516"/>
        <v>18</v>
      </c>
      <c r="BV109" s="441">
        <f t="shared" si="516"/>
        <v>18</v>
      </c>
      <c r="BW109" s="441">
        <f t="shared" si="516"/>
        <v>18</v>
      </c>
      <c r="BX109" s="441">
        <f t="shared" si="516"/>
        <v>18</v>
      </c>
      <c r="BY109" s="441">
        <f t="shared" si="516"/>
        <v>18</v>
      </c>
      <c r="BZ109" s="441">
        <f t="shared" si="516"/>
        <v>18</v>
      </c>
      <c r="CA109" s="441">
        <f t="shared" si="516"/>
        <v>18</v>
      </c>
      <c r="CB109" s="442">
        <f t="shared" si="516"/>
        <v>18</v>
      </c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</row>
    <row r="110" spans="1:100" ht="15.75" customHeight="1">
      <c r="A110" s="443" t="s">
        <v>341</v>
      </c>
      <c r="B110" s="444">
        <f>'Annexe D  Organisation'!B8</f>
        <v>6.0500000000000007</v>
      </c>
      <c r="C110" s="445">
        <f>'Annexe D  Organisation'!C8</f>
        <v>6.5500000000000007</v>
      </c>
      <c r="D110" s="445">
        <f>'Annexe D  Organisation'!D8</f>
        <v>6.5500000000000007</v>
      </c>
      <c r="E110" s="445">
        <f>'Annexe D  Organisation'!E8</f>
        <v>6.5500000000000007</v>
      </c>
      <c r="F110" s="445">
        <f>'Annexe D  Organisation'!F8</f>
        <v>6.5500000000000007</v>
      </c>
      <c r="G110" s="445">
        <f>'Annexe D  Organisation'!G8</f>
        <v>6.5500000000000007</v>
      </c>
      <c r="H110" s="446">
        <f>'Annexe D  Organisation'!H8</f>
        <v>6.5500000000000007</v>
      </c>
      <c r="I110" s="444">
        <f>'Annexe D  Organisation'!I8</f>
        <v>6.5500000000000007</v>
      </c>
      <c r="J110" s="445">
        <f>'Annexe D  Organisation'!J8</f>
        <v>6.5500000000000007</v>
      </c>
      <c r="K110" s="445">
        <f ca="1">'Annexe D  Organisation'!K8</f>
        <v>10.8</v>
      </c>
      <c r="L110" s="445">
        <f ca="1">'Annexe D  Organisation'!L8</f>
        <v>10.8</v>
      </c>
      <c r="M110" s="445">
        <f ca="1">'Annexe D  Organisation'!M8</f>
        <v>10.8</v>
      </c>
      <c r="N110" s="445">
        <f ca="1">'Annexe D  Organisation'!N8</f>
        <v>10.8</v>
      </c>
      <c r="O110" s="445">
        <f ca="1">'Annexe D  Organisation'!O8</f>
        <v>10.8</v>
      </c>
      <c r="P110" s="445">
        <f ca="1">'Annexe D  Organisation'!P8</f>
        <v>10.8</v>
      </c>
      <c r="Q110" s="445">
        <f ca="1">'Annexe D  Organisation'!Q8</f>
        <v>10.8</v>
      </c>
      <c r="R110" s="445">
        <f ca="1">'Annexe D  Organisation'!R8</f>
        <v>10.8</v>
      </c>
      <c r="S110" s="445">
        <f ca="1">'Annexe D  Organisation'!S8</f>
        <v>10.8</v>
      </c>
      <c r="T110" s="446">
        <f ca="1">'Annexe D  Organisation'!T8</f>
        <v>6.5500000000000007</v>
      </c>
      <c r="U110" s="444">
        <f ca="1">'Annexe D  Organisation'!U8</f>
        <v>10.8</v>
      </c>
      <c r="V110" s="445">
        <f ca="1">'Annexe D  Organisation'!V8</f>
        <v>10.8</v>
      </c>
      <c r="W110" s="445">
        <f ca="1">'Annexe D  Organisation'!W8</f>
        <v>10.8</v>
      </c>
      <c r="X110" s="445">
        <f ca="1">'Annexe D  Organisation'!X8</f>
        <v>10.8</v>
      </c>
      <c r="Y110" s="445">
        <f ca="1">'Annexe D  Organisation'!Y8</f>
        <v>10.8</v>
      </c>
      <c r="Z110" s="445">
        <f ca="1">'Annexe D  Organisation'!Z8</f>
        <v>10.8</v>
      </c>
      <c r="AA110" s="445">
        <f ca="1">'Annexe D  Organisation'!AA8</f>
        <v>10.8</v>
      </c>
      <c r="AB110" s="445">
        <f ca="1">'Annexe D  Organisation'!AB8</f>
        <v>10.8</v>
      </c>
      <c r="AC110" s="445">
        <f ca="1">'Annexe D  Organisation'!AC8</f>
        <v>10.8</v>
      </c>
      <c r="AD110" s="445">
        <f ca="1">'Annexe D  Organisation'!AD8</f>
        <v>10.8</v>
      </c>
      <c r="AE110" s="445">
        <f ca="1">'Annexe D  Organisation'!AE8</f>
        <v>10.8</v>
      </c>
      <c r="AF110" s="446">
        <f ca="1">'Annexe D  Organisation'!AF8</f>
        <v>10.8</v>
      </c>
      <c r="AG110" s="444">
        <f ca="1">'Annexe D  Organisation'!AG8</f>
        <v>10.8</v>
      </c>
      <c r="AH110" s="445">
        <f ca="1">'Annexe D  Organisation'!AH8</f>
        <v>10.8</v>
      </c>
      <c r="AI110" s="445">
        <f ca="1">'Annexe D  Organisation'!AI8</f>
        <v>10.8</v>
      </c>
      <c r="AJ110" s="445">
        <f ca="1">'Annexe D  Organisation'!AJ8</f>
        <v>10.8</v>
      </c>
      <c r="AK110" s="445">
        <f ca="1">'Annexe D  Organisation'!AK8</f>
        <v>10.8</v>
      </c>
      <c r="AL110" s="445">
        <f ca="1">'Annexe D  Organisation'!AL8</f>
        <v>10.8</v>
      </c>
      <c r="AM110" s="445">
        <f ca="1">'Annexe D  Organisation'!AM8</f>
        <v>10.8</v>
      </c>
      <c r="AN110" s="445">
        <f ca="1">'Annexe D  Organisation'!AN8</f>
        <v>10.8</v>
      </c>
      <c r="AO110" s="445">
        <f ca="1">'Annexe D  Organisation'!AO8</f>
        <v>10.8</v>
      </c>
      <c r="AP110" s="445">
        <f ca="1">'Annexe D  Organisation'!AP8</f>
        <v>10.8</v>
      </c>
      <c r="AQ110" s="445">
        <f ca="1">'Annexe D  Organisation'!AQ8</f>
        <v>10.8</v>
      </c>
      <c r="AR110" s="446">
        <f ca="1">'Annexe D  Organisation'!AR8</f>
        <v>10.8</v>
      </c>
      <c r="AS110" s="444">
        <f ca="1">'Annexe D  Organisation'!AS8</f>
        <v>6.5500000000000007</v>
      </c>
      <c r="AT110" s="445">
        <f ca="1">'Annexe D  Organisation'!AT8</f>
        <v>6.5500000000000007</v>
      </c>
      <c r="AU110" s="445">
        <f ca="1">'Annexe D  Organisation'!AU8</f>
        <v>6.5500000000000007</v>
      </c>
      <c r="AV110" s="445">
        <f ca="1">'Annexe D  Organisation'!AV8</f>
        <v>6.5500000000000007</v>
      </c>
      <c r="AW110" s="445">
        <f ca="1">'Annexe D  Organisation'!AW8</f>
        <v>6.5500000000000007</v>
      </c>
      <c r="AX110" s="445">
        <f ca="1">'Annexe D  Organisation'!AX8</f>
        <v>6.5500000000000007</v>
      </c>
      <c r="AY110" s="445">
        <f ca="1">'Annexe D  Organisation'!AY8</f>
        <v>6.5500000000000007</v>
      </c>
      <c r="AZ110" s="445">
        <f ca="1">'Annexe D  Organisation'!AZ8</f>
        <v>6.5500000000000007</v>
      </c>
      <c r="BA110" s="445">
        <f ca="1">'Annexe D  Organisation'!BA8</f>
        <v>9.8000000000000007</v>
      </c>
      <c r="BB110" s="445">
        <f ca="1">'Annexe D  Organisation'!BB8</f>
        <v>9.8000000000000007</v>
      </c>
      <c r="BC110" s="445">
        <f ca="1">'Annexe D  Organisation'!BC8</f>
        <v>9.8000000000000007</v>
      </c>
      <c r="BD110" s="446">
        <f ca="1">'Annexe D  Organisation'!BD8</f>
        <v>9.8000000000000007</v>
      </c>
      <c r="BE110" s="444">
        <f ca="1">'Annexe D  Organisation'!BE8</f>
        <v>9.8000000000000007</v>
      </c>
      <c r="BF110" s="445">
        <f ca="1">'Annexe D  Organisation'!BF8</f>
        <v>12.100000000000001</v>
      </c>
      <c r="BG110" s="445">
        <f ca="1">'Annexe D  Organisation'!BG8</f>
        <v>12.100000000000001</v>
      </c>
      <c r="BH110" s="445">
        <f ca="1">'Annexe D  Organisation'!BH8</f>
        <v>12.100000000000001</v>
      </c>
      <c r="BI110" s="445">
        <f ca="1">'Annexe D  Organisation'!BI8</f>
        <v>12.100000000000001</v>
      </c>
      <c r="BJ110" s="445">
        <f ca="1">'Annexe D  Organisation'!BJ8</f>
        <v>12.100000000000001</v>
      </c>
      <c r="BK110" s="445">
        <f ca="1">'Annexe D  Organisation'!BK8</f>
        <v>12.100000000000001</v>
      </c>
      <c r="BL110" s="445">
        <f ca="1">'Annexe D  Organisation'!BL8</f>
        <v>12.100000000000001</v>
      </c>
      <c r="BM110" s="445">
        <f ca="1">'Annexe D  Organisation'!BM8</f>
        <v>15.350000000000001</v>
      </c>
      <c r="BN110" s="445">
        <f ca="1">'Annexe D  Organisation'!BN8</f>
        <v>15.350000000000001</v>
      </c>
      <c r="BO110" s="445">
        <f ca="1">'Annexe D  Organisation'!BO8</f>
        <v>15.350000000000001</v>
      </c>
      <c r="BP110" s="446">
        <f ca="1">'Annexe D  Organisation'!BP8</f>
        <v>15.350000000000001</v>
      </c>
      <c r="BQ110" s="444">
        <f ca="1">'Annexe D  Organisation'!BQ8</f>
        <v>15.350000000000001</v>
      </c>
      <c r="BR110" s="445">
        <f ca="1">'Annexe D  Organisation'!BR8</f>
        <v>15.350000000000001</v>
      </c>
      <c r="BS110" s="445">
        <f ca="1">'Annexe D  Organisation'!BS8</f>
        <v>15.350000000000001</v>
      </c>
      <c r="BT110" s="445">
        <f ca="1">'Annexe D  Organisation'!BT8</f>
        <v>15.350000000000001</v>
      </c>
      <c r="BU110" s="445">
        <f ca="1">'Annexe D  Organisation'!BU8</f>
        <v>15.350000000000001</v>
      </c>
      <c r="BV110" s="445">
        <f ca="1">'Annexe D  Organisation'!BV8</f>
        <v>15.350000000000001</v>
      </c>
      <c r="BW110" s="445">
        <f ca="1">'Annexe D  Organisation'!BW8</f>
        <v>15.350000000000001</v>
      </c>
      <c r="BX110" s="445">
        <f ca="1">'Annexe D  Organisation'!BX8</f>
        <v>15.350000000000001</v>
      </c>
      <c r="BY110" s="445">
        <f ca="1">'Annexe D  Organisation'!BY8</f>
        <v>21.85</v>
      </c>
      <c r="BZ110" s="445">
        <f ca="1">'Annexe D  Organisation'!BZ8</f>
        <v>22.85</v>
      </c>
      <c r="CA110" s="445">
        <f ca="1">'Annexe D  Organisation'!CA8</f>
        <v>22.85</v>
      </c>
      <c r="CB110" s="446">
        <f ca="1">'Annexe D  Organisation'!CB8</f>
        <v>22.85</v>
      </c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</row>
    <row r="111" spans="1:100" ht="15.75" customHeight="1">
      <c r="A111" s="439" t="s">
        <v>342</v>
      </c>
      <c r="B111" s="440">
        <f t="shared" ref="B111:CB111" si="517">SUMIFS($I$4:$I$85,$A$4:$A$85,"Support",Q$4:Q$85,"&gt;0")</f>
        <v>1</v>
      </c>
      <c r="C111" s="441">
        <f t="shared" si="517"/>
        <v>1</v>
      </c>
      <c r="D111" s="441">
        <f t="shared" si="517"/>
        <v>1</v>
      </c>
      <c r="E111" s="441">
        <f t="shared" si="517"/>
        <v>1</v>
      </c>
      <c r="F111" s="441">
        <f t="shared" si="517"/>
        <v>1</v>
      </c>
      <c r="G111" s="441">
        <f t="shared" si="517"/>
        <v>1</v>
      </c>
      <c r="H111" s="442">
        <f t="shared" si="517"/>
        <v>1</v>
      </c>
      <c r="I111" s="440">
        <f t="shared" si="517"/>
        <v>2</v>
      </c>
      <c r="J111" s="441">
        <f t="shared" si="517"/>
        <v>2</v>
      </c>
      <c r="K111" s="441">
        <f t="shared" si="517"/>
        <v>2</v>
      </c>
      <c r="L111" s="441">
        <f t="shared" si="517"/>
        <v>2</v>
      </c>
      <c r="M111" s="441">
        <f t="shared" si="517"/>
        <v>2</v>
      </c>
      <c r="N111" s="441">
        <f t="shared" si="517"/>
        <v>2</v>
      </c>
      <c r="O111" s="441">
        <f t="shared" si="517"/>
        <v>2</v>
      </c>
      <c r="P111" s="441">
        <f t="shared" si="517"/>
        <v>2</v>
      </c>
      <c r="Q111" s="441">
        <f t="shared" si="517"/>
        <v>2</v>
      </c>
      <c r="R111" s="441">
        <f t="shared" si="517"/>
        <v>2</v>
      </c>
      <c r="S111" s="441">
        <f t="shared" si="517"/>
        <v>2</v>
      </c>
      <c r="T111" s="441">
        <f t="shared" si="517"/>
        <v>2</v>
      </c>
      <c r="U111" s="440">
        <f t="shared" si="517"/>
        <v>2</v>
      </c>
      <c r="V111" s="441">
        <f t="shared" si="517"/>
        <v>2</v>
      </c>
      <c r="W111" s="441">
        <f t="shared" si="517"/>
        <v>2</v>
      </c>
      <c r="X111" s="441">
        <f t="shared" si="517"/>
        <v>2</v>
      </c>
      <c r="Y111" s="441">
        <f t="shared" si="517"/>
        <v>2</v>
      </c>
      <c r="Z111" s="441">
        <f t="shared" si="517"/>
        <v>2</v>
      </c>
      <c r="AA111" s="441">
        <f t="shared" si="517"/>
        <v>2</v>
      </c>
      <c r="AB111" s="441">
        <f t="shared" si="517"/>
        <v>2</v>
      </c>
      <c r="AC111" s="441">
        <f t="shared" si="517"/>
        <v>2</v>
      </c>
      <c r="AD111" s="441">
        <f t="shared" si="517"/>
        <v>2</v>
      </c>
      <c r="AE111" s="441">
        <f t="shared" si="517"/>
        <v>2</v>
      </c>
      <c r="AF111" s="441">
        <f t="shared" si="517"/>
        <v>2</v>
      </c>
      <c r="AG111" s="440">
        <f t="shared" si="517"/>
        <v>2</v>
      </c>
      <c r="AH111" s="441">
        <f t="shared" si="517"/>
        <v>2</v>
      </c>
      <c r="AI111" s="441">
        <f t="shared" si="517"/>
        <v>2</v>
      </c>
      <c r="AJ111" s="441">
        <f t="shared" si="517"/>
        <v>2</v>
      </c>
      <c r="AK111" s="441">
        <f t="shared" si="517"/>
        <v>2</v>
      </c>
      <c r="AL111" s="441">
        <f t="shared" si="517"/>
        <v>2</v>
      </c>
      <c r="AM111" s="441">
        <f t="shared" si="517"/>
        <v>2</v>
      </c>
      <c r="AN111" s="441">
        <f t="shared" si="517"/>
        <v>2</v>
      </c>
      <c r="AO111" s="441">
        <f t="shared" si="517"/>
        <v>2</v>
      </c>
      <c r="AP111" s="441">
        <f t="shared" si="517"/>
        <v>2</v>
      </c>
      <c r="AQ111" s="441">
        <f t="shared" si="517"/>
        <v>2</v>
      </c>
      <c r="AR111" s="441">
        <f t="shared" si="517"/>
        <v>2</v>
      </c>
      <c r="AS111" s="440">
        <f t="shared" si="517"/>
        <v>2</v>
      </c>
      <c r="AT111" s="441">
        <f t="shared" si="517"/>
        <v>2</v>
      </c>
      <c r="AU111" s="441">
        <f t="shared" si="517"/>
        <v>2</v>
      </c>
      <c r="AV111" s="441">
        <f t="shared" si="517"/>
        <v>2</v>
      </c>
      <c r="AW111" s="441">
        <f t="shared" si="517"/>
        <v>2</v>
      </c>
      <c r="AX111" s="441">
        <f t="shared" si="517"/>
        <v>2</v>
      </c>
      <c r="AY111" s="441">
        <f t="shared" si="517"/>
        <v>2</v>
      </c>
      <c r="AZ111" s="441">
        <f t="shared" si="517"/>
        <v>2</v>
      </c>
      <c r="BA111" s="441">
        <f t="shared" si="517"/>
        <v>2</v>
      </c>
      <c r="BB111" s="441">
        <f t="shared" si="517"/>
        <v>2</v>
      </c>
      <c r="BC111" s="441">
        <f t="shared" si="517"/>
        <v>2</v>
      </c>
      <c r="BD111" s="441">
        <f t="shared" si="517"/>
        <v>2</v>
      </c>
      <c r="BE111" s="440">
        <f t="shared" si="517"/>
        <v>2</v>
      </c>
      <c r="BF111" s="441">
        <f t="shared" si="517"/>
        <v>3</v>
      </c>
      <c r="BG111" s="441">
        <f t="shared" si="517"/>
        <v>3</v>
      </c>
      <c r="BH111" s="441">
        <f t="shared" si="517"/>
        <v>3</v>
      </c>
      <c r="BI111" s="441">
        <f t="shared" si="517"/>
        <v>3</v>
      </c>
      <c r="BJ111" s="441">
        <f t="shared" si="517"/>
        <v>5</v>
      </c>
      <c r="BK111" s="441">
        <f t="shared" si="517"/>
        <v>7</v>
      </c>
      <c r="BL111" s="441">
        <f t="shared" si="517"/>
        <v>8</v>
      </c>
      <c r="BM111" s="441">
        <f t="shared" si="517"/>
        <v>8</v>
      </c>
      <c r="BN111" s="441">
        <f t="shared" si="517"/>
        <v>8</v>
      </c>
      <c r="BO111" s="441">
        <f t="shared" si="517"/>
        <v>8</v>
      </c>
      <c r="BP111" s="441">
        <f t="shared" si="517"/>
        <v>8</v>
      </c>
      <c r="BQ111" s="440">
        <f t="shared" si="517"/>
        <v>8</v>
      </c>
      <c r="BR111" s="441">
        <f t="shared" si="517"/>
        <v>9</v>
      </c>
      <c r="BS111" s="441">
        <f t="shared" si="517"/>
        <v>9</v>
      </c>
      <c r="BT111" s="441">
        <f t="shared" si="517"/>
        <v>9</v>
      </c>
      <c r="BU111" s="441">
        <f t="shared" si="517"/>
        <v>9</v>
      </c>
      <c r="BV111" s="441">
        <f t="shared" si="517"/>
        <v>9</v>
      </c>
      <c r="BW111" s="441">
        <f t="shared" si="517"/>
        <v>9</v>
      </c>
      <c r="BX111" s="441">
        <f t="shared" si="517"/>
        <v>11</v>
      </c>
      <c r="BY111" s="441">
        <f t="shared" si="517"/>
        <v>11</v>
      </c>
      <c r="BZ111" s="441">
        <f t="shared" si="517"/>
        <v>11</v>
      </c>
      <c r="CA111" s="441">
        <f t="shared" si="517"/>
        <v>11</v>
      </c>
      <c r="CB111" s="442">
        <f t="shared" si="517"/>
        <v>11</v>
      </c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</row>
    <row r="112" spans="1:100" ht="15.75" customHeight="1">
      <c r="A112" s="443" t="s">
        <v>343</v>
      </c>
      <c r="B112" s="444">
        <f>'Annexe D  Organisation'!B14</f>
        <v>1</v>
      </c>
      <c r="C112" s="445">
        <f>'Annexe D  Organisation'!C14</f>
        <v>2</v>
      </c>
      <c r="D112" s="445">
        <f>'Annexe D  Organisation'!D14</f>
        <v>2</v>
      </c>
      <c r="E112" s="445">
        <f>'Annexe D  Organisation'!E14</f>
        <v>2</v>
      </c>
      <c r="F112" s="445">
        <f>'Annexe D  Organisation'!F14</f>
        <v>2</v>
      </c>
      <c r="G112" s="445">
        <f>'Annexe D  Organisation'!G14</f>
        <v>2</v>
      </c>
      <c r="H112" s="446">
        <f>'Annexe D  Organisation'!H14</f>
        <v>2</v>
      </c>
      <c r="I112" s="444">
        <f>'Annexe D  Organisation'!I14</f>
        <v>2</v>
      </c>
      <c r="J112" s="445">
        <f ca="1">'Annexe D  Organisation'!J14</f>
        <v>2</v>
      </c>
      <c r="K112" s="445">
        <f ca="1">'Annexe D  Organisation'!K14</f>
        <v>2</v>
      </c>
      <c r="L112" s="445">
        <f ca="1">'Annexe D  Organisation'!L14</f>
        <v>2</v>
      </c>
      <c r="M112" s="445">
        <f ca="1">'Annexe D  Organisation'!M14</f>
        <v>2</v>
      </c>
      <c r="N112" s="445">
        <f ca="1">'Annexe D  Organisation'!N14</f>
        <v>2</v>
      </c>
      <c r="O112" s="445">
        <f ca="1">'Annexe D  Organisation'!O14</f>
        <v>2</v>
      </c>
      <c r="P112" s="445">
        <f ca="1">'Annexe D  Organisation'!P14</f>
        <v>2</v>
      </c>
      <c r="Q112" s="445">
        <f ca="1">'Annexe D  Organisation'!Q14</f>
        <v>2</v>
      </c>
      <c r="R112" s="445">
        <f ca="1">'Annexe D  Organisation'!R14</f>
        <v>2</v>
      </c>
      <c r="S112" s="445">
        <f ca="1">'Annexe D  Organisation'!S14</f>
        <v>2</v>
      </c>
      <c r="T112" s="446">
        <f ca="1">'Annexe D  Organisation'!T14</f>
        <v>2</v>
      </c>
      <c r="U112" s="444">
        <f ca="1">'Annexe D  Organisation'!U14</f>
        <v>2</v>
      </c>
      <c r="V112" s="445">
        <f ca="1">'Annexe D  Organisation'!V14</f>
        <v>2</v>
      </c>
      <c r="W112" s="445">
        <f ca="1">'Annexe D  Organisation'!W14</f>
        <v>2</v>
      </c>
      <c r="X112" s="445">
        <f ca="1">'Annexe D  Organisation'!X14</f>
        <v>2</v>
      </c>
      <c r="Y112" s="445">
        <f ca="1">'Annexe D  Organisation'!Y14</f>
        <v>2</v>
      </c>
      <c r="Z112" s="445">
        <f ca="1">'Annexe D  Organisation'!Z14</f>
        <v>2</v>
      </c>
      <c r="AA112" s="445">
        <f ca="1">'Annexe D  Organisation'!AA14</f>
        <v>2</v>
      </c>
      <c r="AB112" s="445">
        <f ca="1">'Annexe D  Organisation'!AB14</f>
        <v>2</v>
      </c>
      <c r="AC112" s="445">
        <f ca="1">'Annexe D  Organisation'!AC14</f>
        <v>2</v>
      </c>
      <c r="AD112" s="445">
        <f ca="1">'Annexe D  Organisation'!AD14</f>
        <v>2</v>
      </c>
      <c r="AE112" s="445">
        <f ca="1">'Annexe D  Organisation'!AE14</f>
        <v>2</v>
      </c>
      <c r="AF112" s="446">
        <f ca="1">'Annexe D  Organisation'!AF14</f>
        <v>2</v>
      </c>
      <c r="AG112" s="444">
        <f ca="1">'Annexe D  Organisation'!AG14</f>
        <v>2</v>
      </c>
      <c r="AH112" s="445">
        <f ca="1">'Annexe D  Organisation'!AH14</f>
        <v>2</v>
      </c>
      <c r="AI112" s="445">
        <f ca="1">'Annexe D  Organisation'!AI14</f>
        <v>2</v>
      </c>
      <c r="AJ112" s="445">
        <f ca="1">'Annexe D  Organisation'!AJ14</f>
        <v>3</v>
      </c>
      <c r="AK112" s="445">
        <f ca="1">'Annexe D  Organisation'!AK14</f>
        <v>3</v>
      </c>
      <c r="AL112" s="445">
        <f ca="1">'Annexe D  Organisation'!AL14</f>
        <v>3</v>
      </c>
      <c r="AM112" s="445">
        <f ca="1">'Annexe D  Organisation'!AM14</f>
        <v>3</v>
      </c>
      <c r="AN112" s="445">
        <f ca="1">'Annexe D  Organisation'!AN14</f>
        <v>3</v>
      </c>
      <c r="AO112" s="445">
        <f ca="1">'Annexe D  Organisation'!AO14</f>
        <v>3</v>
      </c>
      <c r="AP112" s="445">
        <f ca="1">'Annexe D  Organisation'!AP14</f>
        <v>3</v>
      </c>
      <c r="AQ112" s="445">
        <f ca="1">'Annexe D  Organisation'!AQ14</f>
        <v>3</v>
      </c>
      <c r="AR112" s="446">
        <f ca="1">'Annexe D  Organisation'!AR14</f>
        <v>3</v>
      </c>
      <c r="AS112" s="444">
        <f ca="1">'Annexe D  Organisation'!AS14</f>
        <v>3</v>
      </c>
      <c r="AT112" s="445">
        <f ca="1">'Annexe D  Organisation'!AT14</f>
        <v>3</v>
      </c>
      <c r="AU112" s="445">
        <f ca="1">'Annexe D  Organisation'!AU14</f>
        <v>3</v>
      </c>
      <c r="AV112" s="445">
        <f ca="1">'Annexe D  Organisation'!AV14</f>
        <v>3</v>
      </c>
      <c r="AW112" s="445">
        <f ca="1">'Annexe D  Organisation'!AW14</f>
        <v>3</v>
      </c>
      <c r="AX112" s="445">
        <f ca="1">'Annexe D  Organisation'!AX14</f>
        <v>3</v>
      </c>
      <c r="AY112" s="445">
        <f ca="1">'Annexe D  Organisation'!AY14</f>
        <v>3</v>
      </c>
      <c r="AZ112" s="445">
        <f ca="1">'Annexe D  Organisation'!AZ14</f>
        <v>3</v>
      </c>
      <c r="BA112" s="445">
        <f ca="1">'Annexe D  Organisation'!BA14</f>
        <v>3</v>
      </c>
      <c r="BB112" s="445">
        <f ca="1">'Annexe D  Organisation'!BB14</f>
        <v>3</v>
      </c>
      <c r="BC112" s="445">
        <f ca="1">'Annexe D  Organisation'!BC14</f>
        <v>3</v>
      </c>
      <c r="BD112" s="446">
        <f ca="1">'Annexe D  Organisation'!BD14</f>
        <v>3</v>
      </c>
      <c r="BE112" s="444">
        <f ca="1">'Annexe D  Organisation'!BE14</f>
        <v>3</v>
      </c>
      <c r="BF112" s="445">
        <f ca="1">'Annexe D  Organisation'!BF14</f>
        <v>3</v>
      </c>
      <c r="BG112" s="445">
        <f ca="1">'Annexe D  Organisation'!BG14</f>
        <v>4</v>
      </c>
      <c r="BH112" s="445">
        <f ca="1">'Annexe D  Organisation'!BH14</f>
        <v>4</v>
      </c>
      <c r="BI112" s="445">
        <f ca="1">'Annexe D  Organisation'!BI14</f>
        <v>4</v>
      </c>
      <c r="BJ112" s="445">
        <f ca="1">'Annexe D  Organisation'!BJ14</f>
        <v>4</v>
      </c>
      <c r="BK112" s="445">
        <f ca="1">'Annexe D  Organisation'!BK14</f>
        <v>4</v>
      </c>
      <c r="BL112" s="445">
        <f ca="1">'Annexe D  Organisation'!BL14</f>
        <v>5</v>
      </c>
      <c r="BM112" s="445">
        <f ca="1">'Annexe D  Organisation'!BM14</f>
        <v>6</v>
      </c>
      <c r="BN112" s="445">
        <f ca="1">'Annexe D  Organisation'!BN14</f>
        <v>6</v>
      </c>
      <c r="BO112" s="445">
        <f ca="1">'Annexe D  Organisation'!BO14</f>
        <v>6</v>
      </c>
      <c r="BP112" s="446">
        <f ca="1">'Annexe D  Organisation'!BP14</f>
        <v>7</v>
      </c>
      <c r="BQ112" s="444">
        <f ca="1">'Annexe D  Organisation'!BQ14</f>
        <v>7</v>
      </c>
      <c r="BR112" s="445">
        <f ca="1">'Annexe D  Organisation'!BR14</f>
        <v>8</v>
      </c>
      <c r="BS112" s="445">
        <f ca="1">'Annexe D  Organisation'!BS14</f>
        <v>8</v>
      </c>
      <c r="BT112" s="445">
        <f ca="1">'Annexe D  Organisation'!BT14</f>
        <v>8</v>
      </c>
      <c r="BU112" s="445">
        <f ca="1">'Annexe D  Organisation'!BU14</f>
        <v>9</v>
      </c>
      <c r="BV112" s="445">
        <f ca="1">'Annexe D  Organisation'!BV14</f>
        <v>9</v>
      </c>
      <c r="BW112" s="445">
        <f ca="1">'Annexe D  Organisation'!BW14</f>
        <v>10</v>
      </c>
      <c r="BX112" s="445">
        <f ca="1">'Annexe D  Organisation'!BX14</f>
        <v>13</v>
      </c>
      <c r="BY112" s="445">
        <f ca="1">'Annexe D  Organisation'!BY14</f>
        <v>14</v>
      </c>
      <c r="BZ112" s="445">
        <f ca="1">'Annexe D  Organisation'!BZ14</f>
        <v>15</v>
      </c>
      <c r="CA112" s="445">
        <f ca="1">'Annexe D  Organisation'!CA14</f>
        <v>16</v>
      </c>
      <c r="CB112" s="446">
        <f ca="1">'Annexe D  Organisation'!CB14</f>
        <v>17</v>
      </c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</row>
    <row r="113" spans="1:100" ht="15.75" customHeight="1">
      <c r="A113" s="439" t="s">
        <v>344</v>
      </c>
      <c r="B113" s="440">
        <f t="shared" ref="B113:CB113" si="518">SUMIFS($I$4:$I$85,$A$4:$A$85,"G&amp;A",Q$4:Q$85,"&gt;0")</f>
        <v>1</v>
      </c>
      <c r="C113" s="441">
        <f t="shared" si="518"/>
        <v>2</v>
      </c>
      <c r="D113" s="441">
        <f t="shared" si="518"/>
        <v>2</v>
      </c>
      <c r="E113" s="441">
        <f t="shared" si="518"/>
        <v>2</v>
      </c>
      <c r="F113" s="441">
        <f t="shared" si="518"/>
        <v>2</v>
      </c>
      <c r="G113" s="441">
        <f t="shared" si="518"/>
        <v>2</v>
      </c>
      <c r="H113" s="442">
        <f t="shared" si="518"/>
        <v>1</v>
      </c>
      <c r="I113" s="440">
        <f t="shared" si="518"/>
        <v>1</v>
      </c>
      <c r="J113" s="441">
        <f t="shared" si="518"/>
        <v>1</v>
      </c>
      <c r="K113" s="441">
        <f t="shared" si="518"/>
        <v>1</v>
      </c>
      <c r="L113" s="441">
        <f t="shared" si="518"/>
        <v>1</v>
      </c>
      <c r="M113" s="441">
        <f t="shared" si="518"/>
        <v>1</v>
      </c>
      <c r="N113" s="441">
        <f t="shared" si="518"/>
        <v>1</v>
      </c>
      <c r="O113" s="441">
        <f t="shared" si="518"/>
        <v>1</v>
      </c>
      <c r="P113" s="441">
        <f t="shared" si="518"/>
        <v>1</v>
      </c>
      <c r="Q113" s="441">
        <f t="shared" si="518"/>
        <v>1</v>
      </c>
      <c r="R113" s="441">
        <f t="shared" si="518"/>
        <v>1</v>
      </c>
      <c r="S113" s="441">
        <f t="shared" si="518"/>
        <v>1</v>
      </c>
      <c r="T113" s="441">
        <f t="shared" si="518"/>
        <v>1</v>
      </c>
      <c r="U113" s="440">
        <f t="shared" si="518"/>
        <v>1</v>
      </c>
      <c r="V113" s="441">
        <f t="shared" si="518"/>
        <v>1</v>
      </c>
      <c r="W113" s="441">
        <f t="shared" si="518"/>
        <v>1</v>
      </c>
      <c r="X113" s="441">
        <f t="shared" si="518"/>
        <v>1</v>
      </c>
      <c r="Y113" s="441">
        <f t="shared" si="518"/>
        <v>1</v>
      </c>
      <c r="Z113" s="441">
        <f t="shared" si="518"/>
        <v>1</v>
      </c>
      <c r="AA113" s="441">
        <f t="shared" si="518"/>
        <v>1</v>
      </c>
      <c r="AB113" s="441">
        <f t="shared" si="518"/>
        <v>1</v>
      </c>
      <c r="AC113" s="441">
        <f t="shared" si="518"/>
        <v>1</v>
      </c>
      <c r="AD113" s="441">
        <f t="shared" si="518"/>
        <v>1</v>
      </c>
      <c r="AE113" s="441">
        <f t="shared" si="518"/>
        <v>1</v>
      </c>
      <c r="AF113" s="441">
        <f t="shared" si="518"/>
        <v>1</v>
      </c>
      <c r="AG113" s="440">
        <f t="shared" si="518"/>
        <v>1</v>
      </c>
      <c r="AH113" s="441">
        <f t="shared" si="518"/>
        <v>1</v>
      </c>
      <c r="AI113" s="441">
        <f t="shared" si="518"/>
        <v>1</v>
      </c>
      <c r="AJ113" s="441">
        <f t="shared" si="518"/>
        <v>1</v>
      </c>
      <c r="AK113" s="441">
        <f t="shared" si="518"/>
        <v>1</v>
      </c>
      <c r="AL113" s="441">
        <f t="shared" si="518"/>
        <v>1</v>
      </c>
      <c r="AM113" s="441">
        <f t="shared" si="518"/>
        <v>1</v>
      </c>
      <c r="AN113" s="441">
        <f t="shared" si="518"/>
        <v>1</v>
      </c>
      <c r="AO113" s="441">
        <f t="shared" si="518"/>
        <v>1</v>
      </c>
      <c r="AP113" s="441">
        <f t="shared" si="518"/>
        <v>1</v>
      </c>
      <c r="AQ113" s="441">
        <f t="shared" si="518"/>
        <v>1</v>
      </c>
      <c r="AR113" s="441">
        <f t="shared" si="518"/>
        <v>1</v>
      </c>
      <c r="AS113" s="440">
        <f t="shared" si="518"/>
        <v>1</v>
      </c>
      <c r="AT113" s="441">
        <f t="shared" si="518"/>
        <v>1</v>
      </c>
      <c r="AU113" s="441">
        <f t="shared" si="518"/>
        <v>1</v>
      </c>
      <c r="AV113" s="441">
        <f t="shared" si="518"/>
        <v>1</v>
      </c>
      <c r="AW113" s="441">
        <f t="shared" si="518"/>
        <v>1</v>
      </c>
      <c r="AX113" s="441">
        <f t="shared" si="518"/>
        <v>1</v>
      </c>
      <c r="AY113" s="441">
        <f t="shared" si="518"/>
        <v>1</v>
      </c>
      <c r="AZ113" s="441">
        <f t="shared" si="518"/>
        <v>1</v>
      </c>
      <c r="BA113" s="441">
        <f t="shared" si="518"/>
        <v>1</v>
      </c>
      <c r="BB113" s="441">
        <f t="shared" si="518"/>
        <v>1</v>
      </c>
      <c r="BC113" s="441">
        <f t="shared" si="518"/>
        <v>1</v>
      </c>
      <c r="BD113" s="441">
        <f t="shared" si="518"/>
        <v>1</v>
      </c>
      <c r="BE113" s="440">
        <f t="shared" si="518"/>
        <v>1</v>
      </c>
      <c r="BF113" s="441">
        <f t="shared" si="518"/>
        <v>2</v>
      </c>
      <c r="BG113" s="441">
        <f t="shared" si="518"/>
        <v>2</v>
      </c>
      <c r="BH113" s="441">
        <f t="shared" si="518"/>
        <v>2</v>
      </c>
      <c r="BI113" s="441">
        <f t="shared" si="518"/>
        <v>2</v>
      </c>
      <c r="BJ113" s="441">
        <f t="shared" si="518"/>
        <v>2</v>
      </c>
      <c r="BK113" s="441">
        <f t="shared" si="518"/>
        <v>2</v>
      </c>
      <c r="BL113" s="441">
        <f t="shared" si="518"/>
        <v>2</v>
      </c>
      <c r="BM113" s="441">
        <f t="shared" si="518"/>
        <v>2</v>
      </c>
      <c r="BN113" s="441">
        <f t="shared" si="518"/>
        <v>2</v>
      </c>
      <c r="BO113" s="441">
        <f t="shared" si="518"/>
        <v>2</v>
      </c>
      <c r="BP113" s="441">
        <f t="shared" si="518"/>
        <v>4</v>
      </c>
      <c r="BQ113" s="440">
        <f t="shared" si="518"/>
        <v>4</v>
      </c>
      <c r="BR113" s="441">
        <f t="shared" si="518"/>
        <v>4</v>
      </c>
      <c r="BS113" s="441">
        <f t="shared" si="518"/>
        <v>4</v>
      </c>
      <c r="BT113" s="441">
        <f t="shared" si="518"/>
        <v>4</v>
      </c>
      <c r="BU113" s="441">
        <f t="shared" si="518"/>
        <v>4</v>
      </c>
      <c r="BV113" s="441">
        <f t="shared" si="518"/>
        <v>4</v>
      </c>
      <c r="BW113" s="441">
        <f t="shared" si="518"/>
        <v>5</v>
      </c>
      <c r="BX113" s="441">
        <f t="shared" si="518"/>
        <v>5</v>
      </c>
      <c r="BY113" s="441">
        <f t="shared" si="518"/>
        <v>5</v>
      </c>
      <c r="BZ113" s="441">
        <f t="shared" si="518"/>
        <v>5</v>
      </c>
      <c r="CA113" s="441">
        <f t="shared" si="518"/>
        <v>5</v>
      </c>
      <c r="CB113" s="442">
        <f t="shared" si="518"/>
        <v>5</v>
      </c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</row>
    <row r="114" spans="1:100" ht="15.75" customHeight="1">
      <c r="A114" s="443" t="s">
        <v>345</v>
      </c>
      <c r="B114" s="444">
        <f ca="1">'Annexe D  Organisation'!B13</f>
        <v>1.3642857142857143</v>
      </c>
      <c r="C114" s="445">
        <f ca="1">'Annexe D  Organisation'!C13</f>
        <v>1.7237304784394867</v>
      </c>
      <c r="D114" s="445">
        <f ca="1">'Annexe D  Organisation'!D13</f>
        <v>1.7237853060003601</v>
      </c>
      <c r="E114" s="445">
        <f ca="1">'Annexe D  Organisation'!E13</f>
        <v>1.7238384851985915</v>
      </c>
      <c r="F114" s="445">
        <f ca="1">'Annexe D  Organisation'!F13</f>
        <v>1.7238900680135774</v>
      </c>
      <c r="G114" s="445">
        <f ca="1">'Annexe D  Organisation'!G13</f>
        <v>1.7239401046077718</v>
      </c>
      <c r="H114" s="446">
        <f ca="1">'Annexe D  Organisation'!H13</f>
        <v>1.723988643396797</v>
      </c>
      <c r="I114" s="444">
        <f ca="1">'Annexe D  Organisation'!I13</f>
        <v>1.7279335312022841</v>
      </c>
      <c r="J114" s="445">
        <f ca="1">'Annexe D  Organisation'!J13</f>
        <v>1.7282972358377877</v>
      </c>
      <c r="K114" s="445">
        <f ca="1">'Annexe D  Organisation'!K13</f>
        <v>2.3346309074661318</v>
      </c>
      <c r="L114" s="445">
        <f ca="1">'Annexe D  Organisation'!L13</f>
        <v>2.3358075969435519</v>
      </c>
      <c r="M114" s="445">
        <f ca="1">'Annexe D  Organisation'!M13</f>
        <v>2.3360226991407518</v>
      </c>
      <c r="N114" s="445">
        <f ca="1">'Annexe D  Organisation'!N13</f>
        <v>2.336232830788652</v>
      </c>
      <c r="O114" s="445">
        <f ca="1">'Annexe D  Organisation'!O13</f>
        <v>2.3364381132706185</v>
      </c>
      <c r="P114" s="445">
        <f ca="1">'Annexe D  Organisation'!P13</f>
        <v>2.3373072205129972</v>
      </c>
      <c r="Q114" s="445">
        <f ca="1">'Annexe D  Organisation'!Q13</f>
        <v>2.3375726959970331</v>
      </c>
      <c r="R114" s="445">
        <f ca="1">'Annexe D  Organisation'!R13</f>
        <v>2.3378315622553942</v>
      </c>
      <c r="S114" s="445">
        <f ca="1">'Annexe D  Organisation'!S13</f>
        <v>2.3380839990227673</v>
      </c>
      <c r="T114" s="446">
        <f ca="1">'Annexe D  Organisation'!T13</f>
        <v>1.7311873233483404</v>
      </c>
      <c r="U114" s="444">
        <f ca="1">'Annexe D  Organisation'!U13</f>
        <v>2.3412904480629773</v>
      </c>
      <c r="V114" s="445">
        <f ca="1">'Annexe D  Organisation'!V13</f>
        <v>2.3416697727291154</v>
      </c>
      <c r="W114" s="445">
        <f ca="1">'Annexe D  Organisation'!W13</f>
        <v>2.3420424533132822</v>
      </c>
      <c r="X114" s="445">
        <f ca="1">'Annexe D  Organisation'!X13</f>
        <v>2.3424086152338051</v>
      </c>
      <c r="Y114" s="445">
        <f ca="1">'Annexe D  Organisation'!Y13</f>
        <v>2.3427683812770854</v>
      </c>
      <c r="Z114" s="445">
        <f ca="1">'Annexe D  Organisation'!Z13</f>
        <v>2.3431218716607218</v>
      </c>
      <c r="AA114" s="445">
        <f ca="1">'Annexe D  Organisation'!AA13</f>
        <v>2.3434692040948693</v>
      </c>
      <c r="AB114" s="445">
        <f ca="1">'Annexe D  Organisation'!AB13</f>
        <v>2.3444511931841845</v>
      </c>
      <c r="AC114" s="445">
        <f ca="1">'Annexe D  Organisation'!AC13</f>
        <v>2.3448315023540083</v>
      </c>
      <c r="AD114" s="445">
        <f ca="1">'Annexe D  Organisation'!AD13</f>
        <v>2.3452048936580487</v>
      </c>
      <c r="AE114" s="445">
        <f ca="1">'Annexe D  Organisation'!AE13</f>
        <v>2.3455715078950239</v>
      </c>
      <c r="AF114" s="446">
        <f ca="1">'Annexe D  Organisation'!AF13</f>
        <v>2.3459314825198949</v>
      </c>
      <c r="AG114" s="444">
        <f ca="1">'Annexe D  Organisation'!AG13</f>
        <v>2.3438691380431251</v>
      </c>
      <c r="AH114" s="445">
        <f ca="1">'Annexe D  Organisation'!AH13</f>
        <v>2.3441590991712067</v>
      </c>
      <c r="AI114" s="445">
        <f ca="1">'Annexe D  Organisation'!AI13</f>
        <v>2.34444514863362</v>
      </c>
      <c r="AJ114" s="445">
        <f ca="1">'Annexe D  Organisation'!AJ13</f>
        <v>2.4875844792269288</v>
      </c>
      <c r="AK114" s="445">
        <f ca="1">'Annexe D  Organisation'!AK13</f>
        <v>2.4878628547212509</v>
      </c>
      <c r="AL114" s="445">
        <f ca="1">'Annexe D  Organisation'!AL13</f>
        <v>2.4881374669985443</v>
      </c>
      <c r="AM114" s="445">
        <f ca="1">'Annexe D  Organisation'!AM13</f>
        <v>2.488408364619954</v>
      </c>
      <c r="AN114" s="445">
        <f ca="1">'Annexe D  Organisation'!AN13</f>
        <v>2.4886755956793465</v>
      </c>
      <c r="AO114" s="445">
        <f ca="1">'Annexe D  Organisation'!AO13</f>
        <v>2.4889392078001431</v>
      </c>
      <c r="AP114" s="445">
        <f ca="1">'Annexe D  Organisation'!AP13</f>
        <v>2.4891992481325893</v>
      </c>
      <c r="AQ114" s="445">
        <f ca="1">'Annexe D  Organisation'!AQ13</f>
        <v>2.4894557633514225</v>
      </c>
      <c r="AR114" s="446">
        <f ca="1">'Annexe D  Organisation'!AR13</f>
        <v>2.4897087996539322</v>
      </c>
      <c r="AS114" s="444">
        <f ca="1">'Annexe D  Organisation'!AS13</f>
        <v>2.0186446861886931</v>
      </c>
      <c r="AT114" s="445">
        <f ca="1">'Annexe D  Organisation'!AT13</f>
        <v>2.0187050558513788</v>
      </c>
      <c r="AU114" s="445">
        <f ca="1">'Annexe D  Organisation'!AU13</f>
        <v>2.0187644260023561</v>
      </c>
      <c r="AV114" s="445">
        <f ca="1">'Annexe D  Organisation'!AV13</f>
        <v>2.0188228102155743</v>
      </c>
      <c r="AW114" s="445">
        <f ca="1">'Annexe D  Organisation'!AW13</f>
        <v>2.0188802219715631</v>
      </c>
      <c r="AX114" s="445">
        <f ca="1">'Annexe D  Organisation'!AX13</f>
        <v>2.0189366746534225</v>
      </c>
      <c r="AY114" s="445">
        <f ca="1">'Annexe D  Organisation'!AY13</f>
        <v>2.0189921815431009</v>
      </c>
      <c r="AZ114" s="445">
        <f ca="1">'Annexe D  Organisation'!AZ13</f>
        <v>2.021693122666528</v>
      </c>
      <c r="BA114" s="445">
        <f ca="1">'Annexe D  Organisation'!BA13</f>
        <v>2.4860380107495001</v>
      </c>
      <c r="BB114" s="445">
        <f ca="1">'Annexe D  Organisation'!BB13</f>
        <v>2.6289533074415021</v>
      </c>
      <c r="BC114" s="445">
        <f ca="1">'Annexe D  Organisation'!BC13</f>
        <v>2.6290104563848957</v>
      </c>
      <c r="BD114" s="446">
        <f ca="1">'Annexe D  Organisation'!BD13</f>
        <v>2.6290666153260687</v>
      </c>
      <c r="BE114" s="444">
        <f ca="1">'Annexe D  Organisation'!BE13</f>
        <v>3.1967565021822892</v>
      </c>
      <c r="BF114" s="445">
        <f ca="1">'Annexe D  Organisation'!BF13</f>
        <v>3.5252474175225181</v>
      </c>
      <c r="BG114" s="445">
        <f ca="1">'Annexe D  Organisation'!BG13</f>
        <v>3.6777747083903338</v>
      </c>
      <c r="BH114" s="445">
        <f ca="1">'Annexe D  Organisation'!BH13</f>
        <v>3.6775984995020821</v>
      </c>
      <c r="BI114" s="445">
        <f ca="1">'Annexe D  Organisation'!BI13</f>
        <v>3.6871742636897116</v>
      </c>
      <c r="BJ114" s="445">
        <f ca="1">'Annexe D  Organisation'!BJ13</f>
        <v>3.6966564215748754</v>
      </c>
      <c r="BK114" s="445">
        <f ca="1">'Annexe D  Organisation'!BK13</f>
        <v>3.8391533868679177</v>
      </c>
      <c r="BL114" s="445">
        <f ca="1">'Annexe D  Organisation'!BL13</f>
        <v>4.0263249184885739</v>
      </c>
      <c r="BM114" s="445">
        <f ca="1">'Annexe D  Organisation'!BM13</f>
        <v>4.6326657611747395</v>
      </c>
      <c r="BN114" s="445">
        <f ca="1">'Annexe D  Organisation'!BN13</f>
        <v>4.6318742233612751</v>
      </c>
      <c r="BO114" s="445">
        <f ca="1">'Annexe D  Organisation'!BO13</f>
        <v>4.6310929805619123</v>
      </c>
      <c r="BP114" s="446">
        <f ca="1">'Annexe D  Organisation'!BP13</f>
        <v>4.9160361407026159</v>
      </c>
      <c r="BQ114" s="444">
        <f ca="1">'Annexe D  Organisation'!BQ13</f>
        <v>6.3437065200850071</v>
      </c>
      <c r="BR114" s="445">
        <f ca="1">'Annexe D  Organisation'!BR13</f>
        <v>6.4906720905699036</v>
      </c>
      <c r="BS114" s="445">
        <f ca="1">'Annexe D  Organisation'!BS13</f>
        <v>6.4898651945393331</v>
      </c>
      <c r="BT114" s="445">
        <f ca="1">'Annexe D  Organisation'!BT13</f>
        <v>6.6368003396122015</v>
      </c>
      <c r="BU114" s="445">
        <f ca="1">'Annexe D  Organisation'!BU13</f>
        <v>6.7788205118340503</v>
      </c>
      <c r="BV114" s="445">
        <f ca="1">'Annexe D  Organisation'!BV13</f>
        <v>6.7779937854174799</v>
      </c>
      <c r="BW114" s="445">
        <f ca="1">'Annexe D  Organisation'!BW13</f>
        <v>6.9346592952210528</v>
      </c>
      <c r="BX114" s="445">
        <f ca="1">'Annexe D  Organisation'!BX13</f>
        <v>7.4963077040456723</v>
      </c>
      <c r="BY114" s="445">
        <f ca="1">'Annexe D  Organisation'!BY13</f>
        <v>8.5703151934450741</v>
      </c>
      <c r="BZ114" s="445">
        <f ca="1">'Annexe D  Organisation'!BZ13</f>
        <v>8.8537141317201176</v>
      </c>
      <c r="CA114" s="445">
        <f ca="1">'Annexe D  Organisation'!CA13</f>
        <v>9.0040348560220114</v>
      </c>
      <c r="CB114" s="446">
        <f ca="1">'Annexe D  Organisation'!CB13</f>
        <v>9.1445346261690155</v>
      </c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</row>
    <row r="115" spans="1:100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</row>
    <row r="116" spans="1:100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</row>
    <row r="117" spans="1:100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</row>
    <row r="118" spans="1:100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</row>
    <row r="119" spans="1:100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</row>
    <row r="120" spans="1:100" ht="15.75" customHeight="1">
      <c r="A120" s="30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</row>
    <row r="121" spans="1:100" ht="15.75" customHeight="1">
      <c r="A121" s="30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</row>
    <row r="122" spans="1:100" ht="15.75" customHeight="1">
      <c r="A122" s="30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</row>
    <row r="123" spans="1:100" ht="15.75" customHeight="1">
      <c r="A123" s="30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</row>
    <row r="124" spans="1:100" ht="15.75" customHeight="1">
      <c r="A124" s="30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</row>
    <row r="125" spans="1:100" ht="15.75" customHeight="1">
      <c r="A125" s="30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</row>
    <row r="126" spans="1:100" ht="15.75" customHeight="1">
      <c r="A126" s="30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</row>
    <row r="127" spans="1:100" ht="15.75" customHeight="1">
      <c r="A127" s="30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</row>
    <row r="128" spans="1:100" ht="15.75" customHeight="1">
      <c r="A128" s="30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</row>
    <row r="129" spans="1:100" ht="15.75" customHeight="1">
      <c r="A129" s="30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</row>
    <row r="130" spans="1:100" ht="15.75" customHeight="1">
      <c r="A130" s="30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</row>
    <row r="131" spans="1:100" ht="15.75" customHeight="1">
      <c r="A131" s="303"/>
    </row>
    <row r="132" spans="1:100" ht="15.75" customHeight="1">
      <c r="A132" s="303"/>
    </row>
  </sheetData>
  <mergeCells count="8">
    <mergeCell ref="BT2:CE2"/>
    <mergeCell ref="CF2:CQ2"/>
    <mergeCell ref="G91:J91"/>
    <mergeCell ref="Q2:W2"/>
    <mergeCell ref="X2:AI2"/>
    <mergeCell ref="AJ2:AU2"/>
    <mergeCell ref="AV2:BG2"/>
    <mergeCell ref="BH2:BS2"/>
  </mergeCells>
  <conditionalFormatting sqref="B107:CB107 B109:CB109 B111:CB111 B113:CB113">
    <cfRule type="expression" dxfId="0" priority="1">
      <formula>B107&lt;B108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2:H31"/>
  <sheetViews>
    <sheetView workbookViewId="0"/>
  </sheetViews>
  <sheetFormatPr baseColWidth="10" defaultColWidth="12.6640625" defaultRowHeight="15.75" customHeight="1"/>
  <cols>
    <col min="1" max="1" width="25" customWidth="1"/>
  </cols>
  <sheetData>
    <row r="2" spans="1:8" ht="15.75" customHeight="1">
      <c r="A2" s="24" t="s">
        <v>346</v>
      </c>
    </row>
    <row r="4" spans="1:8" ht="15.75" customHeight="1">
      <c r="A4" s="24" t="s">
        <v>347</v>
      </c>
      <c r="B4" s="8">
        <v>2025</v>
      </c>
      <c r="C4" s="8">
        <v>2026</v>
      </c>
      <c r="D4" s="8">
        <v>2027</v>
      </c>
      <c r="E4" s="8">
        <v>2028</v>
      </c>
      <c r="F4" s="8">
        <v>2029</v>
      </c>
      <c r="G4" s="8">
        <v>2030</v>
      </c>
      <c r="H4" s="8">
        <v>2031</v>
      </c>
    </row>
    <row r="5" spans="1:8" ht="15.75" customHeight="1">
      <c r="A5" s="11" t="s">
        <v>348</v>
      </c>
      <c r="B5" s="150">
        <v>0.22</v>
      </c>
      <c r="C5" s="150">
        <f>25/100</f>
        <v>0.25</v>
      </c>
      <c r="D5" s="150">
        <v>0.3</v>
      </c>
      <c r="E5" s="150">
        <f>35%</f>
        <v>0.35</v>
      </c>
      <c r="F5" s="150">
        <f>40%</f>
        <v>0.4</v>
      </c>
      <c r="G5" s="150">
        <f t="shared" ref="G5:G6" si="0">45%</f>
        <v>0.45</v>
      </c>
      <c r="H5" s="150">
        <f>G5</f>
        <v>0.45</v>
      </c>
    </row>
    <row r="6" spans="1:8" ht="15.75" customHeight="1">
      <c r="A6" s="11" t="s">
        <v>12</v>
      </c>
      <c r="B6" s="150">
        <v>0.47</v>
      </c>
      <c r="C6" s="150">
        <v>0.5</v>
      </c>
      <c r="D6" s="150">
        <f t="shared" ref="D6:F6" si="1">50%</f>
        <v>0.5</v>
      </c>
      <c r="E6" s="150">
        <f t="shared" si="1"/>
        <v>0.5</v>
      </c>
      <c r="F6" s="150">
        <f t="shared" si="1"/>
        <v>0.5</v>
      </c>
      <c r="G6" s="150">
        <f t="shared" si="0"/>
        <v>0.45</v>
      </c>
      <c r="H6" s="150">
        <f>45%</f>
        <v>0.45</v>
      </c>
    </row>
    <row r="7" spans="1:8" ht="15.75" customHeight="1">
      <c r="A7" s="11" t="s">
        <v>349</v>
      </c>
      <c r="B7" s="150">
        <v>0.31</v>
      </c>
      <c r="C7" s="451">
        <f t="shared" ref="C7:H7" si="2">1-SUM(C5:C6)</f>
        <v>0.25</v>
      </c>
      <c r="D7" s="451">
        <f t="shared" si="2"/>
        <v>0.19999999999999996</v>
      </c>
      <c r="E7" s="451">
        <f t="shared" si="2"/>
        <v>0.15000000000000002</v>
      </c>
      <c r="F7" s="451">
        <f t="shared" si="2"/>
        <v>9.9999999999999978E-2</v>
      </c>
      <c r="G7" s="451">
        <f t="shared" si="2"/>
        <v>9.9999999999999978E-2</v>
      </c>
      <c r="H7" s="451">
        <f t="shared" si="2"/>
        <v>9.9999999999999978E-2</v>
      </c>
    </row>
    <row r="10" spans="1:8" ht="15.75" customHeight="1">
      <c r="A10" s="24" t="s">
        <v>350</v>
      </c>
      <c r="B10" s="8">
        <v>2025</v>
      </c>
      <c r="C10" s="8">
        <v>2026</v>
      </c>
      <c r="D10" s="8">
        <v>2027</v>
      </c>
      <c r="E10" s="8">
        <v>2028</v>
      </c>
      <c r="F10" s="8">
        <v>2029</v>
      </c>
      <c r="G10" s="8">
        <v>2030</v>
      </c>
      <c r="H10" s="8">
        <v>2031</v>
      </c>
    </row>
    <row r="11" spans="1:8" ht="15.75" customHeight="1">
      <c r="A11" s="11" t="s">
        <v>348</v>
      </c>
      <c r="B11" s="150">
        <v>0.22</v>
      </c>
      <c r="C11" s="150">
        <f>25/100</f>
        <v>0.25</v>
      </c>
      <c r="D11" s="150">
        <v>0.3</v>
      </c>
      <c r="E11" s="150">
        <f>35%</f>
        <v>0.35</v>
      </c>
      <c r="F11" s="150">
        <f>40%</f>
        <v>0.4</v>
      </c>
      <c r="G11" s="150">
        <f t="shared" ref="G11:H11" si="3">F11</f>
        <v>0.4</v>
      </c>
      <c r="H11" s="150">
        <f t="shared" si="3"/>
        <v>0.4</v>
      </c>
    </row>
    <row r="12" spans="1:8" ht="15.75" customHeight="1">
      <c r="A12" s="11" t="s">
        <v>12</v>
      </c>
      <c r="B12" s="150">
        <v>0.47</v>
      </c>
      <c r="C12" s="150">
        <v>0.5</v>
      </c>
      <c r="D12" s="150">
        <f t="shared" ref="D12:H12" si="4">50%</f>
        <v>0.5</v>
      </c>
      <c r="E12" s="150">
        <f t="shared" si="4"/>
        <v>0.5</v>
      </c>
      <c r="F12" s="150">
        <f t="shared" si="4"/>
        <v>0.5</v>
      </c>
      <c r="G12" s="150">
        <f t="shared" si="4"/>
        <v>0.5</v>
      </c>
      <c r="H12" s="150">
        <f t="shared" si="4"/>
        <v>0.5</v>
      </c>
    </row>
    <row r="13" spans="1:8" ht="15.75" customHeight="1">
      <c r="A13" s="11" t="s">
        <v>349</v>
      </c>
      <c r="B13" s="150">
        <v>0.31</v>
      </c>
      <c r="C13" s="451">
        <f t="shared" ref="C13:H13" si="5">1-SUM(C11:C12)</f>
        <v>0.25</v>
      </c>
      <c r="D13" s="451">
        <f t="shared" si="5"/>
        <v>0.19999999999999996</v>
      </c>
      <c r="E13" s="451">
        <f t="shared" si="5"/>
        <v>0.15000000000000002</v>
      </c>
      <c r="F13" s="451">
        <f t="shared" si="5"/>
        <v>9.9999999999999978E-2</v>
      </c>
      <c r="G13" s="451">
        <f t="shared" si="5"/>
        <v>9.9999999999999978E-2</v>
      </c>
      <c r="H13" s="451">
        <f t="shared" si="5"/>
        <v>9.9999999999999978E-2</v>
      </c>
    </row>
    <row r="16" spans="1:8" ht="15.75" customHeight="1">
      <c r="A16" s="24" t="s">
        <v>351</v>
      </c>
      <c r="B16" s="8">
        <v>2025</v>
      </c>
      <c r="C16" s="8">
        <v>2026</v>
      </c>
      <c r="D16" s="8">
        <v>2027</v>
      </c>
      <c r="E16" s="8">
        <v>2028</v>
      </c>
      <c r="F16" s="8">
        <v>2029</v>
      </c>
      <c r="G16" s="8">
        <v>2030</v>
      </c>
      <c r="H16" s="8">
        <v>2031</v>
      </c>
    </row>
    <row r="17" spans="1:8" ht="15.75" customHeight="1">
      <c r="A17" s="11" t="s">
        <v>348</v>
      </c>
      <c r="B17" s="150">
        <v>0.22</v>
      </c>
      <c r="C17" s="150">
        <f>25/100</f>
        <v>0.25</v>
      </c>
      <c r="D17" s="150">
        <v>0.3</v>
      </c>
      <c r="E17" s="150">
        <f>35%</f>
        <v>0.35</v>
      </c>
      <c r="F17" s="150">
        <f>40%</f>
        <v>0.4</v>
      </c>
      <c r="G17" s="150">
        <f t="shared" ref="G17:H17" si="6">F17</f>
        <v>0.4</v>
      </c>
      <c r="H17" s="150">
        <f t="shared" si="6"/>
        <v>0.4</v>
      </c>
    </row>
    <row r="18" spans="1:8" ht="15.75" customHeight="1">
      <c r="A18" s="11" t="s">
        <v>12</v>
      </c>
      <c r="B18" s="150">
        <v>0.47</v>
      </c>
      <c r="C18" s="150">
        <v>0.5</v>
      </c>
      <c r="D18" s="150">
        <f t="shared" ref="D18:H18" si="7">50%</f>
        <v>0.5</v>
      </c>
      <c r="E18" s="150">
        <f t="shared" si="7"/>
        <v>0.5</v>
      </c>
      <c r="F18" s="150">
        <f t="shared" si="7"/>
        <v>0.5</v>
      </c>
      <c r="G18" s="150">
        <f t="shared" si="7"/>
        <v>0.5</v>
      </c>
      <c r="H18" s="150">
        <f t="shared" si="7"/>
        <v>0.5</v>
      </c>
    </row>
    <row r="19" spans="1:8" ht="15.75" customHeight="1">
      <c r="A19" s="11" t="s">
        <v>349</v>
      </c>
      <c r="B19" s="150">
        <v>0.31</v>
      </c>
      <c r="C19" s="451">
        <f t="shared" ref="C19:H19" si="8">1-SUM(C17:C18)</f>
        <v>0.25</v>
      </c>
      <c r="D19" s="451">
        <f t="shared" si="8"/>
        <v>0.19999999999999996</v>
      </c>
      <c r="E19" s="451">
        <f t="shared" si="8"/>
        <v>0.15000000000000002</v>
      </c>
      <c r="F19" s="451">
        <f t="shared" si="8"/>
        <v>9.9999999999999978E-2</v>
      </c>
      <c r="G19" s="451">
        <f t="shared" si="8"/>
        <v>9.9999999999999978E-2</v>
      </c>
      <c r="H19" s="451">
        <f t="shared" si="8"/>
        <v>9.9999999999999978E-2</v>
      </c>
    </row>
    <row r="22" spans="1:8" ht="15.75" customHeight="1">
      <c r="A22" s="24" t="s">
        <v>352</v>
      </c>
      <c r="B22" s="8">
        <v>2025</v>
      </c>
      <c r="C22" s="8">
        <v>2026</v>
      </c>
      <c r="D22" s="8">
        <v>2027</v>
      </c>
      <c r="E22" s="8">
        <v>2028</v>
      </c>
      <c r="F22" s="8">
        <v>2029</v>
      </c>
      <c r="G22" s="8">
        <v>2030</v>
      </c>
      <c r="H22" s="8">
        <v>2031</v>
      </c>
    </row>
    <row r="23" spans="1:8" ht="15.75" customHeight="1">
      <c r="A23" s="11" t="s">
        <v>348</v>
      </c>
      <c r="B23" s="451">
        <f t="shared" ref="B23:H23" si="9">B17</f>
        <v>0.22</v>
      </c>
      <c r="C23" s="451">
        <f t="shared" si="9"/>
        <v>0.25</v>
      </c>
      <c r="D23" s="451">
        <f t="shared" si="9"/>
        <v>0.3</v>
      </c>
      <c r="E23" s="451">
        <f t="shared" si="9"/>
        <v>0.35</v>
      </c>
      <c r="F23" s="451">
        <f t="shared" si="9"/>
        <v>0.4</v>
      </c>
      <c r="G23" s="451">
        <f t="shared" si="9"/>
        <v>0.4</v>
      </c>
      <c r="H23" s="451">
        <f t="shared" si="9"/>
        <v>0.4</v>
      </c>
    </row>
    <row r="24" spans="1:8" ht="15.75" customHeight="1">
      <c r="A24" s="11" t="s">
        <v>12</v>
      </c>
      <c r="B24" s="451">
        <f t="shared" ref="B24:H24" si="10">B18</f>
        <v>0.47</v>
      </c>
      <c r="C24" s="451">
        <f t="shared" si="10"/>
        <v>0.5</v>
      </c>
      <c r="D24" s="451">
        <f t="shared" si="10"/>
        <v>0.5</v>
      </c>
      <c r="E24" s="451">
        <f t="shared" si="10"/>
        <v>0.5</v>
      </c>
      <c r="F24" s="451">
        <f t="shared" si="10"/>
        <v>0.5</v>
      </c>
      <c r="G24" s="451">
        <f t="shared" si="10"/>
        <v>0.5</v>
      </c>
      <c r="H24" s="451">
        <f t="shared" si="10"/>
        <v>0.5</v>
      </c>
    </row>
    <row r="25" spans="1:8" ht="15.75" customHeight="1">
      <c r="A25" s="11" t="s">
        <v>349</v>
      </c>
      <c r="B25" s="451">
        <f t="shared" ref="B25:H25" si="11">B19</f>
        <v>0.31</v>
      </c>
      <c r="C25" s="451">
        <f t="shared" si="11"/>
        <v>0.25</v>
      </c>
      <c r="D25" s="451">
        <f t="shared" si="11"/>
        <v>0.19999999999999996</v>
      </c>
      <c r="E25" s="451">
        <f t="shared" si="11"/>
        <v>0.15000000000000002</v>
      </c>
      <c r="F25" s="451">
        <f t="shared" si="11"/>
        <v>9.9999999999999978E-2</v>
      </c>
      <c r="G25" s="451">
        <f t="shared" si="11"/>
        <v>9.9999999999999978E-2</v>
      </c>
      <c r="H25" s="451">
        <f t="shared" si="11"/>
        <v>9.9999999999999978E-2</v>
      </c>
    </row>
    <row r="28" spans="1:8" ht="15.75" customHeight="1">
      <c r="A28" s="24" t="s">
        <v>353</v>
      </c>
      <c r="B28" s="8">
        <v>2025</v>
      </c>
      <c r="C28" s="8">
        <v>2026</v>
      </c>
      <c r="D28" s="8">
        <v>2027</v>
      </c>
      <c r="E28" s="8">
        <v>2028</v>
      </c>
      <c r="F28" s="8">
        <v>2029</v>
      </c>
      <c r="G28" s="8">
        <v>2030</v>
      </c>
      <c r="H28" s="8">
        <v>2031</v>
      </c>
    </row>
    <row r="29" spans="1:8" ht="15.75" customHeight="1">
      <c r="A29" s="11" t="s">
        <v>348</v>
      </c>
      <c r="B29" s="451">
        <f t="shared" ref="B29:H29" si="12">B23</f>
        <v>0.22</v>
      </c>
      <c r="C29" s="451">
        <f t="shared" si="12"/>
        <v>0.25</v>
      </c>
      <c r="D29" s="451">
        <f t="shared" si="12"/>
        <v>0.3</v>
      </c>
      <c r="E29" s="451">
        <f t="shared" si="12"/>
        <v>0.35</v>
      </c>
      <c r="F29" s="451">
        <f t="shared" si="12"/>
        <v>0.4</v>
      </c>
      <c r="G29" s="451">
        <f t="shared" si="12"/>
        <v>0.4</v>
      </c>
      <c r="H29" s="451">
        <f t="shared" si="12"/>
        <v>0.4</v>
      </c>
    </row>
    <row r="30" spans="1:8" ht="15.75" customHeight="1">
      <c r="A30" s="11" t="s">
        <v>12</v>
      </c>
      <c r="B30" s="451">
        <f t="shared" ref="B30:H30" si="13">B24</f>
        <v>0.47</v>
      </c>
      <c r="C30" s="451">
        <f t="shared" si="13"/>
        <v>0.5</v>
      </c>
      <c r="D30" s="451">
        <f t="shared" si="13"/>
        <v>0.5</v>
      </c>
      <c r="E30" s="451">
        <f t="shared" si="13"/>
        <v>0.5</v>
      </c>
      <c r="F30" s="451">
        <f t="shared" si="13"/>
        <v>0.5</v>
      </c>
      <c r="G30" s="451">
        <f t="shared" si="13"/>
        <v>0.5</v>
      </c>
      <c r="H30" s="451">
        <f t="shared" si="13"/>
        <v>0.5</v>
      </c>
    </row>
    <row r="31" spans="1:8" ht="15.75" customHeight="1">
      <c r="A31" s="11" t="s">
        <v>349</v>
      </c>
      <c r="B31" s="451">
        <f t="shared" ref="B31:H31" si="14">B25</f>
        <v>0.31</v>
      </c>
      <c r="C31" s="451">
        <f t="shared" si="14"/>
        <v>0.25</v>
      </c>
      <c r="D31" s="451">
        <f t="shared" si="14"/>
        <v>0.19999999999999996</v>
      </c>
      <c r="E31" s="451">
        <f t="shared" si="14"/>
        <v>0.15000000000000002</v>
      </c>
      <c r="F31" s="451">
        <f t="shared" si="14"/>
        <v>9.9999999999999978E-2</v>
      </c>
      <c r="G31" s="451">
        <f t="shared" si="14"/>
        <v>9.9999999999999978E-2</v>
      </c>
      <c r="H31" s="451">
        <f t="shared" si="14"/>
        <v>9.9999999999999978E-2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S991"/>
  <sheetViews>
    <sheetView topLeftCell="A5" workbookViewId="0">
      <selection activeCell="I44" sqref="I44"/>
    </sheetView>
  </sheetViews>
  <sheetFormatPr baseColWidth="10" defaultColWidth="12.6640625" defaultRowHeight="15.75" customHeight="1"/>
  <cols>
    <col min="1" max="1" width="22.1640625" customWidth="1"/>
    <col min="2" max="2" width="14.6640625" customWidth="1"/>
    <col min="3" max="3" width="14.33203125" customWidth="1"/>
    <col min="10" max="10" width="17.6640625" customWidth="1"/>
  </cols>
  <sheetData>
    <row r="1" spans="1:19" ht="18">
      <c r="A1" s="452" t="s">
        <v>354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19" ht="15.75" customHeight="1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spans="1:19" ht="15.75" customHeight="1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19" ht="15.75" customHeight="1">
      <c r="A4" s="2" t="s">
        <v>355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</row>
    <row r="5" spans="1:19" ht="15.75" customHeight="1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</row>
    <row r="6" spans="1:19" ht="16">
      <c r="A6" s="453" t="s">
        <v>356</v>
      </c>
      <c r="B6" s="454" t="s">
        <v>357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</row>
    <row r="7" spans="1:19" ht="48">
      <c r="A7" s="455" t="s">
        <v>358</v>
      </c>
      <c r="B7" s="456" t="s">
        <v>359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</row>
    <row r="8" spans="1:19" ht="16">
      <c r="A8" s="457" t="s">
        <v>360</v>
      </c>
      <c r="B8" s="458" t="s">
        <v>361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</row>
    <row r="9" spans="1:19" ht="16">
      <c r="A9" s="457" t="s">
        <v>362</v>
      </c>
      <c r="B9" s="458" t="s">
        <v>363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</row>
    <row r="10" spans="1:19" ht="16">
      <c r="A10" s="457" t="s">
        <v>364</v>
      </c>
      <c r="B10" s="458" t="s">
        <v>365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</row>
    <row r="11" spans="1:19" ht="16">
      <c r="A11" s="459" t="s">
        <v>366</v>
      </c>
      <c r="B11" s="460" t="s">
        <v>367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</row>
    <row r="12" spans="1:19" ht="15.75" customHeight="1">
      <c r="A12" s="306"/>
      <c r="B12" s="306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</row>
    <row r="13" spans="1:19" ht="15.75" customHeight="1">
      <c r="A13" s="306"/>
      <c r="B13" s="306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</row>
    <row r="14" spans="1:19" ht="15.75" customHeight="1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</row>
    <row r="15" spans="1:19" ht="15.75" customHeight="1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</row>
    <row r="16" spans="1:19" ht="32">
      <c r="A16" s="461" t="s">
        <v>356</v>
      </c>
      <c r="B16" s="453" t="s">
        <v>368</v>
      </c>
      <c r="C16" s="462" t="s">
        <v>369</v>
      </c>
      <c r="D16" s="462" t="s">
        <v>370</v>
      </c>
      <c r="E16" s="454" t="s">
        <v>371</v>
      </c>
      <c r="F16" s="461" t="s">
        <v>372</v>
      </c>
      <c r="G16" s="463" t="s">
        <v>373</v>
      </c>
      <c r="H16" s="464" t="s">
        <v>374</v>
      </c>
      <c r="I16" s="464" t="s">
        <v>375</v>
      </c>
      <c r="J16" s="463" t="s">
        <v>357</v>
      </c>
      <c r="K16" s="464" t="s">
        <v>376</v>
      </c>
      <c r="L16" s="464" t="s">
        <v>377</v>
      </c>
      <c r="M16" s="464" t="s">
        <v>378</v>
      </c>
      <c r="N16" s="464" t="s">
        <v>379</v>
      </c>
      <c r="O16" s="61"/>
      <c r="P16" s="61"/>
      <c r="Q16" s="61"/>
      <c r="R16" s="61"/>
      <c r="S16" s="61"/>
    </row>
    <row r="17" spans="1:19" ht="48">
      <c r="A17" s="465" t="str">
        <f t="shared" ref="A17:A21" si="0">A7</f>
        <v xml:space="preserve">Opt 1 : Dette technique et améliorations continue Optiwize </v>
      </c>
      <c r="B17" s="466" t="str">
        <f>'Annexe A  Plan RH'!C8</f>
        <v>Ingé SI</v>
      </c>
      <c r="C17" s="467" t="str">
        <f>'Annexe A  Plan RH'!C9</f>
        <v>Ingé Support</v>
      </c>
      <c r="D17" s="467" t="str">
        <f>'Annexe A  Plan RH'!C11</f>
        <v>Resp informatique</v>
      </c>
      <c r="E17" s="468"/>
      <c r="F17" s="469" t="s">
        <v>380</v>
      </c>
      <c r="G17" s="470">
        <v>10000</v>
      </c>
      <c r="H17" s="471">
        <v>45627</v>
      </c>
      <c r="I17" s="472">
        <v>51501</v>
      </c>
      <c r="J17" s="473" t="str">
        <f t="shared" ref="J17:J21" si="1">B7</f>
        <v>Livrables OW FR</v>
      </c>
      <c r="K17" s="474">
        <v>0.25</v>
      </c>
      <c r="L17" s="475">
        <v>2</v>
      </c>
      <c r="M17" s="475">
        <v>1</v>
      </c>
      <c r="N17" s="476">
        <v>0.2</v>
      </c>
      <c r="O17" s="61"/>
      <c r="P17" s="3"/>
      <c r="Q17" s="61"/>
      <c r="R17" s="61"/>
      <c r="S17" s="61"/>
    </row>
    <row r="18" spans="1:19" ht="16">
      <c r="A18" s="465" t="str">
        <f t="shared" si="0"/>
        <v>Opt 2 : Optiwise ES</v>
      </c>
      <c r="B18" s="477" t="s">
        <v>282</v>
      </c>
      <c r="C18" s="478" t="s">
        <v>284</v>
      </c>
      <c r="D18" s="478" t="s">
        <v>268</v>
      </c>
      <c r="E18" s="479"/>
      <c r="F18" s="480" t="s">
        <v>380</v>
      </c>
      <c r="G18" s="481">
        <v>25000</v>
      </c>
      <c r="H18" s="482">
        <f>'Plan stratégique  likewatt'!G39-180</f>
        <v>47335</v>
      </c>
      <c r="I18" s="483">
        <v>51501</v>
      </c>
      <c r="J18" s="402" t="str">
        <f t="shared" si="1"/>
        <v>Livrables OW SP</v>
      </c>
      <c r="K18" s="439">
        <v>0.25</v>
      </c>
      <c r="L18" s="5">
        <v>2</v>
      </c>
      <c r="M18" s="5">
        <v>1</v>
      </c>
      <c r="N18" s="484">
        <v>0.2</v>
      </c>
      <c r="O18" s="61"/>
      <c r="P18" s="61"/>
      <c r="Q18" s="61"/>
      <c r="R18" s="61"/>
      <c r="S18" s="61"/>
    </row>
    <row r="19" spans="1:19" ht="16">
      <c r="A19" s="465" t="str">
        <f t="shared" si="0"/>
        <v>Opt 3 : Optiwise CH</v>
      </c>
      <c r="B19" s="477" t="s">
        <v>282</v>
      </c>
      <c r="C19" s="478" t="s">
        <v>284</v>
      </c>
      <c r="D19" s="478" t="s">
        <v>268</v>
      </c>
      <c r="E19" s="479"/>
      <c r="F19" s="480" t="s">
        <v>380</v>
      </c>
      <c r="G19" s="481">
        <v>25000</v>
      </c>
      <c r="H19" s="482">
        <f>'Plan stratégique  likewatt'!G40-180</f>
        <v>47701</v>
      </c>
      <c r="I19" s="483">
        <v>51502</v>
      </c>
      <c r="J19" s="402" t="str">
        <f t="shared" si="1"/>
        <v>Livrables OW CH</v>
      </c>
      <c r="K19" s="439">
        <v>0.25</v>
      </c>
      <c r="L19" s="5">
        <v>2</v>
      </c>
      <c r="M19" s="5">
        <v>1</v>
      </c>
      <c r="N19" s="484">
        <v>0.2</v>
      </c>
      <c r="O19" s="61"/>
      <c r="P19" s="61"/>
      <c r="Q19" s="61"/>
      <c r="R19" s="61"/>
      <c r="S19" s="61"/>
    </row>
    <row r="20" spans="1:19" ht="16">
      <c r="A20" s="465" t="str">
        <f t="shared" si="0"/>
        <v>Opt 4 : Optiwise BE</v>
      </c>
      <c r="B20" s="477" t="s">
        <v>282</v>
      </c>
      <c r="C20" s="478" t="s">
        <v>284</v>
      </c>
      <c r="D20" s="478" t="s">
        <v>268</v>
      </c>
      <c r="E20" s="479"/>
      <c r="F20" s="480" t="s">
        <v>380</v>
      </c>
      <c r="G20" s="481">
        <v>25000</v>
      </c>
      <c r="H20" s="482">
        <f>'Plan stratégique  likewatt'!G41-180</f>
        <v>48067</v>
      </c>
      <c r="I20" s="483">
        <v>51503</v>
      </c>
      <c r="J20" s="402" t="str">
        <f t="shared" si="1"/>
        <v>Livrables OW BE</v>
      </c>
      <c r="K20" s="439">
        <v>0.25</v>
      </c>
      <c r="L20" s="5">
        <v>2</v>
      </c>
      <c r="M20" s="5">
        <v>1</v>
      </c>
      <c r="N20" s="484">
        <v>0.2</v>
      </c>
      <c r="O20" s="61"/>
      <c r="P20" s="61"/>
      <c r="Q20" s="61"/>
      <c r="R20" s="61"/>
      <c r="S20" s="61"/>
    </row>
    <row r="21" spans="1:19" ht="16">
      <c r="A21" s="485" t="str">
        <f t="shared" si="0"/>
        <v>Opt 5 : Optiwise DE</v>
      </c>
      <c r="B21" s="486" t="s">
        <v>282</v>
      </c>
      <c r="C21" s="487" t="s">
        <v>284</v>
      </c>
      <c r="D21" s="487" t="s">
        <v>268</v>
      </c>
      <c r="E21" s="488"/>
      <c r="F21" s="489" t="s">
        <v>380</v>
      </c>
      <c r="G21" s="490">
        <v>25000</v>
      </c>
      <c r="H21" s="491">
        <f>'Plan stratégique  likewatt'!G42-180</f>
        <v>48433</v>
      </c>
      <c r="I21" s="492">
        <v>51504</v>
      </c>
      <c r="J21" s="493" t="str">
        <f t="shared" si="1"/>
        <v>Livrables OW DE</v>
      </c>
      <c r="K21" s="443">
        <v>0.25</v>
      </c>
      <c r="L21" s="494">
        <v>2</v>
      </c>
      <c r="M21" s="494">
        <v>1</v>
      </c>
      <c r="N21" s="495">
        <v>0.2</v>
      </c>
      <c r="O21" s="61"/>
      <c r="P21" s="61"/>
      <c r="Q21" s="61"/>
      <c r="R21" s="61"/>
      <c r="S21" s="61"/>
    </row>
    <row r="22" spans="1:19" ht="15.75" customHeight="1">
      <c r="A22" s="306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</row>
    <row r="23" spans="1:19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</row>
    <row r="24" spans="1:19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</row>
    <row r="25" spans="1:19" ht="15.75" customHeight="1">
      <c r="A25" s="2" t="s">
        <v>381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</row>
    <row r="26" spans="1:19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</row>
    <row r="27" spans="1:19" ht="16">
      <c r="A27" s="453" t="s">
        <v>356</v>
      </c>
      <c r="B27" s="454" t="s">
        <v>357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</row>
    <row r="28" spans="1:19" ht="48">
      <c r="A28" s="496" t="s">
        <v>382</v>
      </c>
      <c r="B28" s="497" t="s">
        <v>383</v>
      </c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</row>
    <row r="29" spans="1:19" ht="16">
      <c r="A29" s="496" t="s">
        <v>384</v>
      </c>
      <c r="B29" s="497" t="s">
        <v>385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</row>
    <row r="30" spans="1:19" ht="16">
      <c r="A30" s="496" t="s">
        <v>386</v>
      </c>
      <c r="B30" s="497" t="s">
        <v>387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</row>
    <row r="31" spans="1:19" ht="16">
      <c r="A31" s="496" t="s">
        <v>388</v>
      </c>
      <c r="B31" s="497" t="s">
        <v>389</v>
      </c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</row>
    <row r="32" spans="1:19" ht="16">
      <c r="A32" s="496" t="s">
        <v>390</v>
      </c>
      <c r="B32" s="497" t="s">
        <v>391</v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</row>
    <row r="33" spans="1:19" ht="16">
      <c r="A33" s="496" t="s">
        <v>392</v>
      </c>
      <c r="B33" s="497" t="s">
        <v>393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</row>
    <row r="34" spans="1:19" ht="16">
      <c r="A34" s="496" t="s">
        <v>394</v>
      </c>
      <c r="B34" s="497" t="s">
        <v>395</v>
      </c>
      <c r="C34" s="306"/>
      <c r="D34" s="306"/>
      <c r="E34" s="306"/>
      <c r="F34" s="306"/>
      <c r="G34" s="306"/>
      <c r="H34" s="306"/>
      <c r="I34" s="306"/>
      <c r="J34" s="306"/>
      <c r="K34" s="306"/>
      <c r="L34" s="306"/>
      <c r="M34" s="306"/>
      <c r="N34" s="306"/>
      <c r="O34" s="306"/>
      <c r="P34" s="306"/>
      <c r="Q34" s="306"/>
      <c r="R34" s="306"/>
      <c r="S34" s="306"/>
    </row>
    <row r="35" spans="1:19" ht="16">
      <c r="A35" s="498" t="s">
        <v>396</v>
      </c>
      <c r="B35" s="499" t="s">
        <v>397</v>
      </c>
      <c r="C35" s="306"/>
      <c r="D35" s="306"/>
      <c r="E35" s="306"/>
      <c r="F35" s="306"/>
      <c r="G35" s="306"/>
      <c r="H35" s="306"/>
      <c r="I35" s="306"/>
      <c r="J35" s="306"/>
      <c r="K35" s="306"/>
      <c r="L35" s="306"/>
      <c r="M35" s="306"/>
      <c r="N35" s="306"/>
      <c r="O35" s="306"/>
      <c r="P35" s="306"/>
      <c r="Q35" s="306"/>
      <c r="R35" s="306"/>
      <c r="S35" s="306"/>
    </row>
    <row r="36" spans="1:19" ht="15.75" customHeight="1">
      <c r="A36" s="306"/>
      <c r="B36" s="306"/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</row>
    <row r="37" spans="1:19" ht="32">
      <c r="A37" s="461" t="s">
        <v>356</v>
      </c>
      <c r="B37" s="461" t="s">
        <v>368</v>
      </c>
      <c r="C37" s="464" t="s">
        <v>369</v>
      </c>
      <c r="D37" s="464" t="s">
        <v>370</v>
      </c>
      <c r="E37" s="463" t="s">
        <v>371</v>
      </c>
      <c r="F37" s="461" t="s">
        <v>372</v>
      </c>
      <c r="G37" s="463" t="s">
        <v>373</v>
      </c>
      <c r="H37" s="464" t="s">
        <v>374</v>
      </c>
      <c r="I37" s="464" t="s">
        <v>375</v>
      </c>
      <c r="J37" s="464" t="s">
        <v>357</v>
      </c>
      <c r="K37" s="461" t="s">
        <v>376</v>
      </c>
      <c r="L37" s="464" t="s">
        <v>377</v>
      </c>
      <c r="M37" s="464" t="s">
        <v>378</v>
      </c>
      <c r="N37" s="463" t="s">
        <v>379</v>
      </c>
      <c r="O37" s="61"/>
      <c r="P37" s="61"/>
      <c r="Q37" s="61"/>
      <c r="R37" s="61"/>
      <c r="S37" s="61"/>
    </row>
    <row r="38" spans="1:19" ht="48">
      <c r="A38" s="465" t="str">
        <f t="shared" ref="A38:A40" si="2">A28</f>
        <v>LEA 1 : Dette technique et amélioration continue Leads v1</v>
      </c>
      <c r="B38" s="477" t="s">
        <v>282</v>
      </c>
      <c r="C38" s="478" t="s">
        <v>284</v>
      </c>
      <c r="D38" s="478" t="s">
        <v>286</v>
      </c>
      <c r="E38" s="478"/>
      <c r="F38" s="469" t="s">
        <v>380</v>
      </c>
      <c r="G38" s="500">
        <v>20000</v>
      </c>
      <c r="H38" s="483">
        <v>45658</v>
      </c>
      <c r="I38" s="483">
        <v>51501</v>
      </c>
      <c r="J38" s="401" t="str">
        <f t="shared" ref="J38:J40" si="3">B28</f>
        <v>LEA v1.x</v>
      </c>
      <c r="K38" s="501">
        <v>0.1</v>
      </c>
      <c r="L38" s="502">
        <v>2</v>
      </c>
      <c r="M38" s="3">
        <v>0.2</v>
      </c>
      <c r="N38" s="419"/>
      <c r="O38" s="61"/>
      <c r="P38" s="61"/>
      <c r="Q38" s="61"/>
      <c r="R38" s="61"/>
      <c r="S38" s="61"/>
    </row>
    <row r="39" spans="1:19" ht="16">
      <c r="A39" s="465" t="str">
        <f t="shared" si="2"/>
        <v>LEA 2</v>
      </c>
      <c r="B39" s="477" t="s">
        <v>282</v>
      </c>
      <c r="C39" s="478" t="s">
        <v>284</v>
      </c>
      <c r="D39" s="478" t="s">
        <v>286</v>
      </c>
      <c r="E39" s="401"/>
      <c r="F39" s="480" t="s">
        <v>380</v>
      </c>
      <c r="G39" s="500">
        <v>20000</v>
      </c>
      <c r="H39" s="503">
        <f>'Plan stratégique  likewatt'!C43</f>
        <v>47515</v>
      </c>
      <c r="I39" s="503">
        <f t="shared" ref="I39:I40" si="4">H39+365</f>
        <v>47880</v>
      </c>
      <c r="J39" s="401" t="str">
        <f t="shared" si="3"/>
        <v>LEA v2</v>
      </c>
      <c r="K39" s="501">
        <v>0.1</v>
      </c>
      <c r="L39" s="502">
        <v>2</v>
      </c>
      <c r="M39" s="3">
        <v>0.2</v>
      </c>
      <c r="N39" s="504"/>
      <c r="O39" s="61"/>
      <c r="P39" s="61"/>
      <c r="Q39" s="61"/>
      <c r="R39" s="61"/>
      <c r="S39" s="61"/>
    </row>
    <row r="40" spans="1:19" ht="16">
      <c r="A40" s="485" t="str">
        <f t="shared" si="2"/>
        <v>LEA 3</v>
      </c>
      <c r="B40" s="486" t="s">
        <v>282</v>
      </c>
      <c r="C40" s="487" t="s">
        <v>284</v>
      </c>
      <c r="D40" s="487" t="s">
        <v>286</v>
      </c>
      <c r="E40" s="505"/>
      <c r="F40" s="489" t="s">
        <v>380</v>
      </c>
      <c r="G40" s="506">
        <v>20000</v>
      </c>
      <c r="H40" s="507">
        <f>I39</f>
        <v>47880</v>
      </c>
      <c r="I40" s="507">
        <f t="shared" si="4"/>
        <v>48245</v>
      </c>
      <c r="J40" s="505" t="str">
        <f t="shared" si="3"/>
        <v>LEA v4</v>
      </c>
      <c r="K40" s="508">
        <v>0.1</v>
      </c>
      <c r="L40" s="509">
        <v>2</v>
      </c>
      <c r="M40" s="385">
        <v>0.2</v>
      </c>
      <c r="N40" s="510"/>
      <c r="O40" s="61"/>
      <c r="P40" s="61"/>
      <c r="Q40" s="61"/>
      <c r="R40" s="61"/>
      <c r="S40" s="61"/>
    </row>
    <row r="41" spans="1:19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</row>
    <row r="42" spans="1:19" ht="15.75" customHeight="1">
      <c r="A42" s="2" t="s">
        <v>398</v>
      </c>
      <c r="B42" s="61"/>
      <c r="C42" s="61"/>
      <c r="D42" s="2" t="s">
        <v>399</v>
      </c>
      <c r="E42" s="511">
        <f>SUMIFS('Annexe A  Plan RH'!$CT$4:$CT$85,'Annexe A  Plan RH'!$H4:$H85,"R&amp;D1")+SUM(G52:G54)</f>
        <v>553968.75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</row>
    <row r="43" spans="1:19" ht="15.75" customHeight="1">
      <c r="A43" s="61"/>
      <c r="B43" s="61"/>
      <c r="C43" s="61"/>
      <c r="D43" s="3" t="s">
        <v>400</v>
      </c>
      <c r="E43" s="511">
        <f t="shared" ref="E43:E45" si="5">O52/SUM($O$52:$O$54)*$E$42</f>
        <v>150882.14463220673</v>
      </c>
      <c r="F43" s="512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</row>
    <row r="44" spans="1:19" ht="16">
      <c r="A44" s="513" t="s">
        <v>356</v>
      </c>
      <c r="B44" s="514" t="s">
        <v>357</v>
      </c>
      <c r="C44" s="61"/>
      <c r="D44" s="3" t="s">
        <v>401</v>
      </c>
      <c r="E44" s="511">
        <f t="shared" si="5"/>
        <v>201543.30268389662</v>
      </c>
      <c r="F44" s="512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</row>
    <row r="45" spans="1:19" ht="16">
      <c r="A45" s="496" t="s">
        <v>402</v>
      </c>
      <c r="B45" s="515" t="s">
        <v>403</v>
      </c>
      <c r="C45" s="61"/>
      <c r="D45" s="3" t="s">
        <v>404</v>
      </c>
      <c r="E45" s="511">
        <f t="shared" si="5"/>
        <v>201543.30268389662</v>
      </c>
      <c r="F45" s="512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</row>
    <row r="46" spans="1:19" ht="16">
      <c r="A46" s="496" t="s">
        <v>405</v>
      </c>
      <c r="B46" s="516" t="s">
        <v>406</v>
      </c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</row>
    <row r="47" spans="1:19" ht="16">
      <c r="A47" s="498" t="s">
        <v>407</v>
      </c>
      <c r="B47" s="517" t="s">
        <v>408</v>
      </c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</row>
    <row r="48" spans="1:19" ht="15.75" customHeight="1">
      <c r="A48" s="306"/>
      <c r="B48" s="306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</row>
    <row r="49" spans="1:19" ht="15.75" customHeight="1">
      <c r="A49" s="306"/>
      <c r="B49" s="306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</row>
    <row r="50" spans="1:19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</row>
    <row r="51" spans="1:19" ht="32">
      <c r="A51" s="453" t="s">
        <v>356</v>
      </c>
      <c r="B51" s="461" t="s">
        <v>368</v>
      </c>
      <c r="C51" s="464" t="s">
        <v>369</v>
      </c>
      <c r="D51" s="464" t="s">
        <v>370</v>
      </c>
      <c r="E51" s="463" t="s">
        <v>371</v>
      </c>
      <c r="F51" s="453" t="s">
        <v>372</v>
      </c>
      <c r="G51" s="454" t="s">
        <v>373</v>
      </c>
      <c r="H51" s="462" t="s">
        <v>374</v>
      </c>
      <c r="I51" s="462" t="s">
        <v>375</v>
      </c>
      <c r="J51" s="462" t="s">
        <v>357</v>
      </c>
      <c r="K51" s="453" t="s">
        <v>376</v>
      </c>
      <c r="L51" s="462" t="s">
        <v>377</v>
      </c>
      <c r="M51" s="462" t="s">
        <v>378</v>
      </c>
      <c r="N51" s="454" t="s">
        <v>379</v>
      </c>
      <c r="O51" s="454" t="s">
        <v>409</v>
      </c>
      <c r="P51" s="61"/>
      <c r="Q51" s="61"/>
      <c r="R51" s="61"/>
      <c r="S51" s="61"/>
    </row>
    <row r="52" spans="1:19" ht="16">
      <c r="A52" s="518" t="str">
        <f t="shared" ref="A52:A54" si="6">A45</f>
        <v>R&amp;D1</v>
      </c>
      <c r="B52" s="466" t="s">
        <v>282</v>
      </c>
      <c r="C52" s="467" t="s">
        <v>284</v>
      </c>
      <c r="D52" s="467" t="s">
        <v>286</v>
      </c>
      <c r="E52" s="287"/>
      <c r="F52" s="469" t="s">
        <v>410</v>
      </c>
      <c r="G52" s="519">
        <v>30000</v>
      </c>
      <c r="H52" s="520">
        <f>'Plan stratégique  likewatt'!G38</f>
        <v>46082</v>
      </c>
      <c r="I52" s="521">
        <f>H52+9*30.5</f>
        <v>46356.5</v>
      </c>
      <c r="J52" s="473" t="str">
        <f t="shared" ref="J52:J54" si="7">B45</f>
        <v>Workflow</v>
      </c>
      <c r="K52" s="474">
        <v>0.25</v>
      </c>
      <c r="L52" s="475">
        <v>3</v>
      </c>
      <c r="M52" s="475">
        <v>1</v>
      </c>
      <c r="N52" s="522"/>
      <c r="O52" s="523">
        <f t="shared" ref="O52:O54" si="8">DATEDIF(H52,I52,"D")</f>
        <v>274</v>
      </c>
      <c r="P52" s="61"/>
      <c r="Q52" s="61"/>
      <c r="R52" s="61"/>
      <c r="S52" s="61"/>
    </row>
    <row r="53" spans="1:19" ht="16">
      <c r="A53" s="465" t="str">
        <f t="shared" si="6"/>
        <v>R&amp;D2</v>
      </c>
      <c r="B53" s="477" t="s">
        <v>282</v>
      </c>
      <c r="C53" s="478" t="s">
        <v>284</v>
      </c>
      <c r="D53" s="478" t="s">
        <v>286</v>
      </c>
      <c r="E53" s="62"/>
      <c r="F53" s="480" t="s">
        <v>410</v>
      </c>
      <c r="G53" s="500">
        <v>30000</v>
      </c>
      <c r="H53" s="482">
        <f t="shared" ref="H53:H54" si="9">I52+1</f>
        <v>46357.5</v>
      </c>
      <c r="I53" s="503">
        <f t="shared" ref="I53:I54" si="10">H53+12*30.5</f>
        <v>46723.5</v>
      </c>
      <c r="J53" s="402" t="str">
        <f t="shared" si="7"/>
        <v>Multi batiment</v>
      </c>
      <c r="K53" s="439">
        <v>0.25</v>
      </c>
      <c r="L53" s="5">
        <v>3</v>
      </c>
      <c r="M53" s="5">
        <v>1</v>
      </c>
      <c r="N53" s="524"/>
      <c r="O53" s="75">
        <f t="shared" si="8"/>
        <v>366</v>
      </c>
      <c r="P53" s="61"/>
      <c r="Q53" s="61"/>
      <c r="R53" s="61"/>
      <c r="S53" s="61"/>
    </row>
    <row r="54" spans="1:19" ht="16">
      <c r="A54" s="485" t="str">
        <f t="shared" si="6"/>
        <v>R&amp;D3</v>
      </c>
      <c r="B54" s="486" t="s">
        <v>282</v>
      </c>
      <c r="C54" s="487" t="s">
        <v>284</v>
      </c>
      <c r="D54" s="487" t="s">
        <v>286</v>
      </c>
      <c r="E54" s="67"/>
      <c r="F54" s="489" t="s">
        <v>410</v>
      </c>
      <c r="G54" s="506">
        <v>30000</v>
      </c>
      <c r="H54" s="491">
        <f t="shared" si="9"/>
        <v>46724.5</v>
      </c>
      <c r="I54" s="507">
        <f t="shared" si="10"/>
        <v>47090.5</v>
      </c>
      <c r="J54" s="493" t="str">
        <f t="shared" si="7"/>
        <v>Bati, pilotage</v>
      </c>
      <c r="K54" s="443">
        <v>0.25</v>
      </c>
      <c r="L54" s="494">
        <v>3</v>
      </c>
      <c r="M54" s="494">
        <v>1</v>
      </c>
      <c r="N54" s="525"/>
      <c r="O54" s="82">
        <f t="shared" si="8"/>
        <v>366</v>
      </c>
      <c r="P54" s="61"/>
      <c r="Q54" s="61"/>
      <c r="R54" s="61"/>
      <c r="S54" s="61"/>
    </row>
    <row r="55" spans="1:19" ht="15">
      <c r="A55" s="306"/>
      <c r="B55" s="61"/>
      <c r="C55" s="61"/>
      <c r="D55" s="61"/>
      <c r="E55" s="61"/>
      <c r="F55" s="61"/>
      <c r="G55" s="61"/>
      <c r="H55" s="61"/>
      <c r="I55" s="61"/>
      <c r="J55" s="401"/>
      <c r="K55" s="61"/>
      <c r="L55" s="61"/>
      <c r="M55" s="61"/>
      <c r="N55" s="61"/>
      <c r="O55" s="61"/>
      <c r="P55" s="61"/>
      <c r="Q55" s="61"/>
      <c r="R55" s="61"/>
      <c r="S55" s="61"/>
    </row>
    <row r="56" spans="1:19" ht="15">
      <c r="A56" s="306"/>
      <c r="B56" s="61"/>
      <c r="C56" s="61"/>
      <c r="D56" s="61"/>
      <c r="E56" s="61"/>
      <c r="F56" s="61"/>
      <c r="G56" s="306"/>
      <c r="H56" s="61"/>
      <c r="I56" s="61"/>
      <c r="J56" s="401"/>
      <c r="K56" s="61"/>
      <c r="L56" s="61"/>
      <c r="M56" s="61"/>
      <c r="N56" s="61"/>
      <c r="O56" s="61"/>
      <c r="P56" s="61"/>
      <c r="Q56" s="61"/>
      <c r="R56" s="61"/>
      <c r="S56" s="61"/>
    </row>
    <row r="57" spans="1:19" ht="14">
      <c r="A57" s="526"/>
      <c r="B57" s="526"/>
      <c r="C57" s="526"/>
      <c r="D57" s="526"/>
      <c r="E57" s="526"/>
      <c r="F57" s="526"/>
      <c r="G57" s="526"/>
      <c r="H57" s="526"/>
      <c r="I57" s="526"/>
      <c r="J57" s="526"/>
      <c r="K57" s="526"/>
      <c r="L57" s="526"/>
      <c r="M57" s="526"/>
      <c r="N57" s="526"/>
      <c r="O57" s="526"/>
      <c r="P57" s="61"/>
      <c r="Q57" s="61"/>
      <c r="R57" s="61"/>
      <c r="S57" s="61"/>
    </row>
    <row r="58" spans="1:19" ht="14">
      <c r="A58" s="527"/>
      <c r="B58" s="526"/>
      <c r="C58" s="526"/>
      <c r="D58" s="526"/>
      <c r="E58" s="526"/>
      <c r="F58" s="526"/>
      <c r="G58" s="526"/>
      <c r="H58" s="526"/>
      <c r="I58" s="526"/>
      <c r="J58" s="526"/>
      <c r="K58" s="526"/>
      <c r="L58" s="526"/>
      <c r="M58" s="526"/>
      <c r="N58" s="526"/>
      <c r="O58" s="526"/>
      <c r="P58" s="61"/>
      <c r="Q58" s="61"/>
      <c r="R58" s="61"/>
      <c r="S58" s="61"/>
    </row>
    <row r="59" spans="1:19" ht="14">
      <c r="A59" s="526"/>
      <c r="B59" s="526"/>
      <c r="C59" s="526"/>
      <c r="D59" s="526"/>
      <c r="E59" s="526"/>
      <c r="F59" s="526"/>
      <c r="G59" s="526"/>
      <c r="H59" s="526"/>
      <c r="I59" s="526"/>
      <c r="J59" s="526"/>
      <c r="K59" s="526"/>
      <c r="L59" s="526"/>
      <c r="M59" s="526"/>
      <c r="N59" s="526"/>
      <c r="O59" s="526"/>
      <c r="P59" s="61"/>
      <c r="Q59" s="61"/>
      <c r="R59" s="61"/>
      <c r="S59" s="61"/>
    </row>
    <row r="60" spans="1:19" ht="15">
      <c r="A60" s="528"/>
      <c r="B60" s="528"/>
      <c r="C60" s="526"/>
      <c r="D60" s="526"/>
      <c r="E60" s="526"/>
      <c r="F60" s="526"/>
      <c r="G60" s="526"/>
      <c r="H60" s="526"/>
      <c r="I60" s="526"/>
      <c r="J60" s="526"/>
      <c r="K60" s="526"/>
      <c r="L60" s="526"/>
      <c r="M60" s="526"/>
      <c r="N60" s="526"/>
      <c r="O60" s="526"/>
      <c r="P60" s="61"/>
      <c r="Q60" s="61"/>
      <c r="R60" s="61"/>
      <c r="S60" s="61"/>
    </row>
    <row r="61" spans="1:19" ht="15">
      <c r="A61" s="529"/>
      <c r="B61" s="526"/>
      <c r="C61" s="526"/>
      <c r="D61" s="526"/>
      <c r="E61" s="526"/>
      <c r="F61" s="526"/>
      <c r="G61" s="526"/>
      <c r="H61" s="526"/>
      <c r="I61" s="526"/>
      <c r="J61" s="526"/>
      <c r="K61" s="526"/>
      <c r="L61" s="526"/>
      <c r="M61" s="526"/>
      <c r="N61" s="526"/>
      <c r="O61" s="526"/>
      <c r="P61" s="61"/>
      <c r="Q61" s="61"/>
      <c r="R61" s="61"/>
      <c r="S61" s="61"/>
    </row>
    <row r="62" spans="1:19" ht="15">
      <c r="A62" s="529"/>
      <c r="B62" s="526"/>
      <c r="C62" s="526"/>
      <c r="D62" s="526"/>
      <c r="E62" s="526"/>
      <c r="F62" s="526"/>
      <c r="G62" s="526"/>
      <c r="H62" s="526"/>
      <c r="I62" s="526"/>
      <c r="J62" s="526"/>
      <c r="K62" s="526"/>
      <c r="L62" s="526"/>
      <c r="M62" s="526"/>
      <c r="N62" s="526"/>
      <c r="O62" s="526"/>
      <c r="P62" s="61"/>
      <c r="Q62" s="61"/>
      <c r="R62" s="61"/>
      <c r="S62" s="61"/>
    </row>
    <row r="63" spans="1:19" ht="15">
      <c r="A63" s="529"/>
      <c r="B63" s="526"/>
      <c r="C63" s="526"/>
      <c r="D63" s="526"/>
      <c r="E63" s="526"/>
      <c r="F63" s="526"/>
      <c r="G63" s="526"/>
      <c r="H63" s="526"/>
      <c r="I63" s="526"/>
      <c r="J63" s="526"/>
      <c r="K63" s="526"/>
      <c r="L63" s="526"/>
      <c r="M63" s="526"/>
      <c r="N63" s="526"/>
      <c r="O63" s="526"/>
      <c r="P63" s="61"/>
      <c r="Q63" s="61"/>
      <c r="R63" s="61"/>
      <c r="S63" s="61"/>
    </row>
    <row r="64" spans="1:19" ht="14">
      <c r="A64" s="526"/>
      <c r="B64" s="526"/>
      <c r="C64" s="526"/>
      <c r="D64" s="526"/>
      <c r="E64" s="526"/>
      <c r="F64" s="526"/>
      <c r="G64" s="526"/>
      <c r="H64" s="526"/>
      <c r="I64" s="526"/>
      <c r="J64" s="526"/>
      <c r="K64" s="526"/>
      <c r="L64" s="526"/>
      <c r="M64" s="526"/>
      <c r="N64" s="526"/>
      <c r="O64" s="526"/>
      <c r="P64" s="61"/>
      <c r="Q64" s="61"/>
      <c r="R64" s="61"/>
      <c r="S64" s="61"/>
    </row>
    <row r="65" spans="1:19" ht="14">
      <c r="A65" s="526"/>
      <c r="B65" s="526"/>
      <c r="C65" s="526"/>
      <c r="D65" s="526"/>
      <c r="E65" s="526"/>
      <c r="F65" s="526"/>
      <c r="G65" s="526"/>
      <c r="H65" s="526"/>
      <c r="I65" s="526"/>
      <c r="J65" s="526"/>
      <c r="K65" s="526"/>
      <c r="L65" s="526"/>
      <c r="M65" s="526"/>
      <c r="N65" s="526"/>
      <c r="O65" s="526"/>
      <c r="P65" s="61"/>
      <c r="Q65" s="61"/>
      <c r="R65" s="61"/>
      <c r="S65" s="61"/>
    </row>
    <row r="66" spans="1:19" ht="14">
      <c r="A66" s="526"/>
      <c r="B66" s="526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61"/>
      <c r="Q66" s="61"/>
      <c r="R66" s="61"/>
      <c r="S66" s="61"/>
    </row>
    <row r="67" spans="1:19" ht="14">
      <c r="A67" s="526"/>
      <c r="B67" s="526"/>
      <c r="C67" s="526"/>
      <c r="D67" s="526"/>
      <c r="E67" s="526"/>
      <c r="F67" s="526"/>
      <c r="G67" s="526"/>
      <c r="H67" s="526"/>
      <c r="I67" s="526"/>
      <c r="J67" s="526"/>
      <c r="K67" s="526"/>
      <c r="L67" s="526"/>
      <c r="M67" s="526"/>
      <c r="N67" s="526"/>
      <c r="O67" s="526"/>
      <c r="P67" s="61"/>
      <c r="Q67" s="61"/>
      <c r="R67" s="61"/>
      <c r="S67" s="61"/>
    </row>
    <row r="68" spans="1:19" ht="15">
      <c r="A68" s="528"/>
      <c r="B68" s="528"/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6"/>
      <c r="P68" s="61"/>
      <c r="Q68" s="61"/>
      <c r="R68" s="61"/>
      <c r="S68" s="61"/>
    </row>
    <row r="69" spans="1:19" ht="15">
      <c r="A69" s="528"/>
      <c r="B69" s="530"/>
      <c r="C69" s="530"/>
      <c r="D69" s="530"/>
      <c r="E69" s="530"/>
      <c r="F69" s="530"/>
      <c r="G69" s="531"/>
      <c r="H69" s="532"/>
      <c r="I69" s="532"/>
      <c r="J69" s="526"/>
      <c r="K69" s="533"/>
      <c r="L69" s="533"/>
      <c r="M69" s="533"/>
      <c r="N69" s="533"/>
      <c r="O69" s="526"/>
      <c r="P69" s="61"/>
      <c r="Q69" s="61"/>
      <c r="R69" s="61"/>
      <c r="S69" s="61"/>
    </row>
    <row r="70" spans="1:19" ht="15">
      <c r="A70" s="528"/>
      <c r="B70" s="530"/>
      <c r="C70" s="530"/>
      <c r="D70" s="530"/>
      <c r="E70" s="530"/>
      <c r="F70" s="530"/>
      <c r="G70" s="531"/>
      <c r="H70" s="532"/>
      <c r="I70" s="532"/>
      <c r="J70" s="526"/>
      <c r="K70" s="533"/>
      <c r="L70" s="533"/>
      <c r="M70" s="533"/>
      <c r="N70" s="533"/>
      <c r="O70" s="526"/>
      <c r="P70" s="61"/>
      <c r="Q70" s="61"/>
      <c r="R70" s="61"/>
      <c r="S70" s="61"/>
    </row>
    <row r="71" spans="1:19" ht="15">
      <c r="A71" s="528"/>
      <c r="B71" s="530"/>
      <c r="C71" s="530"/>
      <c r="D71" s="530"/>
      <c r="E71" s="530"/>
      <c r="F71" s="526"/>
      <c r="G71" s="526"/>
      <c r="H71" s="532"/>
      <c r="I71" s="534"/>
      <c r="J71" s="526"/>
      <c r="K71" s="533"/>
      <c r="L71" s="533"/>
      <c r="M71" s="533"/>
      <c r="N71" s="533"/>
      <c r="O71" s="526"/>
      <c r="P71" s="61"/>
      <c r="Q71" s="61"/>
      <c r="R71" s="61"/>
      <c r="S71" s="61"/>
    </row>
    <row r="72" spans="1:19" ht="14">
      <c r="A72" s="526"/>
      <c r="B72" s="526"/>
      <c r="C72" s="526"/>
      <c r="D72" s="526"/>
      <c r="E72" s="526"/>
      <c r="F72" s="526"/>
      <c r="G72" s="526"/>
      <c r="H72" s="526"/>
      <c r="I72" s="526"/>
      <c r="J72" s="526"/>
      <c r="K72" s="526"/>
      <c r="L72" s="526"/>
      <c r="M72" s="526"/>
      <c r="N72" s="526"/>
      <c r="O72" s="526"/>
      <c r="P72" s="61"/>
      <c r="Q72" s="61"/>
      <c r="R72" s="61"/>
      <c r="S72" s="61"/>
    </row>
    <row r="73" spans="1:19" ht="14">
      <c r="A73" s="526"/>
      <c r="B73" s="526"/>
      <c r="C73" s="526"/>
      <c r="D73" s="526"/>
      <c r="E73" s="526"/>
      <c r="F73" s="526"/>
      <c r="G73" s="526"/>
      <c r="H73" s="526"/>
      <c r="I73" s="526"/>
      <c r="J73" s="526"/>
      <c r="K73" s="526"/>
      <c r="L73" s="526"/>
      <c r="M73" s="526"/>
      <c r="N73" s="526"/>
      <c r="O73" s="526"/>
      <c r="P73" s="61"/>
      <c r="Q73" s="61"/>
      <c r="R73" s="61"/>
      <c r="S73" s="61"/>
    </row>
    <row r="74" spans="1:19" ht="14">
      <c r="A74" s="526"/>
      <c r="B74" s="526"/>
      <c r="C74" s="526"/>
      <c r="D74" s="526"/>
      <c r="E74" s="526"/>
      <c r="F74" s="526"/>
      <c r="G74" s="526"/>
      <c r="H74" s="526"/>
      <c r="I74" s="526"/>
      <c r="J74" s="526"/>
      <c r="K74" s="526"/>
      <c r="L74" s="526"/>
      <c r="M74" s="526"/>
      <c r="N74" s="526"/>
      <c r="O74" s="526"/>
      <c r="P74" s="61"/>
      <c r="Q74" s="61"/>
      <c r="R74" s="61"/>
      <c r="S74" s="61"/>
    </row>
    <row r="75" spans="1:19" ht="14">
      <c r="A75" s="526"/>
      <c r="B75" s="526"/>
      <c r="C75" s="526"/>
      <c r="D75" s="526"/>
      <c r="E75" s="526"/>
      <c r="F75" s="526"/>
      <c r="G75" s="526"/>
      <c r="H75" s="526"/>
      <c r="I75" s="526"/>
      <c r="J75" s="526"/>
      <c r="K75" s="526"/>
      <c r="L75" s="526"/>
      <c r="M75" s="526"/>
      <c r="N75" s="526"/>
      <c r="O75" s="526"/>
      <c r="P75" s="61"/>
      <c r="Q75" s="61"/>
      <c r="R75" s="61"/>
      <c r="S75" s="61"/>
    </row>
    <row r="76" spans="1:19" ht="14">
      <c r="A76" s="526"/>
      <c r="B76" s="526"/>
      <c r="C76" s="526"/>
      <c r="D76" s="526"/>
      <c r="E76" s="526"/>
      <c r="F76" s="526"/>
      <c r="G76" s="526"/>
      <c r="H76" s="526"/>
      <c r="I76" s="526"/>
      <c r="J76" s="526"/>
      <c r="K76" s="526"/>
      <c r="L76" s="526"/>
      <c r="M76" s="526"/>
      <c r="N76" s="526"/>
      <c r="O76" s="526"/>
      <c r="P76" s="61"/>
      <c r="Q76" s="61"/>
      <c r="R76" s="61"/>
      <c r="S76" s="61"/>
    </row>
    <row r="77" spans="1:19" ht="14">
      <c r="A77" s="527"/>
      <c r="B77" s="526"/>
      <c r="C77" s="526"/>
      <c r="D77" s="526"/>
      <c r="E77" s="526"/>
      <c r="F77" s="526"/>
      <c r="G77" s="526"/>
      <c r="H77" s="526"/>
      <c r="I77" s="526"/>
      <c r="J77" s="526"/>
      <c r="K77" s="526"/>
      <c r="L77" s="526"/>
      <c r="M77" s="526"/>
      <c r="N77" s="526"/>
      <c r="O77" s="526"/>
      <c r="P77" s="61"/>
      <c r="Q77" s="61"/>
      <c r="R77" s="61"/>
      <c r="S77" s="61"/>
    </row>
    <row r="78" spans="1:19" ht="14">
      <c r="A78" s="526"/>
      <c r="B78" s="526"/>
      <c r="C78" s="526"/>
      <c r="D78" s="526"/>
      <c r="E78" s="526"/>
      <c r="F78" s="526"/>
      <c r="G78" s="526"/>
      <c r="H78" s="526"/>
      <c r="I78" s="526"/>
      <c r="J78" s="526"/>
      <c r="K78" s="526"/>
      <c r="L78" s="526"/>
      <c r="M78" s="526"/>
      <c r="N78" s="526"/>
      <c r="O78" s="526"/>
      <c r="P78" s="61"/>
      <c r="Q78" s="61"/>
      <c r="R78" s="61"/>
      <c r="S78" s="61"/>
    </row>
    <row r="79" spans="1:19" ht="15">
      <c r="A79" s="528"/>
      <c r="B79" s="528"/>
      <c r="C79" s="526"/>
      <c r="D79" s="526"/>
      <c r="E79" s="526"/>
      <c r="F79" s="526"/>
      <c r="G79" s="526"/>
      <c r="H79" s="526"/>
      <c r="I79" s="526"/>
      <c r="J79" s="526"/>
      <c r="K79" s="526"/>
      <c r="L79" s="526"/>
      <c r="M79" s="526"/>
      <c r="N79" s="526"/>
      <c r="O79" s="526"/>
      <c r="P79" s="61"/>
      <c r="Q79" s="61"/>
      <c r="R79" s="61"/>
      <c r="S79" s="61"/>
    </row>
    <row r="80" spans="1:19" ht="15">
      <c r="A80" s="529"/>
      <c r="B80" s="529"/>
      <c r="C80" s="526"/>
      <c r="D80" s="526"/>
      <c r="E80" s="526"/>
      <c r="F80" s="526"/>
      <c r="G80" s="526"/>
      <c r="H80" s="526"/>
      <c r="I80" s="526"/>
      <c r="J80" s="526"/>
      <c r="K80" s="526"/>
      <c r="L80" s="526"/>
      <c r="M80" s="526"/>
      <c r="N80" s="526"/>
      <c r="O80" s="526"/>
      <c r="P80" s="61"/>
      <c r="Q80" s="61"/>
      <c r="R80" s="61"/>
      <c r="S80" s="61"/>
    </row>
    <row r="81" spans="1:19" ht="15">
      <c r="A81" s="529"/>
      <c r="B81" s="529"/>
      <c r="C81" s="526"/>
      <c r="D81" s="526"/>
      <c r="E81" s="526"/>
      <c r="F81" s="526"/>
      <c r="G81" s="526"/>
      <c r="H81" s="526"/>
      <c r="I81" s="526"/>
      <c r="J81" s="526"/>
      <c r="K81" s="526"/>
      <c r="L81" s="526"/>
      <c r="M81" s="526"/>
      <c r="N81" s="526"/>
      <c r="O81" s="526"/>
      <c r="P81" s="61"/>
      <c r="Q81" s="61"/>
      <c r="R81" s="61"/>
      <c r="S81" s="61"/>
    </row>
    <row r="82" spans="1:19" ht="15">
      <c r="A82" s="529"/>
      <c r="B82" s="529"/>
      <c r="C82" s="526"/>
      <c r="D82" s="526"/>
      <c r="E82" s="526"/>
      <c r="F82" s="526"/>
      <c r="G82" s="526"/>
      <c r="H82" s="526"/>
      <c r="I82" s="526"/>
      <c r="J82" s="526"/>
      <c r="K82" s="526"/>
      <c r="L82" s="526"/>
      <c r="M82" s="526"/>
      <c r="N82" s="526"/>
      <c r="O82" s="526"/>
      <c r="P82" s="61"/>
      <c r="Q82" s="61"/>
      <c r="R82" s="61"/>
      <c r="S82" s="61"/>
    </row>
    <row r="83" spans="1:19" ht="15">
      <c r="A83" s="529"/>
      <c r="B83" s="529"/>
      <c r="C83" s="526"/>
      <c r="D83" s="526"/>
      <c r="E83" s="526"/>
      <c r="F83" s="526"/>
      <c r="G83" s="526"/>
      <c r="H83" s="526"/>
      <c r="I83" s="526"/>
      <c r="J83" s="526"/>
      <c r="K83" s="526"/>
      <c r="L83" s="526"/>
      <c r="M83" s="526"/>
      <c r="N83" s="526"/>
      <c r="O83" s="526"/>
      <c r="P83" s="61"/>
      <c r="Q83" s="61"/>
      <c r="R83" s="61"/>
      <c r="S83" s="61"/>
    </row>
    <row r="84" spans="1:19" ht="14">
      <c r="A84" s="526"/>
      <c r="B84" s="526"/>
      <c r="C84" s="526"/>
      <c r="D84" s="526"/>
      <c r="E84" s="526"/>
      <c r="F84" s="526"/>
      <c r="G84" s="526"/>
      <c r="H84" s="526"/>
      <c r="I84" s="526"/>
      <c r="J84" s="526"/>
      <c r="K84" s="526"/>
      <c r="L84" s="526"/>
      <c r="M84" s="526"/>
      <c r="N84" s="526"/>
      <c r="O84" s="526"/>
      <c r="P84" s="61"/>
      <c r="Q84" s="61"/>
      <c r="R84" s="61"/>
      <c r="S84" s="61"/>
    </row>
    <row r="85" spans="1:19" ht="14">
      <c r="A85" s="526"/>
      <c r="B85" s="526"/>
      <c r="C85" s="526"/>
      <c r="D85" s="526"/>
      <c r="E85" s="526"/>
      <c r="F85" s="526"/>
      <c r="G85" s="526"/>
      <c r="H85" s="526"/>
      <c r="I85" s="526"/>
      <c r="J85" s="526"/>
      <c r="K85" s="526"/>
      <c r="L85" s="526"/>
      <c r="M85" s="526"/>
      <c r="N85" s="526"/>
      <c r="O85" s="526"/>
      <c r="P85" s="61"/>
      <c r="Q85" s="61"/>
      <c r="R85" s="61"/>
      <c r="S85" s="61"/>
    </row>
    <row r="86" spans="1:19" ht="14">
      <c r="A86" s="526"/>
      <c r="B86" s="526"/>
      <c r="C86" s="526"/>
      <c r="D86" s="526"/>
      <c r="E86" s="526"/>
      <c r="F86" s="526"/>
      <c r="G86" s="526"/>
      <c r="H86" s="526"/>
      <c r="I86" s="526"/>
      <c r="J86" s="526"/>
      <c r="K86" s="526"/>
      <c r="L86" s="526"/>
      <c r="M86" s="526"/>
      <c r="N86" s="526"/>
      <c r="O86" s="526"/>
      <c r="P86" s="61"/>
      <c r="Q86" s="61"/>
      <c r="R86" s="61"/>
      <c r="S86" s="61"/>
    </row>
    <row r="87" spans="1:19" ht="15">
      <c r="A87" s="528"/>
      <c r="B87" s="528"/>
      <c r="C87" s="528"/>
      <c r="D87" s="528"/>
      <c r="E87" s="528"/>
      <c r="F87" s="528"/>
      <c r="G87" s="528"/>
      <c r="H87" s="528"/>
      <c r="I87" s="528"/>
      <c r="J87" s="528"/>
      <c r="K87" s="528"/>
      <c r="L87" s="528"/>
      <c r="M87" s="528"/>
      <c r="N87" s="528"/>
      <c r="O87" s="526"/>
      <c r="P87" s="61"/>
      <c r="Q87" s="61"/>
      <c r="R87" s="61"/>
      <c r="S87" s="61"/>
    </row>
    <row r="88" spans="1:19" ht="15">
      <c r="A88" s="528"/>
      <c r="B88" s="530"/>
      <c r="C88" s="530"/>
      <c r="D88" s="526"/>
      <c r="E88" s="526"/>
      <c r="F88" s="530"/>
      <c r="G88" s="531"/>
      <c r="H88" s="532"/>
      <c r="I88" s="532"/>
      <c r="J88" s="530"/>
      <c r="K88" s="533"/>
      <c r="L88" s="533"/>
      <c r="M88" s="526"/>
      <c r="N88" s="526"/>
      <c r="O88" s="526"/>
      <c r="P88" s="61"/>
      <c r="Q88" s="61"/>
      <c r="R88" s="61"/>
      <c r="S88" s="61"/>
    </row>
    <row r="89" spans="1:19" ht="15">
      <c r="A89" s="528"/>
      <c r="B89" s="530"/>
      <c r="C89" s="530"/>
      <c r="D89" s="526"/>
      <c r="E89" s="526"/>
      <c r="F89" s="526"/>
      <c r="G89" s="526"/>
      <c r="H89" s="532"/>
      <c r="I89" s="532"/>
      <c r="J89" s="530"/>
      <c r="K89" s="535"/>
      <c r="L89" s="533"/>
      <c r="M89" s="526"/>
      <c r="N89" s="526"/>
      <c r="O89" s="526"/>
      <c r="P89" s="61"/>
      <c r="Q89" s="61"/>
      <c r="R89" s="61"/>
      <c r="S89" s="61"/>
    </row>
    <row r="90" spans="1:19" ht="15">
      <c r="A90" s="528"/>
      <c r="B90" s="530"/>
      <c r="C90" s="526"/>
      <c r="D90" s="526"/>
      <c r="E90" s="526"/>
      <c r="F90" s="530"/>
      <c r="G90" s="531"/>
      <c r="H90" s="532"/>
      <c r="I90" s="532"/>
      <c r="J90" s="530"/>
      <c r="K90" s="533"/>
      <c r="L90" s="526"/>
      <c r="M90" s="526"/>
      <c r="N90" s="526"/>
      <c r="O90" s="526"/>
      <c r="P90" s="61"/>
      <c r="Q90" s="61"/>
      <c r="R90" s="61"/>
      <c r="S90" s="61"/>
    </row>
    <row r="91" spans="1:19" ht="15">
      <c r="A91" s="528"/>
      <c r="B91" s="530"/>
      <c r="C91" s="526"/>
      <c r="D91" s="526"/>
      <c r="E91" s="526"/>
      <c r="F91" s="526"/>
      <c r="G91" s="526"/>
      <c r="H91" s="532"/>
      <c r="I91" s="532"/>
      <c r="J91" s="530"/>
      <c r="K91" s="533"/>
      <c r="L91" s="526"/>
      <c r="M91" s="526"/>
      <c r="N91" s="526"/>
      <c r="O91" s="526"/>
      <c r="P91" s="61"/>
      <c r="Q91" s="61"/>
      <c r="R91" s="61"/>
      <c r="S91" s="61"/>
    </row>
    <row r="92" spans="1:19" ht="14">
      <c r="A92" s="526"/>
      <c r="B92" s="526"/>
      <c r="C92" s="526"/>
      <c r="D92" s="526"/>
      <c r="E92" s="526"/>
      <c r="F92" s="526"/>
      <c r="G92" s="526"/>
      <c r="H92" s="526"/>
      <c r="I92" s="526"/>
      <c r="J92" s="526"/>
      <c r="K92" s="526"/>
      <c r="L92" s="526"/>
      <c r="M92" s="526"/>
      <c r="N92" s="526"/>
      <c r="O92" s="526"/>
      <c r="P92" s="61"/>
      <c r="Q92" s="61"/>
      <c r="R92" s="61"/>
      <c r="S92" s="61"/>
    </row>
    <row r="93" spans="1:19" ht="14">
      <c r="A93" s="526"/>
      <c r="B93" s="526"/>
      <c r="C93" s="526"/>
      <c r="D93" s="526"/>
      <c r="E93" s="526"/>
      <c r="F93" s="526"/>
      <c r="G93" s="526"/>
      <c r="H93" s="526"/>
      <c r="I93" s="526"/>
      <c r="J93" s="526"/>
      <c r="K93" s="526"/>
      <c r="L93" s="526"/>
      <c r="M93" s="526"/>
      <c r="N93" s="526"/>
      <c r="O93" s="526"/>
      <c r="P93" s="61"/>
      <c r="Q93" s="61"/>
      <c r="R93" s="61"/>
      <c r="S93" s="61"/>
    </row>
    <row r="94" spans="1:19" ht="14">
      <c r="A94" s="526"/>
      <c r="B94" s="526"/>
      <c r="C94" s="526"/>
      <c r="D94" s="526"/>
      <c r="E94" s="526"/>
      <c r="F94" s="526"/>
      <c r="G94" s="526"/>
      <c r="H94" s="526"/>
      <c r="I94" s="526"/>
      <c r="J94" s="526"/>
      <c r="K94" s="526"/>
      <c r="L94" s="526"/>
      <c r="M94" s="526"/>
      <c r="N94" s="526"/>
      <c r="O94" s="526"/>
      <c r="P94" s="61"/>
      <c r="Q94" s="61"/>
      <c r="R94" s="61"/>
      <c r="S94" s="61"/>
    </row>
    <row r="95" spans="1:19" ht="14">
      <c r="A95" s="526"/>
      <c r="B95" s="526"/>
      <c r="C95" s="526"/>
      <c r="D95" s="526"/>
      <c r="E95" s="526"/>
      <c r="F95" s="526"/>
      <c r="G95" s="526"/>
      <c r="H95" s="526"/>
      <c r="I95" s="526"/>
      <c r="J95" s="526"/>
      <c r="K95" s="526"/>
      <c r="L95" s="526"/>
      <c r="M95" s="526"/>
      <c r="N95" s="526"/>
      <c r="O95" s="526"/>
      <c r="P95" s="61"/>
      <c r="Q95" s="61"/>
      <c r="R95" s="61"/>
      <c r="S95" s="61"/>
    </row>
    <row r="96" spans="1:19" ht="14">
      <c r="A96" s="526"/>
      <c r="B96" s="526"/>
      <c r="C96" s="526"/>
      <c r="D96" s="526"/>
      <c r="E96" s="526"/>
      <c r="F96" s="526"/>
      <c r="G96" s="526"/>
      <c r="H96" s="526"/>
      <c r="I96" s="526"/>
      <c r="J96" s="526"/>
      <c r="K96" s="526"/>
      <c r="L96" s="526"/>
      <c r="M96" s="526"/>
      <c r="N96" s="526"/>
      <c r="O96" s="526"/>
      <c r="P96" s="306"/>
      <c r="Q96" s="306"/>
      <c r="R96" s="306"/>
      <c r="S96" s="306"/>
    </row>
    <row r="97" spans="1:19" ht="14">
      <c r="A97" s="527"/>
      <c r="B97" s="526"/>
      <c r="C97" s="526"/>
      <c r="D97" s="526"/>
      <c r="E97" s="526"/>
      <c r="F97" s="526"/>
      <c r="G97" s="526"/>
      <c r="H97" s="526"/>
      <c r="I97" s="526"/>
      <c r="J97" s="526"/>
      <c r="K97" s="526"/>
      <c r="L97" s="526"/>
      <c r="M97" s="526"/>
      <c r="N97" s="526"/>
      <c r="O97" s="526"/>
      <c r="P97" s="306"/>
      <c r="Q97" s="306"/>
      <c r="R97" s="306"/>
      <c r="S97" s="306"/>
    </row>
    <row r="98" spans="1:19" ht="14">
      <c r="A98" s="526"/>
      <c r="B98" s="526"/>
      <c r="C98" s="526"/>
      <c r="D98" s="526"/>
      <c r="E98" s="526"/>
      <c r="F98" s="526"/>
      <c r="G98" s="526"/>
      <c r="H98" s="526"/>
      <c r="I98" s="526"/>
      <c r="J98" s="526"/>
      <c r="K98" s="526"/>
      <c r="L98" s="526"/>
      <c r="M98" s="526"/>
      <c r="N98" s="526"/>
      <c r="O98" s="526"/>
      <c r="P98" s="306"/>
      <c r="Q98" s="306"/>
      <c r="R98" s="306"/>
      <c r="S98" s="306"/>
    </row>
    <row r="99" spans="1:19" ht="15">
      <c r="A99" s="528"/>
      <c r="B99" s="528"/>
      <c r="C99" s="526"/>
      <c r="D99" s="526"/>
      <c r="E99" s="526"/>
      <c r="F99" s="526"/>
      <c r="G99" s="526"/>
      <c r="H99" s="526"/>
      <c r="I99" s="526"/>
      <c r="J99" s="526"/>
      <c r="K99" s="526"/>
      <c r="L99" s="526"/>
      <c r="M99" s="526"/>
      <c r="N99" s="526"/>
      <c r="O99" s="526"/>
      <c r="P99" s="306"/>
      <c r="Q99" s="306"/>
      <c r="R99" s="306"/>
      <c r="S99" s="306"/>
    </row>
    <row r="100" spans="1:19" ht="15">
      <c r="A100" s="529"/>
      <c r="B100" s="529"/>
      <c r="C100" s="526"/>
      <c r="D100" s="526"/>
      <c r="E100" s="526"/>
      <c r="F100" s="526"/>
      <c r="G100" s="526"/>
      <c r="H100" s="526"/>
      <c r="I100" s="526"/>
      <c r="J100" s="526"/>
      <c r="K100" s="526"/>
      <c r="L100" s="526"/>
      <c r="M100" s="526"/>
      <c r="N100" s="526"/>
      <c r="O100" s="526"/>
      <c r="P100" s="306"/>
      <c r="Q100" s="306"/>
      <c r="R100" s="306"/>
      <c r="S100" s="306"/>
    </row>
    <row r="101" spans="1:19" ht="15">
      <c r="A101" s="529"/>
      <c r="B101" s="529"/>
      <c r="C101" s="526"/>
      <c r="D101" s="526"/>
      <c r="E101" s="526"/>
      <c r="F101" s="526"/>
      <c r="G101" s="526"/>
      <c r="H101" s="526"/>
      <c r="I101" s="526"/>
      <c r="J101" s="526"/>
      <c r="K101" s="526"/>
      <c r="L101" s="526"/>
      <c r="M101" s="526"/>
      <c r="N101" s="526"/>
      <c r="O101" s="526"/>
      <c r="P101" s="306"/>
      <c r="Q101" s="306"/>
      <c r="R101" s="306"/>
      <c r="S101" s="306"/>
    </row>
    <row r="102" spans="1:19" ht="15">
      <c r="A102" s="529"/>
      <c r="B102" s="529"/>
      <c r="C102" s="526"/>
      <c r="D102" s="526"/>
      <c r="E102" s="526"/>
      <c r="F102" s="526"/>
      <c r="G102" s="526"/>
      <c r="H102" s="526"/>
      <c r="I102" s="526"/>
      <c r="J102" s="526"/>
      <c r="K102" s="526"/>
      <c r="L102" s="526"/>
      <c r="M102" s="526"/>
      <c r="N102" s="526"/>
      <c r="O102" s="526"/>
      <c r="P102" s="306"/>
      <c r="Q102" s="306"/>
      <c r="R102" s="306"/>
      <c r="S102" s="306"/>
    </row>
    <row r="103" spans="1:19" ht="15">
      <c r="A103" s="529"/>
      <c r="B103" s="529"/>
      <c r="C103" s="526"/>
      <c r="D103" s="526"/>
      <c r="E103" s="526"/>
      <c r="F103" s="526"/>
      <c r="G103" s="526"/>
      <c r="H103" s="526"/>
      <c r="I103" s="526"/>
      <c r="J103" s="526"/>
      <c r="K103" s="526"/>
      <c r="L103" s="526"/>
      <c r="M103" s="526"/>
      <c r="N103" s="526"/>
      <c r="O103" s="526"/>
      <c r="P103" s="306"/>
      <c r="Q103" s="306"/>
      <c r="R103" s="306"/>
      <c r="S103" s="306"/>
    </row>
    <row r="104" spans="1:19" ht="15">
      <c r="A104" s="529"/>
      <c r="B104" s="529"/>
      <c r="C104" s="526"/>
      <c r="D104" s="526"/>
      <c r="E104" s="526"/>
      <c r="F104" s="526"/>
      <c r="G104" s="526"/>
      <c r="H104" s="526"/>
      <c r="I104" s="526"/>
      <c r="J104" s="526"/>
      <c r="K104" s="526"/>
      <c r="L104" s="526"/>
      <c r="M104" s="526"/>
      <c r="N104" s="526"/>
      <c r="O104" s="526"/>
      <c r="P104" s="306"/>
      <c r="Q104" s="306"/>
      <c r="R104" s="306"/>
      <c r="S104" s="306"/>
    </row>
    <row r="105" spans="1:19" ht="14">
      <c r="A105" s="526"/>
      <c r="B105" s="526"/>
      <c r="C105" s="526"/>
      <c r="D105" s="526"/>
      <c r="E105" s="526"/>
      <c r="F105" s="526"/>
      <c r="G105" s="526"/>
      <c r="H105" s="526"/>
      <c r="I105" s="526"/>
      <c r="J105" s="526"/>
      <c r="K105" s="526"/>
      <c r="L105" s="526"/>
      <c r="M105" s="526"/>
      <c r="N105" s="526"/>
      <c r="O105" s="526"/>
      <c r="P105" s="306"/>
      <c r="Q105" s="306"/>
      <c r="R105" s="306"/>
      <c r="S105" s="306"/>
    </row>
    <row r="106" spans="1:19" ht="14">
      <c r="A106" s="526"/>
      <c r="B106" s="526"/>
      <c r="C106" s="526"/>
      <c r="D106" s="526"/>
      <c r="E106" s="526"/>
      <c r="F106" s="526"/>
      <c r="G106" s="526"/>
      <c r="H106" s="526"/>
      <c r="I106" s="526"/>
      <c r="J106" s="526"/>
      <c r="K106" s="526"/>
      <c r="L106" s="526"/>
      <c r="M106" s="526"/>
      <c r="N106" s="526"/>
      <c r="O106" s="526"/>
      <c r="P106" s="306"/>
      <c r="Q106" s="306"/>
      <c r="R106" s="306"/>
      <c r="S106" s="306"/>
    </row>
    <row r="107" spans="1:19" ht="15">
      <c r="A107" s="528"/>
      <c r="B107" s="528"/>
      <c r="C107" s="528"/>
      <c r="D107" s="528"/>
      <c r="E107" s="528"/>
      <c r="F107" s="528"/>
      <c r="G107" s="528"/>
      <c r="H107" s="528"/>
      <c r="I107" s="528"/>
      <c r="J107" s="528"/>
      <c r="K107" s="528"/>
      <c r="L107" s="528"/>
      <c r="M107" s="528"/>
      <c r="N107" s="528"/>
      <c r="O107" s="526"/>
      <c r="P107" s="306"/>
      <c r="Q107" s="306"/>
      <c r="R107" s="306"/>
      <c r="S107" s="306"/>
    </row>
    <row r="108" spans="1:19" ht="15">
      <c r="A108" s="528"/>
      <c r="B108" s="530"/>
      <c r="C108" s="530"/>
      <c r="D108" s="526"/>
      <c r="E108" s="526"/>
      <c r="F108" s="526"/>
      <c r="G108" s="526"/>
      <c r="H108" s="532"/>
      <c r="I108" s="532"/>
      <c r="J108" s="530"/>
      <c r="K108" s="533"/>
      <c r="L108" s="533"/>
      <c r="M108" s="533"/>
      <c r="N108" s="533"/>
      <c r="O108" s="526"/>
      <c r="P108" s="306"/>
      <c r="Q108" s="306"/>
      <c r="R108" s="306"/>
      <c r="S108" s="306"/>
    </row>
    <row r="109" spans="1:19" ht="15">
      <c r="A109" s="528"/>
      <c r="B109" s="530"/>
      <c r="C109" s="530"/>
      <c r="D109" s="526"/>
      <c r="E109" s="526"/>
      <c r="F109" s="526"/>
      <c r="G109" s="526"/>
      <c r="H109" s="532"/>
      <c r="I109" s="532"/>
      <c r="J109" s="530"/>
      <c r="K109" s="533"/>
      <c r="L109" s="533"/>
      <c r="M109" s="526"/>
      <c r="N109" s="526"/>
      <c r="O109" s="526"/>
      <c r="P109" s="306"/>
      <c r="Q109" s="306"/>
      <c r="R109" s="306"/>
      <c r="S109" s="306"/>
    </row>
    <row r="110" spans="1:19" ht="15">
      <c r="A110" s="528"/>
      <c r="B110" s="530"/>
      <c r="C110" s="530"/>
      <c r="D110" s="530"/>
      <c r="E110" s="530"/>
      <c r="F110" s="526"/>
      <c r="G110" s="526"/>
      <c r="H110" s="532"/>
      <c r="I110" s="532"/>
      <c r="J110" s="530"/>
      <c r="K110" s="533"/>
      <c r="L110" s="533"/>
      <c r="M110" s="533"/>
      <c r="N110" s="533"/>
      <c r="O110" s="526"/>
      <c r="P110" s="306"/>
      <c r="Q110" s="306"/>
      <c r="R110" s="306"/>
      <c r="S110" s="306"/>
    </row>
    <row r="111" spans="1:19" ht="15">
      <c r="A111" s="528"/>
      <c r="B111" s="530"/>
      <c r="C111" s="530"/>
      <c r="D111" s="530"/>
      <c r="E111" s="530"/>
      <c r="F111" s="530"/>
      <c r="G111" s="531"/>
      <c r="H111" s="532"/>
      <c r="I111" s="532"/>
      <c r="J111" s="530"/>
      <c r="K111" s="533"/>
      <c r="L111" s="533"/>
      <c r="M111" s="533"/>
      <c r="N111" s="533"/>
      <c r="O111" s="526"/>
      <c r="P111" s="306"/>
      <c r="Q111" s="306"/>
      <c r="R111" s="306"/>
      <c r="S111" s="306"/>
    </row>
    <row r="112" spans="1:19" ht="15">
      <c r="A112" s="528"/>
      <c r="B112" s="530"/>
      <c r="C112" s="530"/>
      <c r="D112" s="530"/>
      <c r="E112" s="530"/>
      <c r="F112" s="526"/>
      <c r="G112" s="526"/>
      <c r="H112" s="532"/>
      <c r="I112" s="534"/>
      <c r="J112" s="530"/>
      <c r="K112" s="536"/>
      <c r="L112" s="533"/>
      <c r="M112" s="533"/>
      <c r="N112" s="533"/>
      <c r="O112" s="526"/>
      <c r="P112" s="306"/>
      <c r="Q112" s="306"/>
      <c r="R112" s="306"/>
      <c r="S112" s="306"/>
    </row>
    <row r="113" spans="1:19" ht="14">
      <c r="A113" s="526"/>
      <c r="B113" s="526"/>
      <c r="C113" s="526"/>
      <c r="D113" s="526"/>
      <c r="E113" s="526"/>
      <c r="F113" s="526"/>
      <c r="G113" s="526"/>
      <c r="H113" s="526"/>
      <c r="I113" s="526"/>
      <c r="J113" s="526"/>
      <c r="K113" s="526"/>
      <c r="L113" s="526"/>
      <c r="M113" s="526"/>
      <c r="N113" s="526"/>
      <c r="O113" s="526"/>
      <c r="P113" s="306"/>
      <c r="Q113" s="306"/>
      <c r="R113" s="306"/>
      <c r="S113" s="306"/>
    </row>
    <row r="114" spans="1:19" ht="14">
      <c r="A114" s="526"/>
      <c r="B114" s="526"/>
      <c r="C114" s="526"/>
      <c r="D114" s="526"/>
      <c r="E114" s="526"/>
      <c r="F114" s="526"/>
      <c r="G114" s="526"/>
      <c r="H114" s="526"/>
      <c r="I114" s="526"/>
      <c r="J114" s="526"/>
      <c r="K114" s="526"/>
      <c r="L114" s="526"/>
      <c r="M114" s="526"/>
      <c r="N114" s="526"/>
      <c r="O114" s="526"/>
      <c r="P114" s="306"/>
      <c r="Q114" s="306"/>
      <c r="R114" s="306"/>
      <c r="S114" s="306"/>
    </row>
    <row r="115" spans="1:19" ht="14">
      <c r="A115" s="526"/>
      <c r="B115" s="526"/>
      <c r="C115" s="526"/>
      <c r="D115" s="526"/>
      <c r="E115" s="526"/>
      <c r="F115" s="526"/>
      <c r="G115" s="526"/>
      <c r="H115" s="526"/>
      <c r="I115" s="526"/>
      <c r="J115" s="526"/>
      <c r="K115" s="526"/>
      <c r="L115" s="526"/>
      <c r="M115" s="526"/>
      <c r="N115" s="526"/>
      <c r="O115" s="526"/>
      <c r="P115" s="306"/>
      <c r="Q115" s="306"/>
      <c r="R115" s="306"/>
      <c r="S115" s="306"/>
    </row>
    <row r="116" spans="1:19" ht="14">
      <c r="A116" s="526"/>
      <c r="B116" s="526"/>
      <c r="C116" s="526"/>
      <c r="D116" s="526"/>
      <c r="E116" s="526"/>
      <c r="F116" s="526"/>
      <c r="G116" s="526"/>
      <c r="H116" s="526"/>
      <c r="I116" s="526"/>
      <c r="J116" s="526"/>
      <c r="K116" s="526"/>
      <c r="L116" s="526"/>
      <c r="M116" s="526"/>
      <c r="N116" s="526"/>
      <c r="O116" s="526"/>
      <c r="P116" s="61"/>
      <c r="Q116" s="61"/>
      <c r="R116" s="61"/>
      <c r="S116" s="61"/>
    </row>
    <row r="117" spans="1:19" ht="14">
      <c r="A117" s="526"/>
      <c r="B117" s="526"/>
      <c r="C117" s="526"/>
      <c r="D117" s="526"/>
      <c r="E117" s="526"/>
      <c r="F117" s="526"/>
      <c r="G117" s="526"/>
      <c r="H117" s="526"/>
      <c r="I117" s="526"/>
      <c r="J117" s="526"/>
      <c r="K117" s="526"/>
      <c r="L117" s="526"/>
      <c r="M117" s="526"/>
      <c r="N117" s="526"/>
      <c r="O117" s="526"/>
      <c r="P117" s="61"/>
      <c r="Q117" s="61"/>
      <c r="R117" s="61"/>
      <c r="S117" s="61"/>
    </row>
    <row r="118" spans="1:19" ht="14">
      <c r="A118" s="526"/>
      <c r="B118" s="526"/>
      <c r="C118" s="526"/>
      <c r="D118" s="526"/>
      <c r="E118" s="526"/>
      <c r="F118" s="526"/>
      <c r="G118" s="526"/>
      <c r="H118" s="526"/>
      <c r="I118" s="526"/>
      <c r="J118" s="526"/>
      <c r="K118" s="526"/>
      <c r="L118" s="526"/>
      <c r="M118" s="526"/>
      <c r="N118" s="526"/>
      <c r="O118" s="526"/>
      <c r="P118" s="61"/>
      <c r="Q118" s="61"/>
      <c r="R118" s="61"/>
      <c r="S118" s="61"/>
    </row>
    <row r="119" spans="1:19" ht="14">
      <c r="A119" s="526"/>
      <c r="B119" s="526"/>
      <c r="C119" s="526"/>
      <c r="D119" s="526"/>
      <c r="E119" s="526"/>
      <c r="F119" s="526"/>
      <c r="G119" s="526"/>
      <c r="H119" s="526"/>
      <c r="I119" s="526"/>
      <c r="J119" s="526"/>
      <c r="K119" s="526"/>
      <c r="L119" s="526"/>
      <c r="M119" s="526"/>
      <c r="N119" s="526"/>
      <c r="O119" s="526"/>
      <c r="P119" s="61"/>
      <c r="Q119" s="61"/>
      <c r="R119" s="61"/>
      <c r="S119" s="61"/>
    </row>
    <row r="120" spans="1:19" ht="14">
      <c r="A120" s="526"/>
      <c r="B120" s="526"/>
      <c r="C120" s="526"/>
      <c r="D120" s="526"/>
      <c r="E120" s="526"/>
      <c r="F120" s="526"/>
      <c r="G120" s="526"/>
      <c r="H120" s="526"/>
      <c r="I120" s="526"/>
      <c r="J120" s="526"/>
      <c r="K120" s="526"/>
      <c r="L120" s="526"/>
      <c r="M120" s="526"/>
      <c r="N120" s="526"/>
      <c r="O120" s="526"/>
      <c r="P120" s="61"/>
      <c r="Q120" s="61"/>
      <c r="R120" s="61"/>
      <c r="S120" s="61"/>
    </row>
    <row r="121" spans="1:19" ht="14">
      <c r="A121" s="526"/>
      <c r="B121" s="526"/>
      <c r="C121" s="526"/>
      <c r="D121" s="526"/>
      <c r="E121" s="526"/>
      <c r="F121" s="526"/>
      <c r="G121" s="526"/>
      <c r="H121" s="526"/>
      <c r="I121" s="526"/>
      <c r="J121" s="526"/>
      <c r="K121" s="526"/>
      <c r="L121" s="526"/>
      <c r="M121" s="526"/>
      <c r="N121" s="526"/>
      <c r="O121" s="526"/>
      <c r="P121" s="61"/>
      <c r="Q121" s="61"/>
      <c r="R121" s="61"/>
      <c r="S121" s="61"/>
    </row>
    <row r="122" spans="1:19" ht="14">
      <c r="A122" s="526"/>
      <c r="B122" s="526"/>
      <c r="C122" s="526"/>
      <c r="D122" s="526"/>
      <c r="E122" s="526"/>
      <c r="F122" s="526"/>
      <c r="G122" s="526"/>
      <c r="H122" s="526"/>
      <c r="I122" s="526"/>
      <c r="J122" s="526"/>
      <c r="K122" s="526"/>
      <c r="L122" s="526"/>
      <c r="M122" s="526"/>
      <c r="N122" s="526"/>
      <c r="O122" s="526"/>
      <c r="P122" s="61"/>
      <c r="Q122" s="61"/>
      <c r="R122" s="61"/>
      <c r="S122" s="61"/>
    </row>
    <row r="123" spans="1:19" ht="14">
      <c r="A123" s="526"/>
      <c r="B123" s="526"/>
      <c r="C123" s="526"/>
      <c r="D123" s="526"/>
      <c r="E123" s="526"/>
      <c r="F123" s="526"/>
      <c r="G123" s="526"/>
      <c r="H123" s="526"/>
      <c r="I123" s="526"/>
      <c r="J123" s="526"/>
      <c r="K123" s="526"/>
      <c r="L123" s="526"/>
      <c r="M123" s="526"/>
      <c r="N123" s="526"/>
      <c r="O123" s="526"/>
      <c r="P123" s="61"/>
      <c r="Q123" s="61"/>
      <c r="R123" s="61"/>
      <c r="S123" s="61"/>
    </row>
    <row r="124" spans="1:19" ht="14">
      <c r="A124" s="526"/>
      <c r="B124" s="526"/>
      <c r="C124" s="526"/>
      <c r="D124" s="526"/>
      <c r="E124" s="526"/>
      <c r="F124" s="526"/>
      <c r="G124" s="526"/>
      <c r="H124" s="526"/>
      <c r="I124" s="526"/>
      <c r="J124" s="526"/>
      <c r="K124" s="526"/>
      <c r="L124" s="526"/>
      <c r="M124" s="526"/>
      <c r="N124" s="526"/>
      <c r="O124" s="526"/>
      <c r="P124" s="61"/>
      <c r="Q124" s="61"/>
      <c r="R124" s="61"/>
      <c r="S124" s="61"/>
    </row>
    <row r="125" spans="1:19" ht="14">
      <c r="A125" s="526"/>
      <c r="B125" s="526"/>
      <c r="C125" s="526"/>
      <c r="D125" s="526"/>
      <c r="E125" s="526"/>
      <c r="F125" s="526"/>
      <c r="G125" s="526"/>
      <c r="H125" s="526"/>
      <c r="I125" s="526"/>
      <c r="J125" s="526"/>
      <c r="K125" s="526"/>
      <c r="L125" s="526"/>
      <c r="M125" s="526"/>
      <c r="N125" s="526"/>
      <c r="O125" s="526"/>
      <c r="P125" s="61"/>
      <c r="Q125" s="61"/>
      <c r="R125" s="61"/>
      <c r="S125" s="61"/>
    </row>
    <row r="126" spans="1:19" ht="14">
      <c r="A126" s="526"/>
      <c r="B126" s="526"/>
      <c r="C126" s="526"/>
      <c r="D126" s="526"/>
      <c r="E126" s="526"/>
      <c r="F126" s="526"/>
      <c r="G126" s="526"/>
      <c r="H126" s="526"/>
      <c r="I126" s="526"/>
      <c r="J126" s="526"/>
      <c r="K126" s="526"/>
      <c r="L126" s="526"/>
      <c r="M126" s="526"/>
      <c r="N126" s="526"/>
      <c r="O126" s="526"/>
      <c r="P126" s="61"/>
      <c r="Q126" s="61"/>
      <c r="R126" s="61"/>
      <c r="S126" s="61"/>
    </row>
    <row r="127" spans="1:19" ht="14">
      <c r="A127" s="526"/>
      <c r="B127" s="526"/>
      <c r="C127" s="526"/>
      <c r="D127" s="526"/>
      <c r="E127" s="526"/>
      <c r="F127" s="526"/>
      <c r="G127" s="526"/>
      <c r="H127" s="526"/>
      <c r="I127" s="526"/>
      <c r="J127" s="526"/>
      <c r="K127" s="526"/>
      <c r="L127" s="526"/>
      <c r="M127" s="526"/>
      <c r="N127" s="526"/>
      <c r="O127" s="526"/>
      <c r="P127" s="61"/>
      <c r="Q127" s="61"/>
      <c r="R127" s="61"/>
      <c r="S127" s="61"/>
    </row>
    <row r="128" spans="1:19" ht="14">
      <c r="A128" s="526"/>
      <c r="B128" s="526"/>
      <c r="C128" s="526"/>
      <c r="D128" s="526"/>
      <c r="E128" s="526"/>
      <c r="F128" s="526"/>
      <c r="G128" s="526"/>
      <c r="H128" s="526"/>
      <c r="I128" s="526"/>
      <c r="J128" s="526"/>
      <c r="K128" s="526"/>
      <c r="L128" s="526"/>
      <c r="M128" s="526"/>
      <c r="N128" s="526"/>
      <c r="O128" s="526"/>
      <c r="P128" s="61"/>
      <c r="Q128" s="61"/>
      <c r="R128" s="61"/>
      <c r="S128" s="61"/>
    </row>
    <row r="129" spans="1:19" ht="14">
      <c r="A129" s="526"/>
      <c r="B129" s="526"/>
      <c r="C129" s="526"/>
      <c r="D129" s="526"/>
      <c r="E129" s="526"/>
      <c r="F129" s="526"/>
      <c r="G129" s="526"/>
      <c r="H129" s="526"/>
      <c r="I129" s="526"/>
      <c r="J129" s="526"/>
      <c r="K129" s="526"/>
      <c r="L129" s="526"/>
      <c r="M129" s="526"/>
      <c r="N129" s="526"/>
      <c r="O129" s="526"/>
      <c r="P129" s="61"/>
      <c r="Q129" s="61"/>
      <c r="R129" s="61"/>
      <c r="S129" s="61"/>
    </row>
    <row r="130" spans="1:19" ht="14">
      <c r="A130" s="526"/>
      <c r="B130" s="526"/>
      <c r="C130" s="526"/>
      <c r="D130" s="526"/>
      <c r="E130" s="526"/>
      <c r="F130" s="526"/>
      <c r="G130" s="526"/>
      <c r="H130" s="526"/>
      <c r="I130" s="526"/>
      <c r="J130" s="526"/>
      <c r="K130" s="526"/>
      <c r="L130" s="526"/>
      <c r="M130" s="526"/>
      <c r="N130" s="526"/>
      <c r="O130" s="526"/>
      <c r="P130" s="61"/>
      <c r="Q130" s="61"/>
      <c r="R130" s="61"/>
      <c r="S130" s="61"/>
    </row>
    <row r="131" spans="1:19" ht="14">
      <c r="A131" s="526"/>
      <c r="B131" s="526"/>
      <c r="C131" s="526"/>
      <c r="D131" s="526"/>
      <c r="E131" s="526"/>
      <c r="F131" s="526"/>
      <c r="G131" s="526"/>
      <c r="H131" s="526"/>
      <c r="I131" s="526"/>
      <c r="J131" s="526"/>
      <c r="K131" s="526"/>
      <c r="L131" s="526"/>
      <c r="M131" s="526"/>
      <c r="N131" s="526"/>
      <c r="O131" s="526"/>
      <c r="P131" s="61"/>
      <c r="Q131" s="61"/>
      <c r="R131" s="61"/>
      <c r="S131" s="61"/>
    </row>
    <row r="132" spans="1:19" ht="14">
      <c r="A132" s="526"/>
      <c r="B132" s="526"/>
      <c r="C132" s="526"/>
      <c r="D132" s="526"/>
      <c r="E132" s="526"/>
      <c r="F132" s="526"/>
      <c r="G132" s="526"/>
      <c r="H132" s="526"/>
      <c r="I132" s="526"/>
      <c r="J132" s="526"/>
      <c r="K132" s="526"/>
      <c r="L132" s="526"/>
      <c r="M132" s="526"/>
      <c r="N132" s="526"/>
      <c r="O132" s="526"/>
      <c r="P132" s="61"/>
      <c r="Q132" s="61"/>
      <c r="R132" s="61"/>
      <c r="S132" s="61"/>
    </row>
    <row r="133" spans="1:19" ht="14">
      <c r="A133" s="526"/>
      <c r="B133" s="526"/>
      <c r="C133" s="526"/>
      <c r="D133" s="526"/>
      <c r="E133" s="526"/>
      <c r="F133" s="526"/>
      <c r="G133" s="526"/>
      <c r="H133" s="526"/>
      <c r="I133" s="526"/>
      <c r="J133" s="526"/>
      <c r="K133" s="526"/>
      <c r="L133" s="526"/>
      <c r="M133" s="526"/>
      <c r="N133" s="526"/>
      <c r="O133" s="526"/>
      <c r="P133" s="61"/>
      <c r="Q133" s="61"/>
      <c r="R133" s="61"/>
      <c r="S133" s="61"/>
    </row>
    <row r="134" spans="1:19" ht="1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</row>
    <row r="135" spans="1:19" ht="14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</row>
    <row r="136" spans="1:19" ht="14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</row>
    <row r="137" spans="1:19" ht="14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</row>
    <row r="138" spans="1:19" ht="14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</row>
    <row r="139" spans="1:19" ht="14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</row>
    <row r="140" spans="1:19" ht="14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</row>
    <row r="141" spans="1:19" ht="14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</row>
    <row r="142" spans="1:19" ht="14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</row>
    <row r="143" spans="1:19" ht="14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</row>
    <row r="144" spans="1:19" ht="1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</row>
    <row r="145" spans="1:19" ht="14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</row>
    <row r="146" spans="1:19" ht="14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</row>
    <row r="147" spans="1:19" ht="14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</row>
    <row r="148" spans="1:19" ht="14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</row>
    <row r="149" spans="1:19" ht="14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</row>
    <row r="150" spans="1:19" ht="14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</row>
    <row r="151" spans="1:19" ht="14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</row>
    <row r="152" spans="1:19" ht="14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</row>
    <row r="153" spans="1:19" ht="14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</row>
    <row r="154" spans="1:19" ht="1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</row>
    <row r="155" spans="1:19" ht="14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</row>
    <row r="156" spans="1:19" ht="14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</row>
    <row r="157" spans="1:19" ht="14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</row>
    <row r="158" spans="1:19" ht="14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</row>
    <row r="159" spans="1:19" ht="14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</row>
    <row r="160" spans="1:19" ht="14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</row>
    <row r="161" spans="1:19" ht="14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</row>
    <row r="162" spans="1:19" ht="14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</row>
    <row r="163" spans="1:19" ht="14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</row>
    <row r="164" spans="1:19" ht="1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</row>
    <row r="165" spans="1:19" ht="14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</row>
    <row r="166" spans="1:19" ht="14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</row>
    <row r="167" spans="1:19" ht="14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</row>
    <row r="168" spans="1:19" ht="14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</row>
    <row r="169" spans="1:19" ht="14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</row>
    <row r="170" spans="1:19" ht="14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</row>
    <row r="171" spans="1:19" ht="14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</row>
    <row r="172" spans="1:19" ht="14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</row>
    <row r="173" spans="1:19" ht="14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</row>
    <row r="174" spans="1:19" ht="1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</row>
    <row r="175" spans="1:19" ht="14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</row>
    <row r="176" spans="1:19" ht="14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</row>
    <row r="177" spans="1:19" ht="14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</row>
    <row r="178" spans="1:19" ht="14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</row>
    <row r="179" spans="1:19" ht="14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</row>
    <row r="180" spans="1:19" ht="14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</row>
    <row r="181" spans="1:19" ht="14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</row>
    <row r="182" spans="1:19" ht="14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</row>
    <row r="183" spans="1:19" ht="14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</row>
    <row r="184" spans="1:19" ht="1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</row>
    <row r="185" spans="1:19" ht="14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</row>
    <row r="186" spans="1:19" ht="14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</row>
    <row r="187" spans="1:19" ht="14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</row>
    <row r="188" spans="1:19" ht="14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</row>
    <row r="189" spans="1:19" ht="14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</row>
    <row r="190" spans="1:19" ht="14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</row>
    <row r="191" spans="1:19" ht="14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</row>
    <row r="192" spans="1:19" ht="14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</row>
    <row r="193" spans="1:19" ht="14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</row>
    <row r="194" spans="1:19" ht="1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</row>
    <row r="195" spans="1:19" ht="14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</row>
    <row r="196" spans="1:19" ht="14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</row>
    <row r="197" spans="1:19" ht="14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</row>
    <row r="198" spans="1:19" ht="14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</row>
    <row r="199" spans="1:19" ht="14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</row>
    <row r="200" spans="1:19" ht="14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</row>
    <row r="201" spans="1:19" ht="14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</row>
    <row r="202" spans="1:19" ht="14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</row>
    <row r="203" spans="1:19" ht="14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</row>
    <row r="204" spans="1:19" ht="1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</row>
    <row r="205" spans="1:19" ht="14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</row>
    <row r="206" spans="1:19" ht="14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</row>
    <row r="207" spans="1:19" ht="14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</row>
    <row r="208" spans="1:19" ht="14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</row>
    <row r="209" spans="1:19" ht="14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</row>
    <row r="210" spans="1:19" ht="14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</row>
    <row r="211" spans="1:19" ht="14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</row>
    <row r="212" spans="1:19" ht="14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</row>
    <row r="213" spans="1:19" ht="14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</row>
    <row r="214" spans="1:19" ht="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</row>
    <row r="215" spans="1:19" ht="14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</row>
    <row r="216" spans="1:19" ht="14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</row>
    <row r="217" spans="1:19" ht="14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</row>
    <row r="218" spans="1:19" ht="14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</row>
    <row r="219" spans="1:19" ht="14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</row>
    <row r="220" spans="1:19" ht="14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</row>
    <row r="221" spans="1:19" ht="14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</row>
    <row r="222" spans="1:19" ht="14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</row>
    <row r="223" spans="1:19" ht="14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</row>
    <row r="224" spans="1:19" ht="1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</row>
    <row r="225" spans="1:19" ht="14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</row>
    <row r="226" spans="1:19" ht="14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</row>
    <row r="227" spans="1:19" ht="14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</row>
    <row r="228" spans="1:19" ht="14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</row>
    <row r="229" spans="1:19" ht="14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</row>
    <row r="230" spans="1:19" ht="14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</row>
    <row r="231" spans="1:19" ht="14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</row>
    <row r="232" spans="1:19" ht="14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</row>
    <row r="233" spans="1:19" ht="14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</row>
    <row r="234" spans="1:19" ht="1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</row>
    <row r="235" spans="1:19" ht="14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</row>
    <row r="236" spans="1:19" ht="14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</row>
    <row r="237" spans="1:19" ht="14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</row>
    <row r="238" spans="1:19" ht="14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</row>
    <row r="239" spans="1:19" ht="14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</row>
    <row r="240" spans="1:19" ht="14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</row>
    <row r="241" spans="1:19" ht="14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</row>
    <row r="242" spans="1:19" ht="14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</row>
    <row r="243" spans="1:19" ht="14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</row>
    <row r="244" spans="1:19" ht="1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</row>
    <row r="245" spans="1:19" ht="14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</row>
    <row r="246" spans="1:19" ht="14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</row>
    <row r="247" spans="1:19" ht="14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</row>
    <row r="248" spans="1:19" ht="14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</row>
    <row r="249" spans="1:19" ht="14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</row>
    <row r="250" spans="1:19" ht="14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</row>
    <row r="251" spans="1:19" ht="14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</row>
    <row r="252" spans="1:19" ht="14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</row>
    <row r="253" spans="1:19" ht="14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</row>
    <row r="254" spans="1:19" ht="1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</row>
    <row r="255" spans="1:19" ht="14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</row>
    <row r="256" spans="1:19" ht="14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</row>
    <row r="257" spans="1:19" ht="14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</row>
    <row r="258" spans="1:19" ht="14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</row>
    <row r="259" spans="1:19" ht="14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</row>
    <row r="260" spans="1:19" ht="14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</row>
    <row r="261" spans="1:19" ht="14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</row>
    <row r="262" spans="1:19" ht="14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</row>
    <row r="263" spans="1:19" ht="14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</row>
    <row r="264" spans="1:19" ht="1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</row>
    <row r="265" spans="1:19" ht="14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</row>
    <row r="266" spans="1:19" ht="14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</row>
    <row r="267" spans="1:19" ht="14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</row>
    <row r="268" spans="1:19" ht="14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</row>
    <row r="269" spans="1:19" ht="14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</row>
    <row r="270" spans="1:19" ht="14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</row>
    <row r="271" spans="1:19" ht="14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</row>
    <row r="272" spans="1:19" ht="14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</row>
    <row r="273" spans="1:19" ht="14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</row>
    <row r="274" spans="1:19" ht="1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</row>
    <row r="275" spans="1:19" ht="14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</row>
    <row r="276" spans="1:19" ht="14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</row>
    <row r="277" spans="1:19" ht="14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</row>
    <row r="278" spans="1:19" ht="14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</row>
    <row r="279" spans="1:19" ht="14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</row>
    <row r="280" spans="1:19" ht="14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</row>
    <row r="281" spans="1:19" ht="14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</row>
    <row r="282" spans="1:19" ht="14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</row>
    <row r="283" spans="1:19" ht="14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</row>
    <row r="284" spans="1:19" ht="1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</row>
    <row r="285" spans="1:19" ht="14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</row>
    <row r="286" spans="1:19" ht="14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</row>
    <row r="287" spans="1:19" ht="14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</row>
    <row r="288" spans="1:19" ht="14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</row>
    <row r="289" spans="1:19" ht="14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</row>
    <row r="290" spans="1:19" ht="14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</row>
    <row r="291" spans="1:19" ht="14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</row>
    <row r="292" spans="1:19" ht="14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</row>
    <row r="293" spans="1:19" ht="14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</row>
    <row r="294" spans="1:19" ht="1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</row>
    <row r="295" spans="1:19" ht="14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</row>
    <row r="296" spans="1:19" ht="14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</row>
    <row r="297" spans="1:19" ht="14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</row>
    <row r="298" spans="1:19" ht="14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</row>
    <row r="299" spans="1:19" ht="14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</row>
    <row r="300" spans="1:19" ht="14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</row>
    <row r="301" spans="1:19" ht="14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</row>
    <row r="302" spans="1:19" ht="14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</row>
    <row r="303" spans="1:19" ht="14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</row>
    <row r="304" spans="1:19" ht="1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</row>
    <row r="305" spans="1:19" ht="14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</row>
    <row r="306" spans="1:19" ht="14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</row>
    <row r="307" spans="1:19" ht="14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</row>
    <row r="308" spans="1:19" ht="14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</row>
    <row r="309" spans="1:19" ht="14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</row>
    <row r="310" spans="1:19" ht="14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</row>
    <row r="311" spans="1:19" ht="14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</row>
    <row r="312" spans="1:19" ht="14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</row>
    <row r="313" spans="1:19" ht="14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</row>
    <row r="314" spans="1:19" ht="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</row>
    <row r="315" spans="1:19" ht="14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</row>
    <row r="316" spans="1:19" ht="14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</row>
    <row r="317" spans="1:19" ht="14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</row>
    <row r="318" spans="1:19" ht="14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</row>
    <row r="319" spans="1:19" ht="14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</row>
    <row r="320" spans="1:19" ht="14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</row>
    <row r="321" spans="1:19" ht="14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</row>
    <row r="322" spans="1:19" ht="14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</row>
    <row r="323" spans="1:19" ht="14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</row>
    <row r="324" spans="1:19" ht="1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</row>
    <row r="325" spans="1:19" ht="14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</row>
    <row r="326" spans="1:19" ht="14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</row>
    <row r="327" spans="1:19" ht="14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</row>
    <row r="328" spans="1:19" ht="14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</row>
    <row r="329" spans="1:19" ht="14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</row>
    <row r="330" spans="1:19" ht="14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</row>
    <row r="331" spans="1:19" ht="14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</row>
    <row r="332" spans="1:19" ht="14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</row>
    <row r="333" spans="1:19" ht="14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</row>
    <row r="334" spans="1:19" ht="1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</row>
    <row r="335" spans="1:19" ht="14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</row>
    <row r="336" spans="1:19" ht="14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</row>
    <row r="337" spans="1:19" ht="14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</row>
    <row r="338" spans="1:19" ht="14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</row>
    <row r="339" spans="1:19" ht="14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</row>
    <row r="340" spans="1:19" ht="14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</row>
    <row r="341" spans="1:19" ht="14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</row>
    <row r="342" spans="1:19" ht="14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</row>
    <row r="343" spans="1:19" ht="14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</row>
    <row r="344" spans="1:19" ht="1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</row>
    <row r="345" spans="1:19" ht="14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</row>
    <row r="346" spans="1:19" ht="14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</row>
    <row r="347" spans="1:19" ht="14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</row>
    <row r="348" spans="1:19" ht="14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</row>
    <row r="349" spans="1:19" ht="14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</row>
    <row r="350" spans="1:19" ht="14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</row>
    <row r="351" spans="1:19" ht="14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</row>
    <row r="352" spans="1:19" ht="14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</row>
    <row r="353" spans="1:19" ht="14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</row>
    <row r="354" spans="1:19" ht="1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</row>
    <row r="355" spans="1:19" ht="14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</row>
    <row r="356" spans="1:19" ht="14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</row>
    <row r="357" spans="1:19" ht="14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</row>
    <row r="358" spans="1:19" ht="14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</row>
    <row r="359" spans="1:19" ht="14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</row>
    <row r="360" spans="1:19" ht="14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</row>
    <row r="361" spans="1:19" ht="14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</row>
    <row r="362" spans="1:19" ht="14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</row>
    <row r="363" spans="1:19" ht="14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</row>
    <row r="364" spans="1:19" ht="1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</row>
    <row r="365" spans="1:19" ht="14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</row>
    <row r="366" spans="1:19" ht="14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</row>
    <row r="367" spans="1:19" ht="14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</row>
    <row r="368" spans="1:19" ht="14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</row>
    <row r="369" spans="1:19" ht="14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</row>
    <row r="370" spans="1:19" ht="14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</row>
    <row r="371" spans="1:19" ht="14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</row>
    <row r="372" spans="1:19" ht="14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</row>
    <row r="373" spans="1:19" ht="14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</row>
    <row r="374" spans="1:19" ht="1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</row>
    <row r="375" spans="1:19" ht="14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</row>
    <row r="376" spans="1:19" ht="14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</row>
    <row r="377" spans="1:19" ht="14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</row>
    <row r="378" spans="1:19" ht="14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</row>
    <row r="379" spans="1:19" ht="14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</row>
    <row r="380" spans="1:19" ht="14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</row>
    <row r="381" spans="1:19" ht="14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</row>
    <row r="382" spans="1:19" ht="14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</row>
    <row r="383" spans="1:19" ht="14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</row>
    <row r="384" spans="1:19" ht="1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</row>
    <row r="385" spans="1:19" ht="14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</row>
    <row r="386" spans="1:19" ht="14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</row>
    <row r="387" spans="1:19" ht="14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</row>
    <row r="388" spans="1:19" ht="14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</row>
    <row r="389" spans="1:19" ht="14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</row>
    <row r="390" spans="1:19" ht="14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</row>
    <row r="391" spans="1:19" ht="14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</row>
    <row r="392" spans="1:19" ht="14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</row>
    <row r="393" spans="1:19" ht="14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</row>
    <row r="394" spans="1:19" ht="1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</row>
    <row r="395" spans="1:19" ht="14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</row>
    <row r="396" spans="1:19" ht="14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</row>
    <row r="397" spans="1:19" ht="14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</row>
    <row r="398" spans="1:19" ht="14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</row>
    <row r="399" spans="1:19" ht="14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</row>
    <row r="400" spans="1:19" ht="14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</row>
    <row r="401" spans="1:19" ht="14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</row>
    <row r="402" spans="1:19" ht="14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</row>
    <row r="403" spans="1:19" ht="14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</row>
    <row r="404" spans="1:19" ht="1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</row>
    <row r="405" spans="1:19" ht="14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</row>
    <row r="406" spans="1:19" ht="14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</row>
    <row r="407" spans="1:19" ht="14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</row>
    <row r="408" spans="1:19" ht="14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</row>
    <row r="409" spans="1:19" ht="14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</row>
    <row r="410" spans="1:19" ht="14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</row>
    <row r="411" spans="1:19" ht="14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</row>
    <row r="412" spans="1:19" ht="14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</row>
    <row r="413" spans="1:19" ht="14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</row>
    <row r="414" spans="1:19" ht="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</row>
    <row r="415" spans="1:19" ht="14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</row>
    <row r="416" spans="1:19" ht="14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</row>
    <row r="417" spans="1:19" ht="14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</row>
    <row r="418" spans="1:19" ht="14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</row>
    <row r="419" spans="1:19" ht="14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</row>
    <row r="420" spans="1:19" ht="14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</row>
    <row r="421" spans="1:19" ht="14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</row>
    <row r="422" spans="1:19" ht="14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</row>
    <row r="423" spans="1:19" ht="14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</row>
    <row r="424" spans="1:19" ht="1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</row>
    <row r="425" spans="1:19" ht="14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</row>
    <row r="426" spans="1:19" ht="14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</row>
    <row r="427" spans="1:19" ht="14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</row>
    <row r="428" spans="1:19" ht="14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</row>
    <row r="429" spans="1:19" ht="14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</row>
    <row r="430" spans="1:19" ht="14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</row>
    <row r="431" spans="1:19" ht="14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</row>
    <row r="432" spans="1:19" ht="14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</row>
    <row r="433" spans="1:19" ht="14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</row>
    <row r="434" spans="1:19" ht="1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</row>
    <row r="435" spans="1:19" ht="14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</row>
    <row r="436" spans="1:19" ht="14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</row>
    <row r="437" spans="1:19" ht="14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</row>
    <row r="438" spans="1:19" ht="14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</row>
    <row r="439" spans="1:19" ht="14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</row>
    <row r="440" spans="1:19" ht="14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</row>
    <row r="441" spans="1:19" ht="14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</row>
    <row r="442" spans="1:19" ht="14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</row>
    <row r="443" spans="1:19" ht="14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</row>
    <row r="444" spans="1:19" ht="1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</row>
    <row r="445" spans="1:19" ht="14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</row>
    <row r="446" spans="1:19" ht="14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</row>
    <row r="447" spans="1:19" ht="14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</row>
    <row r="448" spans="1:19" ht="14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</row>
    <row r="449" spans="1:19" ht="14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</row>
    <row r="450" spans="1:19" ht="14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</row>
    <row r="451" spans="1:19" ht="14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</row>
    <row r="452" spans="1:19" ht="14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</row>
    <row r="453" spans="1:19" ht="14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</row>
    <row r="454" spans="1:19" ht="1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</row>
    <row r="455" spans="1:19" ht="14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</row>
    <row r="456" spans="1:19" ht="14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</row>
    <row r="457" spans="1:19" ht="14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</row>
    <row r="458" spans="1:19" ht="14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</row>
    <row r="459" spans="1:19" ht="14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</row>
    <row r="460" spans="1:19" ht="14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</row>
    <row r="461" spans="1:19" ht="14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</row>
    <row r="462" spans="1:19" ht="14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</row>
    <row r="463" spans="1:19" ht="14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</row>
    <row r="464" spans="1:19" ht="1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</row>
    <row r="465" spans="1:19" ht="14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</row>
    <row r="466" spans="1:19" ht="14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</row>
    <row r="467" spans="1:19" ht="14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</row>
    <row r="468" spans="1:19" ht="14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</row>
    <row r="469" spans="1:19" ht="14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</row>
    <row r="470" spans="1:19" ht="14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</row>
    <row r="471" spans="1:19" ht="14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</row>
    <row r="472" spans="1:19" ht="14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</row>
    <row r="473" spans="1:19" ht="14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</row>
    <row r="474" spans="1:19" ht="1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</row>
    <row r="475" spans="1:19" ht="14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</row>
    <row r="476" spans="1:19" ht="14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</row>
    <row r="477" spans="1:19" ht="14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</row>
    <row r="478" spans="1:19" ht="14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</row>
    <row r="479" spans="1:19" ht="14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</row>
    <row r="480" spans="1:19" ht="14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</row>
    <row r="481" spans="1:19" ht="14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</row>
    <row r="482" spans="1:19" ht="14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</row>
    <row r="483" spans="1:19" ht="14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</row>
    <row r="484" spans="1:19" ht="1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</row>
    <row r="485" spans="1:19" ht="14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</row>
    <row r="486" spans="1:19" ht="14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</row>
    <row r="487" spans="1:19" ht="14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</row>
    <row r="488" spans="1:19" ht="14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</row>
    <row r="489" spans="1:19" ht="14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</row>
    <row r="490" spans="1:19" ht="14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</row>
    <row r="491" spans="1:19" ht="14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</row>
    <row r="492" spans="1:19" ht="14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</row>
    <row r="493" spans="1:19" ht="14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</row>
    <row r="494" spans="1:19" ht="1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</row>
    <row r="495" spans="1:19" ht="14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</row>
    <row r="496" spans="1:19" ht="14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</row>
    <row r="497" spans="1:19" ht="14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</row>
    <row r="498" spans="1:19" ht="14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</row>
    <row r="499" spans="1:19" ht="14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</row>
    <row r="500" spans="1:19" ht="14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</row>
    <row r="501" spans="1:19" ht="14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</row>
    <row r="502" spans="1:19" ht="14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</row>
    <row r="503" spans="1:19" ht="14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</row>
    <row r="504" spans="1:19" ht="1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</row>
    <row r="505" spans="1:19" ht="14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</row>
    <row r="506" spans="1:19" ht="14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</row>
    <row r="507" spans="1:19" ht="14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</row>
    <row r="508" spans="1:19" ht="14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</row>
    <row r="509" spans="1:19" ht="14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</row>
    <row r="510" spans="1:19" ht="14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</row>
    <row r="511" spans="1:19" ht="14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</row>
    <row r="512" spans="1:19" ht="14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</row>
    <row r="513" spans="1:19" ht="14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</row>
    <row r="514" spans="1:19" ht="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</row>
    <row r="515" spans="1:19" ht="14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</row>
    <row r="516" spans="1:19" ht="14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</row>
    <row r="517" spans="1:19" ht="14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</row>
    <row r="518" spans="1:19" ht="14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</row>
    <row r="519" spans="1:19" ht="14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</row>
    <row r="520" spans="1:19" ht="14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</row>
    <row r="521" spans="1:19" ht="14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</row>
    <row r="522" spans="1:19" ht="14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</row>
    <row r="523" spans="1:19" ht="14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</row>
    <row r="524" spans="1:19" ht="1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</row>
    <row r="525" spans="1:19" ht="14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</row>
    <row r="526" spans="1:19" ht="14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</row>
    <row r="527" spans="1:19" ht="14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</row>
    <row r="528" spans="1:19" ht="14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</row>
    <row r="529" spans="1:19" ht="14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</row>
    <row r="530" spans="1:19" ht="14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</row>
    <row r="531" spans="1:19" ht="14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</row>
    <row r="532" spans="1:19" ht="14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</row>
    <row r="533" spans="1:19" ht="14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</row>
    <row r="534" spans="1:19" ht="1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</row>
    <row r="535" spans="1:19" ht="14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</row>
    <row r="536" spans="1:19" ht="14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</row>
    <row r="537" spans="1:19" ht="14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</row>
    <row r="538" spans="1:19" ht="14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</row>
    <row r="539" spans="1:19" ht="14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</row>
    <row r="540" spans="1:19" ht="14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</row>
    <row r="541" spans="1:19" ht="14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</row>
    <row r="542" spans="1:19" ht="14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</row>
    <row r="543" spans="1:19" ht="14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</row>
    <row r="544" spans="1:19" ht="1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</row>
    <row r="545" spans="1:19" ht="14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</row>
    <row r="546" spans="1:19" ht="14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</row>
    <row r="547" spans="1:19" ht="14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</row>
    <row r="548" spans="1:19" ht="14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</row>
    <row r="549" spans="1:19" ht="14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</row>
    <row r="550" spans="1:19" ht="14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</row>
    <row r="551" spans="1:19" ht="14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</row>
    <row r="552" spans="1:19" ht="14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</row>
    <row r="553" spans="1:19" ht="14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</row>
    <row r="554" spans="1:19" ht="1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</row>
    <row r="555" spans="1:19" ht="14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</row>
    <row r="556" spans="1:19" ht="14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</row>
    <row r="557" spans="1:19" ht="14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</row>
    <row r="558" spans="1:19" ht="14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</row>
    <row r="559" spans="1:19" ht="14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</row>
    <row r="560" spans="1:19" ht="14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</row>
    <row r="561" spans="1:19" ht="14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</row>
    <row r="562" spans="1:19" ht="14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</row>
    <row r="563" spans="1:19" ht="14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</row>
    <row r="564" spans="1:19" ht="1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</row>
    <row r="565" spans="1:19" ht="14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</row>
    <row r="566" spans="1:19" ht="14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</row>
    <row r="567" spans="1:19" ht="14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</row>
    <row r="568" spans="1:19" ht="14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</row>
    <row r="569" spans="1:19" ht="14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</row>
    <row r="570" spans="1:19" ht="14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</row>
    <row r="571" spans="1:19" ht="14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</row>
    <row r="572" spans="1:19" ht="14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</row>
    <row r="573" spans="1:19" ht="14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</row>
    <row r="574" spans="1:19" ht="1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</row>
    <row r="575" spans="1:19" ht="14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</row>
    <row r="576" spans="1:19" ht="14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</row>
    <row r="577" spans="1:19" ht="14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</row>
    <row r="578" spans="1:19" ht="14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</row>
    <row r="579" spans="1:19" ht="14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</row>
    <row r="580" spans="1:19" ht="14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</row>
    <row r="581" spans="1:19" ht="14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</row>
    <row r="582" spans="1:19" ht="14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</row>
    <row r="583" spans="1:19" ht="14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</row>
    <row r="584" spans="1:19" ht="1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</row>
    <row r="585" spans="1:19" ht="14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</row>
    <row r="586" spans="1:19" ht="14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</row>
    <row r="587" spans="1:19" ht="14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</row>
    <row r="588" spans="1:19" ht="14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</row>
    <row r="589" spans="1:19" ht="14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</row>
    <row r="590" spans="1:19" ht="14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</row>
    <row r="591" spans="1:19" ht="14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</row>
    <row r="592" spans="1:19" ht="14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</row>
    <row r="593" spans="1:19" ht="14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</row>
    <row r="594" spans="1:19" ht="1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</row>
    <row r="595" spans="1:19" ht="14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</row>
    <row r="596" spans="1:19" ht="14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</row>
    <row r="597" spans="1:19" ht="14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</row>
    <row r="598" spans="1:19" ht="14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</row>
    <row r="599" spans="1:19" ht="14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</row>
    <row r="600" spans="1:19" ht="14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</row>
    <row r="601" spans="1:19" ht="14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</row>
    <row r="602" spans="1:19" ht="14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</row>
    <row r="603" spans="1:19" ht="14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</row>
    <row r="604" spans="1:19" ht="1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</row>
    <row r="605" spans="1:19" ht="14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</row>
    <row r="606" spans="1:19" ht="14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</row>
    <row r="607" spans="1:19" ht="14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</row>
    <row r="608" spans="1:19" ht="14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</row>
    <row r="609" spans="1:19" ht="14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</row>
    <row r="610" spans="1:19" ht="14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</row>
    <row r="611" spans="1:19" ht="14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</row>
    <row r="612" spans="1:19" ht="14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</row>
    <row r="613" spans="1:19" ht="14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</row>
    <row r="614" spans="1:19" ht="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</row>
    <row r="615" spans="1:19" ht="14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</row>
    <row r="616" spans="1:19" ht="14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</row>
    <row r="617" spans="1:19" ht="14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</row>
    <row r="618" spans="1:19" ht="14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</row>
    <row r="619" spans="1:19" ht="14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</row>
    <row r="620" spans="1:19" ht="14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</row>
    <row r="621" spans="1:19" ht="14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</row>
    <row r="622" spans="1:19" ht="14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</row>
    <row r="623" spans="1:19" ht="14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</row>
    <row r="624" spans="1:19" ht="1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</row>
    <row r="625" spans="1:19" ht="14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</row>
    <row r="626" spans="1:19" ht="14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</row>
    <row r="627" spans="1:19" ht="14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</row>
    <row r="628" spans="1:19" ht="14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</row>
    <row r="629" spans="1:19" ht="14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</row>
    <row r="630" spans="1:19" ht="14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</row>
    <row r="631" spans="1:19" ht="14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</row>
    <row r="632" spans="1:19" ht="14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</row>
    <row r="633" spans="1:19" ht="14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</row>
    <row r="634" spans="1:19" ht="1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</row>
    <row r="635" spans="1:19" ht="14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</row>
    <row r="636" spans="1:19" ht="14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</row>
    <row r="637" spans="1:19" ht="14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</row>
    <row r="638" spans="1:19" ht="14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</row>
    <row r="639" spans="1:19" ht="14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</row>
    <row r="640" spans="1:19" ht="14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</row>
    <row r="641" spans="1:19" ht="14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</row>
    <row r="642" spans="1:19" ht="14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</row>
    <row r="643" spans="1:19" ht="14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</row>
    <row r="644" spans="1:19" ht="1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</row>
    <row r="645" spans="1:19" ht="14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</row>
    <row r="646" spans="1:19" ht="14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</row>
    <row r="647" spans="1:19" ht="14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</row>
    <row r="648" spans="1:19" ht="14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</row>
    <row r="649" spans="1:19" ht="14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</row>
    <row r="650" spans="1:19" ht="14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</row>
    <row r="651" spans="1:19" ht="14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</row>
    <row r="652" spans="1:19" ht="14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</row>
    <row r="653" spans="1:19" ht="14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</row>
    <row r="654" spans="1:19" ht="1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</row>
    <row r="655" spans="1:19" ht="14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</row>
    <row r="656" spans="1:19" ht="14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</row>
    <row r="657" spans="1:19" ht="14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</row>
    <row r="658" spans="1:19" ht="14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</row>
    <row r="659" spans="1:19" ht="14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</row>
    <row r="660" spans="1:19" ht="14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</row>
    <row r="661" spans="1:19" ht="14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</row>
    <row r="662" spans="1:19" ht="14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</row>
    <row r="663" spans="1:19" ht="14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</row>
    <row r="664" spans="1:19" ht="1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</row>
    <row r="665" spans="1:19" ht="14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</row>
    <row r="666" spans="1:19" ht="14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</row>
    <row r="667" spans="1:19" ht="14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</row>
    <row r="668" spans="1:19" ht="14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</row>
    <row r="669" spans="1:19" ht="14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</row>
    <row r="670" spans="1:19" ht="14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</row>
    <row r="671" spans="1:19" ht="14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</row>
    <row r="672" spans="1:19" ht="14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</row>
    <row r="673" spans="1:19" ht="14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</row>
    <row r="674" spans="1:19" ht="1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</row>
    <row r="675" spans="1:19" ht="14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</row>
    <row r="676" spans="1:19" ht="14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</row>
    <row r="677" spans="1:19" ht="14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</row>
    <row r="678" spans="1:19" ht="14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</row>
    <row r="679" spans="1:19" ht="14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</row>
    <row r="680" spans="1:19" ht="14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</row>
    <row r="681" spans="1:19" ht="14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</row>
    <row r="682" spans="1:19" ht="14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</row>
    <row r="683" spans="1:19" ht="14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</row>
    <row r="684" spans="1:19" ht="1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</row>
    <row r="685" spans="1:19" ht="14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</row>
    <row r="686" spans="1:19" ht="14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</row>
    <row r="687" spans="1:19" ht="14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</row>
    <row r="688" spans="1:19" ht="14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</row>
    <row r="689" spans="1:19" ht="14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</row>
    <row r="690" spans="1:19" ht="14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</row>
    <row r="691" spans="1:19" ht="14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</row>
    <row r="692" spans="1:19" ht="14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</row>
    <row r="693" spans="1:19" ht="14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</row>
    <row r="694" spans="1:19" ht="1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</row>
    <row r="695" spans="1:19" ht="14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</row>
    <row r="696" spans="1:19" ht="14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</row>
    <row r="697" spans="1:19" ht="14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</row>
    <row r="698" spans="1:19" ht="14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</row>
    <row r="699" spans="1:19" ht="14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</row>
    <row r="700" spans="1:19" ht="14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</row>
    <row r="701" spans="1:19" ht="14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</row>
    <row r="702" spans="1:19" ht="14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</row>
    <row r="703" spans="1:19" ht="14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</row>
    <row r="704" spans="1:19" ht="1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</row>
    <row r="705" spans="1:19" ht="14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</row>
    <row r="706" spans="1:19" ht="14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</row>
    <row r="707" spans="1:19" ht="14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</row>
    <row r="708" spans="1:19" ht="14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</row>
    <row r="709" spans="1:19" ht="14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</row>
    <row r="710" spans="1:19" ht="14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</row>
    <row r="711" spans="1:19" ht="14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</row>
    <row r="712" spans="1:19" ht="14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</row>
    <row r="713" spans="1:19" ht="14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</row>
    <row r="714" spans="1:19" ht="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</row>
    <row r="715" spans="1:19" ht="14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</row>
    <row r="716" spans="1:19" ht="14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</row>
    <row r="717" spans="1:19" ht="14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</row>
    <row r="718" spans="1:19" ht="14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</row>
    <row r="719" spans="1:19" ht="14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</row>
    <row r="720" spans="1:19" ht="14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</row>
    <row r="721" spans="1:19" ht="14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</row>
    <row r="722" spans="1:19" ht="14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</row>
    <row r="723" spans="1:19" ht="14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</row>
    <row r="724" spans="1:19" ht="1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</row>
    <row r="725" spans="1:19" ht="14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</row>
    <row r="726" spans="1:19" ht="14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</row>
    <row r="727" spans="1:19" ht="14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</row>
    <row r="728" spans="1:19" ht="14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</row>
    <row r="729" spans="1:19" ht="14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</row>
    <row r="730" spans="1:19" ht="14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</row>
    <row r="731" spans="1:19" ht="14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</row>
    <row r="732" spans="1:19" ht="14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</row>
    <row r="733" spans="1:19" ht="14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</row>
    <row r="734" spans="1:19" ht="1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</row>
    <row r="735" spans="1:19" ht="14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</row>
    <row r="736" spans="1:19" ht="14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</row>
    <row r="737" spans="1:19" ht="14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</row>
    <row r="738" spans="1:19" ht="14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</row>
    <row r="739" spans="1:19" ht="14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</row>
    <row r="740" spans="1:19" ht="14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</row>
    <row r="741" spans="1:19" ht="14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</row>
    <row r="742" spans="1:19" ht="14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</row>
    <row r="743" spans="1:19" ht="14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</row>
    <row r="744" spans="1:19" ht="1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</row>
    <row r="745" spans="1:19" ht="14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</row>
    <row r="746" spans="1:19" ht="14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</row>
    <row r="747" spans="1:19" ht="14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</row>
    <row r="748" spans="1:19" ht="14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</row>
    <row r="749" spans="1:19" ht="14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</row>
    <row r="750" spans="1:19" ht="14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</row>
    <row r="751" spans="1:19" ht="14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</row>
    <row r="752" spans="1:19" ht="14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</row>
    <row r="753" spans="1:19" ht="14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</row>
    <row r="754" spans="1:19" ht="1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</row>
    <row r="755" spans="1:19" ht="14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</row>
    <row r="756" spans="1:19" ht="14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</row>
    <row r="757" spans="1:19" ht="14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</row>
    <row r="758" spans="1:19" ht="14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</row>
    <row r="759" spans="1:19" ht="14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</row>
    <row r="760" spans="1:19" ht="14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</row>
    <row r="761" spans="1:19" ht="14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</row>
    <row r="762" spans="1:19" ht="14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</row>
    <row r="763" spans="1:19" ht="14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</row>
    <row r="764" spans="1:19" ht="1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</row>
    <row r="765" spans="1:19" ht="14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</row>
    <row r="766" spans="1:19" ht="14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</row>
    <row r="767" spans="1:19" ht="14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</row>
    <row r="768" spans="1:19" ht="14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</row>
    <row r="769" spans="1:19" ht="14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</row>
    <row r="770" spans="1:19" ht="14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</row>
    <row r="771" spans="1:19" ht="14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</row>
    <row r="772" spans="1:19" ht="14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</row>
    <row r="773" spans="1:19" ht="14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</row>
    <row r="774" spans="1:19" ht="1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</row>
    <row r="775" spans="1:19" ht="14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</row>
    <row r="776" spans="1:19" ht="14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</row>
    <row r="777" spans="1:19" ht="14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</row>
    <row r="778" spans="1:19" ht="14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</row>
    <row r="779" spans="1:19" ht="14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</row>
    <row r="780" spans="1:19" ht="14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</row>
    <row r="781" spans="1:19" ht="14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</row>
    <row r="782" spans="1:19" ht="14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</row>
    <row r="783" spans="1:19" ht="14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</row>
    <row r="784" spans="1:19" ht="1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</row>
    <row r="785" spans="1:19" ht="14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</row>
    <row r="786" spans="1:19" ht="14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</row>
    <row r="787" spans="1:19" ht="14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</row>
    <row r="788" spans="1:19" ht="14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</row>
    <row r="789" spans="1:19" ht="14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</row>
    <row r="790" spans="1:19" ht="14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</row>
    <row r="791" spans="1:19" ht="14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</row>
    <row r="792" spans="1:19" ht="14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</row>
    <row r="793" spans="1:19" ht="14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</row>
    <row r="794" spans="1:19" ht="1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</row>
    <row r="795" spans="1:19" ht="14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</row>
    <row r="796" spans="1:19" ht="14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</row>
    <row r="797" spans="1:19" ht="14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</row>
    <row r="798" spans="1:19" ht="14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</row>
    <row r="799" spans="1:19" ht="14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</row>
    <row r="800" spans="1:19" ht="14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</row>
    <row r="801" spans="1:19" ht="14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</row>
    <row r="802" spans="1:19" ht="14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</row>
    <row r="803" spans="1:19" ht="14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</row>
    <row r="804" spans="1:19" ht="1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</row>
    <row r="805" spans="1:19" ht="14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</row>
    <row r="806" spans="1:19" ht="14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</row>
    <row r="807" spans="1:19" ht="14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</row>
    <row r="808" spans="1:19" ht="14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</row>
    <row r="809" spans="1:19" ht="14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</row>
    <row r="810" spans="1:19" ht="14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</row>
    <row r="811" spans="1:19" ht="14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</row>
    <row r="812" spans="1:19" ht="14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</row>
    <row r="813" spans="1:19" ht="14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</row>
    <row r="814" spans="1:19" ht="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</row>
    <row r="815" spans="1:19" ht="14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</row>
    <row r="816" spans="1:19" ht="14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</row>
    <row r="817" spans="1:19" ht="14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</row>
    <row r="818" spans="1:19" ht="14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</row>
    <row r="819" spans="1:19" ht="14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</row>
    <row r="820" spans="1:19" ht="14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</row>
    <row r="821" spans="1:19" ht="14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</row>
    <row r="822" spans="1:19" ht="14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</row>
    <row r="823" spans="1:19" ht="14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</row>
    <row r="824" spans="1:19" ht="1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</row>
    <row r="825" spans="1:19" ht="14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</row>
    <row r="826" spans="1:19" ht="14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</row>
    <row r="827" spans="1:19" ht="14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</row>
    <row r="828" spans="1:19" ht="14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</row>
    <row r="829" spans="1:19" ht="14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</row>
    <row r="830" spans="1:19" ht="14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</row>
    <row r="831" spans="1:19" ht="14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</row>
    <row r="832" spans="1:19" ht="14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</row>
    <row r="833" spans="1:19" ht="14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</row>
    <row r="834" spans="1:19" ht="1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</row>
    <row r="835" spans="1:19" ht="14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</row>
    <row r="836" spans="1:19" ht="14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</row>
    <row r="837" spans="1:19" ht="14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</row>
    <row r="838" spans="1:19" ht="14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</row>
    <row r="839" spans="1:19" ht="14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</row>
    <row r="840" spans="1:19" ht="14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</row>
    <row r="841" spans="1:19" ht="14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</row>
    <row r="842" spans="1:19" ht="14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</row>
    <row r="843" spans="1:19" ht="14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</row>
    <row r="844" spans="1:19" ht="1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</row>
    <row r="845" spans="1:19" ht="14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</row>
    <row r="846" spans="1:19" ht="14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</row>
    <row r="847" spans="1:19" ht="14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</row>
    <row r="848" spans="1:19" ht="14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</row>
    <row r="849" spans="1:19" ht="14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</row>
    <row r="850" spans="1:19" ht="14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</row>
    <row r="851" spans="1:19" ht="14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</row>
    <row r="852" spans="1:19" ht="14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</row>
    <row r="853" spans="1:19" ht="14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</row>
    <row r="854" spans="1:19" ht="1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</row>
    <row r="855" spans="1:19" ht="14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</row>
    <row r="856" spans="1:19" ht="14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</row>
    <row r="857" spans="1:19" ht="14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</row>
    <row r="858" spans="1:19" ht="14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</row>
    <row r="859" spans="1:19" ht="14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</row>
    <row r="860" spans="1:19" ht="14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</row>
    <row r="861" spans="1:19" ht="14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</row>
    <row r="862" spans="1:19" ht="14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</row>
    <row r="863" spans="1:19" ht="14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</row>
    <row r="864" spans="1:19" ht="1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</row>
    <row r="865" spans="1:19" ht="14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</row>
    <row r="866" spans="1:19" ht="14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</row>
    <row r="867" spans="1:19" ht="14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</row>
    <row r="868" spans="1:19" ht="14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</row>
    <row r="869" spans="1:19" ht="14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</row>
    <row r="870" spans="1:19" ht="14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</row>
    <row r="871" spans="1:19" ht="14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</row>
    <row r="872" spans="1:19" ht="14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</row>
    <row r="873" spans="1:19" ht="14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</row>
    <row r="874" spans="1:19" ht="1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</row>
    <row r="875" spans="1:19" ht="14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</row>
    <row r="876" spans="1:19" ht="14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</row>
    <row r="877" spans="1:19" ht="14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</row>
    <row r="878" spans="1:19" ht="14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</row>
    <row r="879" spans="1:19" ht="14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</row>
    <row r="880" spans="1:19" ht="14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</row>
    <row r="881" spans="1:19" ht="14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</row>
    <row r="882" spans="1:19" ht="14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</row>
    <row r="883" spans="1:19" ht="14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</row>
    <row r="884" spans="1:19" ht="1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</row>
    <row r="885" spans="1:19" ht="14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</row>
    <row r="886" spans="1:19" ht="14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</row>
    <row r="887" spans="1:19" ht="14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</row>
    <row r="888" spans="1:19" ht="14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</row>
    <row r="889" spans="1:19" ht="14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</row>
    <row r="890" spans="1:19" ht="14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</row>
    <row r="891" spans="1:19" ht="14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</row>
    <row r="892" spans="1:19" ht="14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</row>
    <row r="893" spans="1:19" ht="14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</row>
    <row r="894" spans="1:19" ht="1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</row>
    <row r="895" spans="1:19" ht="14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</row>
    <row r="896" spans="1:19" ht="14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</row>
    <row r="897" spans="1:19" ht="14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</row>
    <row r="898" spans="1:19" ht="14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</row>
    <row r="899" spans="1:19" ht="14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</row>
    <row r="900" spans="1:19" ht="14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</row>
    <row r="901" spans="1:19" ht="14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</row>
    <row r="902" spans="1:19" ht="14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</row>
    <row r="903" spans="1:19" ht="14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</row>
    <row r="904" spans="1:19" ht="1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</row>
    <row r="905" spans="1:19" ht="14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</row>
    <row r="906" spans="1:19" ht="14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</row>
    <row r="907" spans="1:19" ht="14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</row>
    <row r="908" spans="1:19" ht="14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</row>
    <row r="909" spans="1:19" ht="14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</row>
    <row r="910" spans="1:19" ht="14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</row>
    <row r="911" spans="1:19" ht="14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</row>
    <row r="912" spans="1:19" ht="14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</row>
    <row r="913" spans="1:19" ht="14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</row>
    <row r="914" spans="1:19" ht="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</row>
    <row r="915" spans="1:19" ht="14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</row>
    <row r="916" spans="1:19" ht="14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</row>
    <row r="917" spans="1:19" ht="14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</row>
    <row r="918" spans="1:19" ht="14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</row>
    <row r="919" spans="1:19" ht="14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</row>
    <row r="920" spans="1:19" ht="14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</row>
    <row r="921" spans="1:19" ht="14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</row>
    <row r="922" spans="1:19" ht="14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</row>
    <row r="923" spans="1:19" ht="14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</row>
    <row r="924" spans="1:19" ht="1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</row>
    <row r="925" spans="1:19" ht="14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</row>
    <row r="926" spans="1:19" ht="14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</row>
    <row r="927" spans="1:19" ht="14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</row>
    <row r="928" spans="1:19" ht="14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</row>
    <row r="929" spans="1:19" ht="14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</row>
    <row r="930" spans="1:19" ht="14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</row>
    <row r="931" spans="1:19" ht="14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</row>
    <row r="932" spans="1:19" ht="14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</row>
    <row r="933" spans="1:19" ht="14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</row>
    <row r="934" spans="1:19" ht="1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</row>
    <row r="935" spans="1:19" ht="14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</row>
    <row r="936" spans="1:19" ht="14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</row>
    <row r="937" spans="1:19" ht="14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</row>
    <row r="938" spans="1:19" ht="14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</row>
    <row r="939" spans="1:19" ht="14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</row>
    <row r="940" spans="1:19" ht="14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</row>
    <row r="941" spans="1:19" ht="14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</row>
    <row r="942" spans="1:19" ht="14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</row>
    <row r="943" spans="1:19" ht="14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</row>
    <row r="944" spans="1:19" ht="1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</row>
    <row r="945" spans="1:19" ht="14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</row>
    <row r="946" spans="1:19" ht="14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</row>
    <row r="947" spans="1:19" ht="14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</row>
    <row r="948" spans="1:19" ht="14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</row>
    <row r="949" spans="1:19" ht="14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</row>
    <row r="950" spans="1:19" ht="14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</row>
    <row r="951" spans="1:19" ht="14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</row>
    <row r="952" spans="1:19" ht="14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</row>
    <row r="953" spans="1:19" ht="14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</row>
    <row r="954" spans="1:19" ht="14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</row>
    <row r="955" spans="1:19" ht="14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</row>
    <row r="956" spans="1:19" ht="14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</row>
    <row r="957" spans="1:19" ht="14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</row>
    <row r="958" spans="1:19" ht="14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</row>
    <row r="959" spans="1:19" ht="14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</row>
    <row r="960" spans="1:19" ht="14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</row>
    <row r="961" spans="1:19" ht="14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</row>
    <row r="962" spans="1:19" ht="14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</row>
    <row r="963" spans="1:19" ht="14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</row>
    <row r="964" spans="1:19" ht="14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</row>
    <row r="965" spans="1:19" ht="14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</row>
    <row r="966" spans="1:19" ht="14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</row>
    <row r="967" spans="1:19" ht="14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</row>
    <row r="968" spans="1:19" ht="14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</row>
    <row r="969" spans="1:19" ht="14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</row>
    <row r="970" spans="1:19" ht="14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</row>
    <row r="971" spans="1:19" ht="14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</row>
    <row r="972" spans="1:19" ht="14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</row>
    <row r="973" spans="1:19" ht="14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</row>
    <row r="974" spans="1:19" ht="14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</row>
    <row r="975" spans="1:19" ht="14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</row>
    <row r="976" spans="1:19" ht="14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</row>
    <row r="977" spans="1:19" ht="14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</row>
    <row r="978" spans="1:19" ht="14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</row>
    <row r="979" spans="1:19" ht="14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</row>
    <row r="980" spans="1:19" ht="14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</row>
    <row r="981" spans="1:19" ht="14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</row>
    <row r="982" spans="1:19" ht="14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</row>
    <row r="983" spans="1:19" ht="14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</row>
    <row r="984" spans="1:19" ht="14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</row>
    <row r="985" spans="1:19" ht="14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</row>
    <row r="986" spans="1:19" ht="14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</row>
    <row r="987" spans="1:19" ht="14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</row>
    <row r="988" spans="1:19" ht="14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</row>
    <row r="989" spans="1:19" ht="14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</row>
    <row r="990" spans="1:19" ht="14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</row>
    <row r="991" spans="1:19" ht="14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B55"/>
  <sheetViews>
    <sheetView workbookViewId="0"/>
  </sheetViews>
  <sheetFormatPr baseColWidth="10" defaultColWidth="12.6640625" defaultRowHeight="15.75" customHeight="1" outlineLevelRow="1"/>
  <cols>
    <col min="1" max="1" width="30.6640625" customWidth="1"/>
    <col min="10" max="10" width="16.83203125" customWidth="1"/>
  </cols>
  <sheetData>
    <row r="1" spans="1:80" ht="15.75" customHeight="1">
      <c r="A1" s="537" t="s">
        <v>411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</row>
    <row r="2" spans="1:80" ht="15">
      <c r="A2" s="366"/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6"/>
      <c r="AO2" s="366"/>
      <c r="AP2" s="366"/>
      <c r="AQ2" s="366"/>
      <c r="AR2" s="366"/>
      <c r="AS2" s="366"/>
      <c r="AT2" s="366"/>
      <c r="AU2" s="366"/>
      <c r="AV2" s="366"/>
      <c r="AW2" s="366"/>
      <c r="AX2" s="366"/>
      <c r="AY2" s="366"/>
      <c r="AZ2" s="366"/>
      <c r="BA2" s="366"/>
      <c r="BB2" s="366"/>
      <c r="BC2" s="366"/>
      <c r="BD2" s="366"/>
      <c r="BE2" s="366"/>
      <c r="BF2" s="366"/>
      <c r="BG2" s="366"/>
      <c r="BH2" s="366"/>
      <c r="BI2" s="366"/>
      <c r="BJ2" s="366"/>
      <c r="BK2" s="166"/>
      <c r="BL2" s="166"/>
      <c r="BM2" s="166"/>
      <c r="BN2" s="166"/>
      <c r="BO2" s="166"/>
      <c r="BP2" s="166"/>
      <c r="BQ2" s="166"/>
      <c r="BR2" s="166"/>
      <c r="BS2" s="166"/>
      <c r="BT2" s="166"/>
      <c r="BU2" s="166"/>
      <c r="BV2" s="166"/>
      <c r="BW2" s="166"/>
      <c r="BX2" s="166"/>
      <c r="BY2" s="166"/>
      <c r="BZ2" s="166"/>
      <c r="CA2" s="166"/>
      <c r="CB2" s="166"/>
    </row>
    <row r="3" spans="1:80" ht="15">
      <c r="A3" s="366"/>
      <c r="B3" s="703">
        <v>2025</v>
      </c>
      <c r="C3" s="709"/>
      <c r="D3" s="709"/>
      <c r="E3" s="709"/>
      <c r="F3" s="709"/>
      <c r="G3" s="709"/>
      <c r="H3" s="704"/>
      <c r="I3" s="708">
        <v>2026</v>
      </c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4"/>
      <c r="U3" s="710">
        <v>2027</v>
      </c>
      <c r="V3" s="709"/>
      <c r="W3" s="709"/>
      <c r="X3" s="709"/>
      <c r="Y3" s="709"/>
      <c r="Z3" s="709"/>
      <c r="AA3" s="709"/>
      <c r="AB3" s="709"/>
      <c r="AC3" s="709"/>
      <c r="AD3" s="709"/>
      <c r="AE3" s="709"/>
      <c r="AF3" s="704"/>
      <c r="AG3" s="710">
        <v>2028</v>
      </c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4"/>
      <c r="AS3" s="710">
        <v>2029</v>
      </c>
      <c r="AT3" s="709"/>
      <c r="AU3" s="709"/>
      <c r="AV3" s="709"/>
      <c r="AW3" s="709"/>
      <c r="AX3" s="709"/>
      <c r="AY3" s="709"/>
      <c r="AZ3" s="709"/>
      <c r="BA3" s="709"/>
      <c r="BB3" s="709"/>
      <c r="BC3" s="709"/>
      <c r="BD3" s="704"/>
      <c r="BE3" s="711">
        <v>2030</v>
      </c>
      <c r="BF3" s="709"/>
      <c r="BG3" s="709"/>
      <c r="BH3" s="709"/>
      <c r="BI3" s="709"/>
      <c r="BJ3" s="709"/>
      <c r="BK3" s="709"/>
      <c r="BL3" s="709"/>
      <c r="BM3" s="709"/>
      <c r="BN3" s="709"/>
      <c r="BO3" s="709"/>
      <c r="BP3" s="704"/>
      <c r="BQ3" s="711">
        <v>2031</v>
      </c>
      <c r="BR3" s="709"/>
      <c r="BS3" s="709"/>
      <c r="BT3" s="709"/>
      <c r="BU3" s="709"/>
      <c r="BV3" s="709"/>
      <c r="BW3" s="709"/>
      <c r="BX3" s="709"/>
      <c r="BY3" s="709"/>
      <c r="BZ3" s="709"/>
      <c r="CA3" s="709"/>
      <c r="CB3" s="704"/>
    </row>
    <row r="4" spans="1:80" ht="15">
      <c r="A4" s="366"/>
      <c r="B4" s="168">
        <v>45809</v>
      </c>
      <c r="C4" s="169">
        <v>45839</v>
      </c>
      <c r="D4" s="169">
        <v>45870</v>
      </c>
      <c r="E4" s="169">
        <v>45901</v>
      </c>
      <c r="F4" s="169">
        <v>45931</v>
      </c>
      <c r="G4" s="169">
        <v>45962</v>
      </c>
      <c r="H4" s="170">
        <v>45992</v>
      </c>
      <c r="I4" s="168">
        <v>46023</v>
      </c>
      <c r="J4" s="169">
        <v>46054</v>
      </c>
      <c r="K4" s="169">
        <v>46082</v>
      </c>
      <c r="L4" s="169">
        <v>46113</v>
      </c>
      <c r="M4" s="169">
        <v>46143</v>
      </c>
      <c r="N4" s="169">
        <v>46174</v>
      </c>
      <c r="O4" s="169">
        <v>46204</v>
      </c>
      <c r="P4" s="169">
        <v>46235</v>
      </c>
      <c r="Q4" s="169">
        <v>46266</v>
      </c>
      <c r="R4" s="169">
        <v>46296</v>
      </c>
      <c r="S4" s="169">
        <v>46327</v>
      </c>
      <c r="T4" s="170">
        <v>46357</v>
      </c>
      <c r="U4" s="168">
        <v>46388</v>
      </c>
      <c r="V4" s="169">
        <v>46419</v>
      </c>
      <c r="W4" s="169">
        <v>46447</v>
      </c>
      <c r="X4" s="169">
        <v>46478</v>
      </c>
      <c r="Y4" s="169">
        <v>46508</v>
      </c>
      <c r="Z4" s="169">
        <v>46539</v>
      </c>
      <c r="AA4" s="169">
        <v>46569</v>
      </c>
      <c r="AB4" s="169">
        <v>46600</v>
      </c>
      <c r="AC4" s="169">
        <v>46631</v>
      </c>
      <c r="AD4" s="169">
        <v>46661</v>
      </c>
      <c r="AE4" s="169">
        <v>46692</v>
      </c>
      <c r="AF4" s="170">
        <v>46722</v>
      </c>
      <c r="AG4" s="168">
        <v>46753</v>
      </c>
      <c r="AH4" s="169">
        <v>46784</v>
      </c>
      <c r="AI4" s="169">
        <v>46813</v>
      </c>
      <c r="AJ4" s="169">
        <v>46844</v>
      </c>
      <c r="AK4" s="169">
        <v>46874</v>
      </c>
      <c r="AL4" s="169">
        <v>46905</v>
      </c>
      <c r="AM4" s="169">
        <v>46935</v>
      </c>
      <c r="AN4" s="169">
        <v>46966</v>
      </c>
      <c r="AO4" s="169">
        <v>46997</v>
      </c>
      <c r="AP4" s="169">
        <v>47027</v>
      </c>
      <c r="AQ4" s="169">
        <v>47058</v>
      </c>
      <c r="AR4" s="170">
        <v>47088</v>
      </c>
      <c r="AS4" s="168">
        <v>47119</v>
      </c>
      <c r="AT4" s="169">
        <v>47150</v>
      </c>
      <c r="AU4" s="169">
        <v>47178</v>
      </c>
      <c r="AV4" s="169">
        <v>47209</v>
      </c>
      <c r="AW4" s="169">
        <v>47239</v>
      </c>
      <c r="AX4" s="169">
        <v>47270</v>
      </c>
      <c r="AY4" s="169">
        <v>47300</v>
      </c>
      <c r="AZ4" s="169">
        <v>47331</v>
      </c>
      <c r="BA4" s="169">
        <v>47362</v>
      </c>
      <c r="BB4" s="169">
        <v>47392</v>
      </c>
      <c r="BC4" s="169">
        <v>47423</v>
      </c>
      <c r="BD4" s="170">
        <v>47453</v>
      </c>
      <c r="BE4" s="168">
        <v>47484</v>
      </c>
      <c r="BF4" s="169">
        <v>47515</v>
      </c>
      <c r="BG4" s="169">
        <v>47543</v>
      </c>
      <c r="BH4" s="169">
        <v>47574</v>
      </c>
      <c r="BI4" s="169">
        <v>47604</v>
      </c>
      <c r="BJ4" s="169">
        <v>47635</v>
      </c>
      <c r="BK4" s="169">
        <v>47665</v>
      </c>
      <c r="BL4" s="169">
        <v>47696</v>
      </c>
      <c r="BM4" s="169">
        <v>47727</v>
      </c>
      <c r="BN4" s="169">
        <v>47757</v>
      </c>
      <c r="BO4" s="169">
        <v>47788</v>
      </c>
      <c r="BP4" s="170">
        <v>47818</v>
      </c>
      <c r="BQ4" s="168">
        <v>47849</v>
      </c>
      <c r="BR4" s="169">
        <v>47880</v>
      </c>
      <c r="BS4" s="169">
        <v>47908</v>
      </c>
      <c r="BT4" s="169">
        <v>47939</v>
      </c>
      <c r="BU4" s="169">
        <v>47969</v>
      </c>
      <c r="BV4" s="169">
        <v>48000</v>
      </c>
      <c r="BW4" s="169">
        <v>48030</v>
      </c>
      <c r="BX4" s="169">
        <v>48061</v>
      </c>
      <c r="BY4" s="169">
        <v>48092</v>
      </c>
      <c r="BZ4" s="169">
        <v>48122</v>
      </c>
      <c r="CA4" s="169">
        <v>48153</v>
      </c>
      <c r="CB4" s="170">
        <v>48183</v>
      </c>
    </row>
    <row r="5" spans="1:80" ht="15">
      <c r="A5" s="538" t="s">
        <v>412</v>
      </c>
      <c r="B5" s="539">
        <f t="shared" ref="B5:CB5" ca="1" si="0">B6+B7</f>
        <v>2.5</v>
      </c>
      <c r="C5" s="540">
        <f t="shared" ca="1" si="0"/>
        <v>3.5161133490764067</v>
      </c>
      <c r="D5" s="540">
        <f t="shared" ca="1" si="0"/>
        <v>3.5164971420025188</v>
      </c>
      <c r="E5" s="540">
        <f t="shared" ca="1" si="0"/>
        <v>3.5168693963901396</v>
      </c>
      <c r="F5" s="540">
        <f t="shared" ca="1" si="0"/>
        <v>3.5172304760950404</v>
      </c>
      <c r="G5" s="540">
        <f t="shared" ca="1" si="0"/>
        <v>3.5175807322544026</v>
      </c>
      <c r="H5" s="540">
        <f t="shared" ca="1" si="0"/>
        <v>3.5179205037775771</v>
      </c>
      <c r="I5" s="539">
        <f t="shared" ca="1" si="0"/>
        <v>3.5455347184159876</v>
      </c>
      <c r="J5" s="540">
        <f t="shared" ca="1" si="0"/>
        <v>3.5480806508645135</v>
      </c>
      <c r="K5" s="540">
        <f t="shared" ca="1" si="0"/>
        <v>3.5424163522629226</v>
      </c>
      <c r="L5" s="540">
        <f t="shared" ca="1" si="0"/>
        <v>3.5506531786048598</v>
      </c>
      <c r="M5" s="540">
        <f t="shared" ca="1" si="0"/>
        <v>3.5521588939852631</v>
      </c>
      <c r="N5" s="540">
        <f t="shared" ca="1" si="0"/>
        <v>3.553629815520563</v>
      </c>
      <c r="O5" s="540">
        <f t="shared" ca="1" si="0"/>
        <v>3.5550667928943285</v>
      </c>
      <c r="P5" s="540">
        <f t="shared" ca="1" si="0"/>
        <v>3.561150543590978</v>
      </c>
      <c r="Q5" s="540">
        <f t="shared" ca="1" si="0"/>
        <v>3.5630088719792328</v>
      </c>
      <c r="R5" s="540">
        <f t="shared" ca="1" si="0"/>
        <v>3.5648209357877576</v>
      </c>
      <c r="S5" s="540">
        <f t="shared" ca="1" si="0"/>
        <v>3.56658799315937</v>
      </c>
      <c r="T5" s="541">
        <f t="shared" ca="1" si="0"/>
        <v>3.5683112634383818</v>
      </c>
      <c r="U5" s="539">
        <f t="shared" ca="1" si="0"/>
        <v>3.5890331364408392</v>
      </c>
      <c r="V5" s="540">
        <f t="shared" ca="1" si="0"/>
        <v>3.5916884091038059</v>
      </c>
      <c r="W5" s="540">
        <f t="shared" ca="1" si="0"/>
        <v>3.5942971731929738</v>
      </c>
      <c r="X5" s="540">
        <f t="shared" ca="1" si="0"/>
        <v>3.5968603066366347</v>
      </c>
      <c r="Y5" s="540">
        <f t="shared" ca="1" si="0"/>
        <v>3.5993786689395986</v>
      </c>
      <c r="Z5" s="540">
        <f t="shared" ca="1" si="0"/>
        <v>3.6018531016250535</v>
      </c>
      <c r="AA5" s="540">
        <f t="shared" ca="1" si="0"/>
        <v>3.6042844286640849</v>
      </c>
      <c r="AB5" s="540">
        <f t="shared" ca="1" si="0"/>
        <v>3.6111583522892925</v>
      </c>
      <c r="AC5" s="540">
        <f t="shared" ca="1" si="0"/>
        <v>3.6138205164780581</v>
      </c>
      <c r="AD5" s="540">
        <f t="shared" ca="1" si="0"/>
        <v>3.6164342556063405</v>
      </c>
      <c r="AE5" s="540">
        <f t="shared" ca="1" si="0"/>
        <v>3.6190005552651678</v>
      </c>
      <c r="AF5" s="541">
        <f t="shared" ca="1" si="0"/>
        <v>3.6215203776392642</v>
      </c>
      <c r="AG5" s="539">
        <f t="shared" ca="1" si="0"/>
        <v>3.6070839663018748</v>
      </c>
      <c r="AH5" s="540">
        <f t="shared" ca="1" si="0"/>
        <v>3.6091136941984439</v>
      </c>
      <c r="AI5" s="540">
        <f t="shared" ca="1" si="0"/>
        <v>3.6111160404353382</v>
      </c>
      <c r="AJ5" s="540">
        <f t="shared" ca="1" si="0"/>
        <v>3.6130913545885006</v>
      </c>
      <c r="AK5" s="540">
        <f t="shared" ca="1" si="0"/>
        <v>3.6150399830487561</v>
      </c>
      <c r="AL5" s="540">
        <f t="shared" ca="1" si="0"/>
        <v>3.6169622689898104</v>
      </c>
      <c r="AM5" s="540">
        <f t="shared" ca="1" si="0"/>
        <v>3.6188585523396783</v>
      </c>
      <c r="AN5" s="540">
        <f t="shared" ca="1" si="0"/>
        <v>3.6207291697554234</v>
      </c>
      <c r="AO5" s="540">
        <f t="shared" ca="1" si="0"/>
        <v>3.6225744546009997</v>
      </c>
      <c r="AP5" s="540">
        <f t="shared" ca="1" si="0"/>
        <v>3.6243947369281235</v>
      </c>
      <c r="AQ5" s="540">
        <f t="shared" ca="1" si="0"/>
        <v>3.6261903434599558</v>
      </c>
      <c r="AR5" s="541">
        <f t="shared" ca="1" si="0"/>
        <v>3.6279615975775252</v>
      </c>
      <c r="AS5" s="539">
        <f t="shared" ca="1" si="0"/>
        <v>4.5805128033208513</v>
      </c>
      <c r="AT5" s="540">
        <f t="shared" ca="1" si="0"/>
        <v>4.5809353909596506</v>
      </c>
      <c r="AU5" s="540">
        <f t="shared" ca="1" si="0"/>
        <v>4.5813509820164917</v>
      </c>
      <c r="AV5" s="540">
        <f t="shared" ca="1" si="0"/>
        <v>4.581759671509019</v>
      </c>
      <c r="AW5" s="540">
        <f t="shared" ca="1" si="0"/>
        <v>4.5821615538009413</v>
      </c>
      <c r="AX5" s="540">
        <f t="shared" ca="1" si="0"/>
        <v>4.5825567225739583</v>
      </c>
      <c r="AY5" s="540">
        <f t="shared" ca="1" si="0"/>
        <v>4.5829452708017042</v>
      </c>
      <c r="AZ5" s="540">
        <f t="shared" ca="1" si="0"/>
        <v>4.6018518586656949</v>
      </c>
      <c r="BA5" s="540">
        <f t="shared" ca="1" si="0"/>
        <v>4.602266075246499</v>
      </c>
      <c r="BB5" s="540">
        <f t="shared" ca="1" si="0"/>
        <v>5.6026731520905129</v>
      </c>
      <c r="BC5" s="540">
        <f t="shared" ca="1" si="0"/>
        <v>5.603073194694268</v>
      </c>
      <c r="BD5" s="541">
        <f t="shared" ca="1" si="0"/>
        <v>5.6034663072824804</v>
      </c>
      <c r="BE5" s="539">
        <f t="shared" ca="1" si="0"/>
        <v>9.5772955152760222</v>
      </c>
      <c r="BF5" s="540">
        <f t="shared" ca="1" si="0"/>
        <v>9.5767319226576255</v>
      </c>
      <c r="BG5" s="540">
        <f t="shared" ca="1" si="0"/>
        <v>9.6444229587323349</v>
      </c>
      <c r="BH5" s="540">
        <f t="shared" ca="1" si="0"/>
        <v>9.6431894965145712</v>
      </c>
      <c r="BI5" s="540">
        <f t="shared" ca="1" si="0"/>
        <v>9.7102198458279805</v>
      </c>
      <c r="BJ5" s="540">
        <f t="shared" ca="1" si="0"/>
        <v>9.7765949510241263</v>
      </c>
      <c r="BK5" s="540">
        <f t="shared" ca="1" si="0"/>
        <v>10.774073708075424</v>
      </c>
      <c r="BL5" s="540">
        <f t="shared" ca="1" si="0"/>
        <v>11.084274429420011</v>
      </c>
      <c r="BM5" s="540">
        <f t="shared" ca="1" si="0"/>
        <v>11.078660328223176</v>
      </c>
      <c r="BN5" s="540">
        <f t="shared" ca="1" si="0"/>
        <v>11.07311956352893</v>
      </c>
      <c r="BO5" s="540">
        <f t="shared" ca="1" si="0"/>
        <v>11.067650863933387</v>
      </c>
      <c r="BP5" s="541">
        <f t="shared" ca="1" si="0"/>
        <v>12.062252984918308</v>
      </c>
      <c r="BQ5" s="542">
        <f t="shared" ca="1" si="0"/>
        <v>22.055945640595052</v>
      </c>
      <c r="BR5" s="543">
        <f t="shared" ca="1" si="0"/>
        <v>22.084704633989322</v>
      </c>
      <c r="BS5" s="543">
        <f t="shared" ca="1" si="0"/>
        <v>22.079056361775329</v>
      </c>
      <c r="BT5" s="543">
        <f t="shared" ca="1" si="0"/>
        <v>23.10760237728541</v>
      </c>
      <c r="BU5" s="543">
        <f t="shared" ca="1" si="0"/>
        <v>23.101743582838353</v>
      </c>
      <c r="BV5" s="543">
        <f t="shared" ca="1" si="0"/>
        <v>23.095956497922359</v>
      </c>
      <c r="BW5" s="543">
        <f t="shared" ca="1" si="0"/>
        <v>23.192615066547365</v>
      </c>
      <c r="BX5" s="543">
        <f t="shared" ca="1" si="0"/>
        <v>24.124153928319704</v>
      </c>
      <c r="BY5" s="543">
        <f t="shared" ca="1" si="0"/>
        <v>24.142206354115523</v>
      </c>
      <c r="BZ5" s="543">
        <f t="shared" ca="1" si="0"/>
        <v>24.125998922040822</v>
      </c>
      <c r="CA5" s="543">
        <f t="shared" ca="1" si="0"/>
        <v>24.178243992154073</v>
      </c>
      <c r="CB5" s="544">
        <f t="shared" ca="1" si="0"/>
        <v>24.161742383183096</v>
      </c>
    </row>
    <row r="6" spans="1:80" ht="15.75" customHeight="1" outlineLevel="1">
      <c r="A6" s="545" t="s">
        <v>413</v>
      </c>
      <c r="B6" s="546">
        <f ca="1">ROUNDUP((OFFSET(Ventes!C84,0,Hypothèses!$B$91)/Hypothèses!$B$51),0)</f>
        <v>1</v>
      </c>
      <c r="C6" s="547">
        <f ca="1">ROUNDUP((OFFSET(Ventes!D84,0,Hypothèses!$B$91)/Hypothèses!$B$51),0)</f>
        <v>1</v>
      </c>
      <c r="D6" s="547">
        <f ca="1">ROUNDUP((OFFSET(Ventes!E84,0,Hypothèses!$B$91)/Hypothèses!$B$51),0)</f>
        <v>1</v>
      </c>
      <c r="E6" s="547">
        <f ca="1">ROUNDUP((OFFSET(Ventes!F84,0,Hypothèses!$B$91)/Hypothèses!$B$51),0)</f>
        <v>1</v>
      </c>
      <c r="F6" s="547">
        <f ca="1">ROUNDUP((OFFSET(Ventes!G84,0,Hypothèses!$B$91)/Hypothèses!$B$51),0)</f>
        <v>1</v>
      </c>
      <c r="G6" s="547">
        <f ca="1">ROUNDUP((OFFSET(Ventes!H84,0,Hypothèses!$B$91)/Hypothèses!$B$51),0)</f>
        <v>1</v>
      </c>
      <c r="H6" s="548">
        <f ca="1">ROUNDUP((OFFSET(Ventes!I84,0,Hypothèses!$B$91)/Hypothèses!$B$51),0)</f>
        <v>1</v>
      </c>
      <c r="I6" s="546">
        <f ca="1">ROUNDUP((OFFSET(Ventes!J84,0,Hypothèses!$B$91)/Hypothèses!$B$51),0)</f>
        <v>1</v>
      </c>
      <c r="J6" s="547">
        <f ca="1">ROUNDUP((OFFSET(Ventes!K84,0,Hypothèses!$B$91)/Hypothèses!$B$51),0)</f>
        <v>1</v>
      </c>
      <c r="K6" s="547">
        <f ca="1">ROUNDUP((OFFSET(Ventes!L84,0,Hypothèses!$B$91)/Hypothèses!$B$51),0)</f>
        <v>1</v>
      </c>
      <c r="L6" s="547">
        <f ca="1">ROUNDUP((OFFSET(Ventes!M84,0,Hypothèses!$B$91)/Hypothèses!$B$51),0)</f>
        <v>1</v>
      </c>
      <c r="M6" s="547">
        <f ca="1">ROUNDUP((OFFSET(Ventes!N84,0,Hypothèses!$B$91)/Hypothèses!$B$51),0)</f>
        <v>1</v>
      </c>
      <c r="N6" s="547">
        <f ca="1">ROUNDUP((OFFSET(Ventes!O84,0,Hypothèses!$B$91)/Hypothèses!$B$51),0)</f>
        <v>1</v>
      </c>
      <c r="O6" s="547">
        <f ca="1">ROUNDUP((OFFSET(Ventes!P84,0,Hypothèses!$B$91)/Hypothèses!$B$51),0)</f>
        <v>1</v>
      </c>
      <c r="P6" s="547">
        <f ca="1">ROUNDUP((OFFSET(Ventes!Q84,0,Hypothèses!$B$91)/Hypothèses!$B$51),0)</f>
        <v>1</v>
      </c>
      <c r="Q6" s="547">
        <f ca="1">ROUNDUP((OFFSET(Ventes!R84,0,Hypothèses!$B$91)/Hypothèses!$B$51),0)</f>
        <v>1</v>
      </c>
      <c r="R6" s="547">
        <f ca="1">ROUNDUP((OFFSET(Ventes!S84,0,Hypothèses!$B$91)/Hypothèses!$B$51),0)</f>
        <v>1</v>
      </c>
      <c r="S6" s="547">
        <f ca="1">ROUNDUP((OFFSET(Ventes!T84,0,Hypothèses!$B$91)/Hypothèses!$B$51),0)</f>
        <v>1</v>
      </c>
      <c r="T6" s="548">
        <f ca="1">ROUNDUP((OFFSET(Ventes!U84,0,Hypothèses!$B$91)/Hypothèses!$B$51),0)</f>
        <v>1</v>
      </c>
      <c r="U6" s="546">
        <f ca="1">ROUNDUP((OFFSET(Ventes!V84,0,Hypothèses!$B$91)/Hypothèses!$B$51),0)</f>
        <v>1</v>
      </c>
      <c r="V6" s="547">
        <f ca="1">ROUNDUP((OFFSET(Ventes!W84,0,Hypothèses!$B$91)/Hypothèses!$B$51),0)</f>
        <v>1</v>
      </c>
      <c r="W6" s="547">
        <f ca="1">ROUNDUP((OFFSET(Ventes!X84,0,Hypothèses!$B$91)/Hypothèses!$B$51),0)</f>
        <v>1</v>
      </c>
      <c r="X6" s="547">
        <f ca="1">ROUNDUP((OFFSET(Ventes!Y84,0,Hypothèses!$B$91)/Hypothèses!$B$51),0)</f>
        <v>1</v>
      </c>
      <c r="Y6" s="547">
        <f ca="1">ROUNDUP((OFFSET(Ventes!Z84,0,Hypothèses!$B$91)/Hypothèses!$B$51),0)</f>
        <v>1</v>
      </c>
      <c r="Z6" s="547">
        <f ca="1">ROUNDUP((OFFSET(Ventes!AA84,0,Hypothèses!$B$91)/Hypothèses!$B$51),0)</f>
        <v>1</v>
      </c>
      <c r="AA6" s="547">
        <f ca="1">ROUNDUP((OFFSET(Ventes!AB84,0,Hypothèses!$B$91)/Hypothèses!$B$51),0)</f>
        <v>1</v>
      </c>
      <c r="AB6" s="547">
        <f ca="1">ROUNDUP((OFFSET(Ventes!AC84,0,Hypothèses!$B$91)/Hypothèses!$B$51),0)</f>
        <v>1</v>
      </c>
      <c r="AC6" s="547">
        <f ca="1">ROUNDUP((OFFSET(Ventes!AD84,0,Hypothèses!$B$91)/Hypothèses!$B$51),0)</f>
        <v>1</v>
      </c>
      <c r="AD6" s="547">
        <f ca="1">ROUNDUP((OFFSET(Ventes!AE84,0,Hypothèses!$B$91)/Hypothèses!$B$51),0)</f>
        <v>1</v>
      </c>
      <c r="AE6" s="547">
        <f ca="1">ROUNDUP((OFFSET(Ventes!AF84,0,Hypothèses!$B$91)/Hypothèses!$B$51),0)</f>
        <v>1</v>
      </c>
      <c r="AF6" s="548">
        <f ca="1">ROUNDUP((OFFSET(Ventes!AG84,0,Hypothèses!$B$91)/Hypothèses!$B$51),0)</f>
        <v>1</v>
      </c>
      <c r="AG6" s="546">
        <f ca="1">ROUNDUP((OFFSET(Ventes!AH84,0,Hypothèses!$B$91)/Hypothèses!$B$51),0)</f>
        <v>1</v>
      </c>
      <c r="AH6" s="547">
        <f ca="1">ROUNDUP((OFFSET(Ventes!AI84,0,Hypothèses!$B$91)/Hypothèses!$B$51),0)</f>
        <v>1</v>
      </c>
      <c r="AI6" s="547">
        <f ca="1">ROUNDUP((OFFSET(Ventes!AJ84,0,Hypothèses!$B$91)/Hypothèses!$B$51),0)</f>
        <v>1</v>
      </c>
      <c r="AJ6" s="547">
        <f ca="1">ROUNDUP((OFFSET(Ventes!AK84,0,Hypothèses!$B$91)/Hypothèses!$B$51),0)</f>
        <v>1</v>
      </c>
      <c r="AK6" s="547">
        <f ca="1">ROUNDUP((OFFSET(Ventes!AL84,0,Hypothèses!$B$91)/Hypothèses!$B$51),0)</f>
        <v>1</v>
      </c>
      <c r="AL6" s="547">
        <f ca="1">ROUNDUP((OFFSET(Ventes!AM84,0,Hypothèses!$B$91)/Hypothèses!$B$51),0)</f>
        <v>1</v>
      </c>
      <c r="AM6" s="547">
        <f ca="1">ROUNDUP((OFFSET(Ventes!AN84,0,Hypothèses!$B$91)/Hypothèses!$B$51),0)</f>
        <v>1</v>
      </c>
      <c r="AN6" s="547">
        <f ca="1">ROUNDUP((OFFSET(Ventes!AO84,0,Hypothèses!$B$91)/Hypothèses!$B$51),0)</f>
        <v>1</v>
      </c>
      <c r="AO6" s="547">
        <f ca="1">ROUNDUP((OFFSET(Ventes!AP84,0,Hypothèses!$B$91)/Hypothèses!$B$51),0)</f>
        <v>1</v>
      </c>
      <c r="AP6" s="547">
        <f ca="1">ROUNDUP((OFFSET(Ventes!AQ84,0,Hypothèses!$B$91)/Hypothèses!$B$51),0)</f>
        <v>1</v>
      </c>
      <c r="AQ6" s="547">
        <f ca="1">ROUNDUP((OFFSET(Ventes!AR84,0,Hypothèses!$B$91)/Hypothèses!$B$51),0)</f>
        <v>1</v>
      </c>
      <c r="AR6" s="548">
        <f ca="1">ROUNDUP((OFFSET(Ventes!AS84,0,Hypothèses!$B$91)/Hypothèses!$B$51),0)</f>
        <v>1</v>
      </c>
      <c r="AS6" s="546">
        <f ca="1">ROUNDUP((OFFSET(Ventes!AT84,0,Hypothèses!$B$91)/Hypothèses!$B$51),0)</f>
        <v>2</v>
      </c>
      <c r="AT6" s="547">
        <f ca="1">ROUNDUP((OFFSET(Ventes!AU84,0,Hypothèses!$B$91)/Hypothèses!$B$51),0)</f>
        <v>2</v>
      </c>
      <c r="AU6" s="547">
        <f ca="1">ROUNDUP((OFFSET(Ventes!AV84,0,Hypothèses!$B$91)/Hypothèses!$B$51),0)</f>
        <v>2</v>
      </c>
      <c r="AV6" s="547">
        <f ca="1">ROUNDUP((OFFSET(Ventes!AW84,0,Hypothèses!$B$91)/Hypothèses!$B$51),0)</f>
        <v>2</v>
      </c>
      <c r="AW6" s="547">
        <f ca="1">ROUNDUP((OFFSET(Ventes!AX84,0,Hypothèses!$B$91)/Hypothèses!$B$51),0)</f>
        <v>2</v>
      </c>
      <c r="AX6" s="547">
        <f ca="1">ROUNDUP((OFFSET(Ventes!AY84,0,Hypothèses!$B$91)/Hypothèses!$B$51),0)</f>
        <v>2</v>
      </c>
      <c r="AY6" s="547">
        <f ca="1">ROUNDUP((OFFSET(Ventes!AZ84,0,Hypothèses!$B$91)/Hypothèses!$B$51),0)</f>
        <v>2</v>
      </c>
      <c r="AZ6" s="547">
        <f ca="1">ROUNDUP((OFFSET(Ventes!BA84,0,Hypothèses!$B$91)/Hypothèses!$B$51),0)</f>
        <v>2</v>
      </c>
      <c r="BA6" s="547">
        <f ca="1">ROUNDUP((OFFSET(Ventes!BB84,0,Hypothèses!$B$91)/Hypothèses!$B$51),0)</f>
        <v>2</v>
      </c>
      <c r="BB6" s="547">
        <f ca="1">ROUNDUP((OFFSET(Ventes!BC84,0,Hypothèses!$B$91)/Hypothèses!$B$51),0)</f>
        <v>3</v>
      </c>
      <c r="BC6" s="547">
        <f ca="1">ROUNDUP((OFFSET(Ventes!BD84,0,Hypothèses!$B$91)/Hypothèses!$B$51),0)</f>
        <v>3</v>
      </c>
      <c r="BD6" s="548">
        <f ca="1">ROUNDUP((OFFSET(Ventes!BE84,0,Hypothèses!$B$91)/Hypothèses!$B$51),0)</f>
        <v>3</v>
      </c>
      <c r="BE6" s="546">
        <f ca="1">ROUNDUP((OFFSET(Ventes!BF84,0,Hypothèses!$B$91)/Hypothèses!$B$51),0)</f>
        <v>7</v>
      </c>
      <c r="BF6" s="547">
        <f ca="1">ROUNDUP((OFFSET(Ventes!BG84,0,Hypothèses!$B$91)/Hypothèses!$B$51),0)</f>
        <v>7</v>
      </c>
      <c r="BG6" s="547">
        <f ca="1">ROUNDUP((OFFSET(Ventes!BH84,0,Hypothèses!$B$91)/Hypothèses!$B$51),0)</f>
        <v>7</v>
      </c>
      <c r="BH6" s="547">
        <f ca="1">ROUNDUP((OFFSET(Ventes!BI84,0,Hypothèses!$B$91)/Hypothèses!$B$51),0)</f>
        <v>7</v>
      </c>
      <c r="BI6" s="547">
        <f ca="1">ROUNDUP((OFFSET(Ventes!BJ84,0,Hypothèses!$B$91)/Hypothèses!$B$51),0)</f>
        <v>7</v>
      </c>
      <c r="BJ6" s="547">
        <f ca="1">ROUNDUP((OFFSET(Ventes!BK84,0,Hypothèses!$B$91)/Hypothèses!$B$51),0)</f>
        <v>7</v>
      </c>
      <c r="BK6" s="547">
        <f ca="1">ROUNDUP((OFFSET(Ventes!BL84,0,Hypothèses!$B$91)/Hypothèses!$B$51),0)</f>
        <v>8</v>
      </c>
      <c r="BL6" s="547">
        <f ca="1">ROUNDUP((OFFSET(Ventes!BM84,0,Hypothèses!$B$91)/Hypothèses!$B$51),0)</f>
        <v>8</v>
      </c>
      <c r="BM6" s="547">
        <f ca="1">ROUNDUP((OFFSET(Ventes!BN84,0,Hypothèses!$B$91)/Hypothèses!$B$51),0)</f>
        <v>8</v>
      </c>
      <c r="BN6" s="547">
        <f ca="1">ROUNDUP((OFFSET(Ventes!BO84,0,Hypothèses!$B$91)/Hypothèses!$B$51),0)</f>
        <v>8</v>
      </c>
      <c r="BO6" s="547">
        <f ca="1">ROUNDUP((OFFSET(Ventes!BP84,0,Hypothèses!$B$91)/Hypothèses!$B$51),0)</f>
        <v>8</v>
      </c>
      <c r="BP6" s="548">
        <f ca="1">ROUNDUP((OFFSET(Ventes!BQ84,0,Hypothèses!$B$91)/Hypothèses!$B$51),0)</f>
        <v>9</v>
      </c>
      <c r="BQ6" s="546">
        <f ca="1">ROUNDUP((OFFSET(Ventes!BR84,0,Hypothèses!$B$91)/Hypothèses!$B$51),0)</f>
        <v>19</v>
      </c>
      <c r="BR6" s="547">
        <f ca="1">ROUNDUP((OFFSET(Ventes!BS84,0,Hypothèses!$B$91)/Hypothèses!$B$51),0)</f>
        <v>19</v>
      </c>
      <c r="BS6" s="547">
        <f ca="1">ROUNDUP((OFFSET(Ventes!BT84,0,Hypothèses!$B$91)/Hypothèses!$B$51),0)</f>
        <v>19</v>
      </c>
      <c r="BT6" s="547">
        <f ca="1">ROUNDUP((OFFSET(Ventes!BU84,0,Hypothèses!$B$91)/Hypothèses!$B$51),0)</f>
        <v>20</v>
      </c>
      <c r="BU6" s="547">
        <f ca="1">ROUNDUP((OFFSET(Ventes!BV84,0,Hypothèses!$B$91)/Hypothèses!$B$51),0)</f>
        <v>20</v>
      </c>
      <c r="BV6" s="547">
        <f ca="1">ROUNDUP((OFFSET(Ventes!BW84,0,Hypothèses!$B$91)/Hypothèses!$B$51),0)</f>
        <v>20</v>
      </c>
      <c r="BW6" s="547">
        <f t="shared" ref="BW6:CB6" ca="1" si="1">BV6</f>
        <v>20</v>
      </c>
      <c r="BX6" s="547">
        <f t="shared" ca="1" si="1"/>
        <v>20</v>
      </c>
      <c r="BY6" s="547">
        <f t="shared" ca="1" si="1"/>
        <v>20</v>
      </c>
      <c r="BZ6" s="547">
        <f t="shared" ca="1" si="1"/>
        <v>20</v>
      </c>
      <c r="CA6" s="547">
        <f t="shared" ca="1" si="1"/>
        <v>20</v>
      </c>
      <c r="CB6" s="548">
        <f t="shared" ca="1" si="1"/>
        <v>20</v>
      </c>
    </row>
    <row r="7" spans="1:80" ht="15.75" customHeight="1" outlineLevel="1">
      <c r="A7" s="549" t="s">
        <v>414</v>
      </c>
      <c r="B7" s="550">
        <v>1.5</v>
      </c>
      <c r="C7" s="547">
        <f>$B$7+(Ventes!D42-Ventes!C42)*Hypothèses!$B$87/160+ROUNDUP(Hypothèses!$B$61/Hypothèses!$B$69,0)</f>
        <v>2.5161133490764067</v>
      </c>
      <c r="D7" s="547">
        <f>$B$7+(Ventes!E42-Ventes!D42)*Hypothèses!$B$87/160+ROUNDUP(Hypothèses!$B$61/Hypothèses!$B$69,0)</f>
        <v>2.5164971420025188</v>
      </c>
      <c r="E7" s="547">
        <f>$B$7+(Ventes!F42-Ventes!E42)*Hypothèses!$B$87/160+ROUNDUP(Hypothèses!$B$61/Hypothèses!$B$69,0)</f>
        <v>2.5168693963901396</v>
      </c>
      <c r="F7" s="547">
        <f>$B$7+(Ventes!G42-Ventes!F42)*Hypothèses!$B$87/160+ROUNDUP(Hypothèses!$B$61/Hypothèses!$B$69,0)</f>
        <v>2.5172304760950404</v>
      </c>
      <c r="G7" s="547">
        <f>$B$7+(Ventes!H42-Ventes!G42)*Hypothèses!$B$87/160+ROUNDUP(Hypothèses!$B$61/Hypothèses!$B$69,0)</f>
        <v>2.5175807322544026</v>
      </c>
      <c r="H7" s="547">
        <f>$B$7+(Ventes!I42-Ventes!H42)*Hypothèses!$B$87/160+ROUNDUP(Hypothèses!$B$61/Hypothèses!$B$69,0)</f>
        <v>2.5179205037775771</v>
      </c>
      <c r="I7" s="546">
        <f>$B$7+(Ventes!J42-Ventes!I42)*Hypothèses!$B$87/160+ROUNDUP(Hypothèses!$B$61/Hypothèses!$B$69,0)</f>
        <v>2.5455347184159876</v>
      </c>
      <c r="J7" s="547">
        <f ca="1">$B$7+(Ventes!K42-Ventes!J42)*Hypothèses!$B$87/160+ROUNDUP(Hypothèses!$B$61/Hypothèses!$B$69,0)</f>
        <v>2.5480806508645135</v>
      </c>
      <c r="K7" s="547">
        <f ca="1">$B$7+(Ventes!L42-Ventes!K42)*Hypothèses!$B$87/160+ROUNDUP(Hypothèses!$B$61/Hypothèses!$B$69,0)</f>
        <v>2.5424163522629226</v>
      </c>
      <c r="L7" s="547">
        <f ca="1">$B$7+(Ventes!M42-Ventes!L42)*Hypothèses!$B$87/160+ROUNDUP(Hypothèses!$B$61/Hypothèses!$B$69,0)</f>
        <v>2.5506531786048598</v>
      </c>
      <c r="M7" s="547">
        <f ca="1">$B$7+(Ventes!N42-Ventes!M42)*Hypothèses!$B$87/160+ROUNDUP(Hypothèses!$B$61/Hypothèses!$B$69,0)</f>
        <v>2.5521588939852631</v>
      </c>
      <c r="N7" s="547">
        <f ca="1">$B$7+(Ventes!O42-Ventes!N42)*Hypothèses!$B$87/160+ROUNDUP(Hypothèses!$B$61/Hypothèses!$B$69,0)</f>
        <v>2.553629815520563</v>
      </c>
      <c r="O7" s="547">
        <f ca="1">$B$7+(Ventes!P42-Ventes!O42)*Hypothèses!$B$87/160+ROUNDUP(Hypothèses!$B$61/Hypothèses!$B$69,0)</f>
        <v>2.5550667928943285</v>
      </c>
      <c r="P7" s="547">
        <f ca="1">$B$7+(Ventes!Q42-Ventes!P42)*Hypothèses!$B$87/160+ROUNDUP(Hypothèses!$B$61/Hypothèses!$B$69,0)</f>
        <v>2.561150543590978</v>
      </c>
      <c r="Q7" s="547">
        <f ca="1">$B$7+(Ventes!R42-Ventes!Q42)*Hypothèses!$B$87/160+ROUNDUP(Hypothèses!$B$61/Hypothèses!$B$69,0)</f>
        <v>2.5630088719792328</v>
      </c>
      <c r="R7" s="547">
        <f ca="1">$B$7+(Ventes!S42-Ventes!R42)*Hypothèses!$B$87/160+ROUNDUP(Hypothèses!$B$61/Hypothèses!$B$69,0)</f>
        <v>2.5648209357877576</v>
      </c>
      <c r="S7" s="547">
        <f ca="1">$B$7+(Ventes!T42-Ventes!S42)*Hypothèses!$B$87/160+ROUNDUP(Hypothèses!$B$61/Hypothèses!$B$69,0)</f>
        <v>2.56658799315937</v>
      </c>
      <c r="T7" s="548">
        <f ca="1">$B$7+(Ventes!U42-Ventes!T42)*Hypothèses!$B$87/160+ROUNDUP(Hypothèses!$B$61/Hypothèses!$B$69,0)</f>
        <v>2.5683112634383818</v>
      </c>
      <c r="U7" s="546">
        <f ca="1">$B$7+(Ventes!V42-Ventes!U42)*Hypothèses!$B$87/160+ROUNDUP(Hypothèses!$B$61/Hypothèses!$B$69,0)</f>
        <v>2.5890331364408392</v>
      </c>
      <c r="V7" s="547">
        <f ca="1">$B$7+(Ventes!W42-Ventes!V42)*Hypothèses!$B$87/160+ROUNDUP(Hypothèses!$B$61/Hypothèses!$B$69,0)</f>
        <v>2.5916884091038059</v>
      </c>
      <c r="W7" s="547">
        <f ca="1">$B$7+(Ventes!X42-Ventes!W42)*Hypothèses!$B$87/160+ROUNDUP(Hypothèses!$B$61/Hypothèses!$B$69,0)</f>
        <v>2.5942971731929738</v>
      </c>
      <c r="X7" s="547">
        <f ca="1">$B$7+(Ventes!Y42-Ventes!X42)*Hypothèses!$B$87/160+ROUNDUP(Hypothèses!$B$61/Hypothèses!$B$69,0)</f>
        <v>2.5968603066366347</v>
      </c>
      <c r="Y7" s="547">
        <f ca="1">$B$7+(Ventes!Z42-Ventes!Y42)*Hypothèses!$B$87/160+ROUNDUP(Hypothèses!$B$61/Hypothèses!$B$69,0)</f>
        <v>2.5993786689395986</v>
      </c>
      <c r="Z7" s="547">
        <f ca="1">$B$7+(Ventes!AA42-Ventes!Z42)*Hypothèses!$B$87/160+ROUNDUP(Hypothèses!$B$61/Hypothèses!$B$69,0)</f>
        <v>2.6018531016250535</v>
      </c>
      <c r="AA7" s="547">
        <f ca="1">$B$7+(Ventes!AB42-Ventes!AA42)*Hypothèses!$B$87/160+ROUNDUP(Hypothèses!$B$61/Hypothèses!$B$69,0)</f>
        <v>2.6042844286640849</v>
      </c>
      <c r="AB7" s="547">
        <f ca="1">$B$7+(Ventes!AC42-Ventes!AB42)*Hypothèses!$B$87/160+ROUNDUP(Hypothèses!$B$61/Hypothèses!$B$69,0)</f>
        <v>2.6111583522892925</v>
      </c>
      <c r="AC7" s="547">
        <f ca="1">$B$7+(Ventes!AD42-Ventes!AC42)*Hypothèses!$B$87/160+ROUNDUP(Hypothèses!$B$61/Hypothèses!$B$69,0)</f>
        <v>2.6138205164780581</v>
      </c>
      <c r="AD7" s="547">
        <f ca="1">$B$7+(Ventes!AE42-Ventes!AD42)*Hypothèses!$B$87/160+ROUNDUP(Hypothèses!$B$61/Hypothèses!$B$69,0)</f>
        <v>2.6164342556063405</v>
      </c>
      <c r="AE7" s="547">
        <f ca="1">$B$7+(Ventes!AF42-Ventes!AE42)*Hypothèses!$B$87/160+ROUNDUP(Hypothèses!$B$61/Hypothèses!$B$69,0)</f>
        <v>2.6190005552651678</v>
      </c>
      <c r="AF7" s="548">
        <f ca="1">$B$7+(Ventes!AG42-Ventes!AF42)*Hypothèses!$B$87/160+ROUNDUP(Hypothèses!$B$61/Hypothèses!$B$69,0)</f>
        <v>2.6215203776392642</v>
      </c>
      <c r="AG7" s="546">
        <f ca="1">$B$7+(Ventes!AH42-Ventes!AG42)*Hypothèses!$B$87/160+ROUNDUP(Hypothèses!$B$61/Hypothèses!$B$69,0)</f>
        <v>2.6070839663018748</v>
      </c>
      <c r="AH7" s="547">
        <f ca="1">$B$7+(Ventes!AI42-Ventes!AH42)*Hypothèses!$B$87/160+ROUNDUP(Hypothèses!$B$61/Hypothèses!$B$69,0)</f>
        <v>2.6091136941984439</v>
      </c>
      <c r="AI7" s="547">
        <f ca="1">$B$7+(Ventes!AJ42-Ventes!AI42)*Hypothèses!$B$87/160+ROUNDUP(Hypothèses!$B$61/Hypothèses!$B$69,0)</f>
        <v>2.6111160404353382</v>
      </c>
      <c r="AJ7" s="547">
        <f ca="1">$B$7+(Ventes!AK42-Ventes!AJ42)*Hypothèses!$B$87/160+ROUNDUP(Hypothèses!$B$61/Hypothèses!$B$69,0)</f>
        <v>2.6130913545885006</v>
      </c>
      <c r="AK7" s="547">
        <f ca="1">$B$7+(Ventes!AL42-Ventes!AK42)*Hypothèses!$B$87/160+ROUNDUP(Hypothèses!$B$61/Hypothèses!$B$69,0)</f>
        <v>2.6150399830487561</v>
      </c>
      <c r="AL7" s="547">
        <f ca="1">$B$7+(Ventes!AM42-Ventes!AL42)*Hypothèses!$B$87/160+ROUNDUP(Hypothèses!$B$61/Hypothèses!$B$69,0)</f>
        <v>2.6169622689898104</v>
      </c>
      <c r="AM7" s="547">
        <f ca="1">$B$7+(Ventes!AN42-Ventes!AM42)*Hypothèses!$B$87/160+ROUNDUP(Hypothèses!$B$61/Hypothèses!$B$69,0)</f>
        <v>2.6188585523396783</v>
      </c>
      <c r="AN7" s="547">
        <f ca="1">$B$7+(Ventes!AO42-Ventes!AN42)*Hypothèses!$B$87/160+ROUNDUP(Hypothèses!$B$61/Hypothèses!$B$69,0)</f>
        <v>2.6207291697554234</v>
      </c>
      <c r="AO7" s="547">
        <f ca="1">$B$7+(Ventes!AP42-Ventes!AO42)*Hypothèses!$B$87/160+ROUNDUP(Hypothèses!$B$61/Hypothèses!$B$69,0)</f>
        <v>2.6225744546009997</v>
      </c>
      <c r="AP7" s="547">
        <f ca="1">$B$7+(Ventes!AQ42-Ventes!AP42)*Hypothèses!$B$87/160+ROUNDUP(Hypothèses!$B$61/Hypothèses!$B$69,0)</f>
        <v>2.6243947369281235</v>
      </c>
      <c r="AQ7" s="547">
        <f ca="1">$B$7+(Ventes!AR42-Ventes!AQ42)*Hypothèses!$B$87/160+ROUNDUP(Hypothèses!$B$61/Hypothèses!$B$69,0)</f>
        <v>2.6261903434599558</v>
      </c>
      <c r="AR7" s="548">
        <f ca="1">$B$7+(Ventes!AS42-Ventes!AR42)*Hypothèses!$B$87/160+ROUNDUP(Hypothèses!$B$61/Hypothèses!$B$69,0)</f>
        <v>2.6279615975775252</v>
      </c>
      <c r="AS7" s="546">
        <f ca="1">$B$7+(Ventes!AT42-Ventes!AS42)*Hypothèses!$B$87/160+ROUNDUP(Hypothèses!$B$61/Hypothèses!$B$69,0)</f>
        <v>2.5805128033208513</v>
      </c>
      <c r="AT7" s="547">
        <f ca="1">$B$7+(Ventes!AU42-Ventes!AT42)*Hypothèses!$B$87/160+ROUNDUP(Hypothèses!$B$61/Hypothèses!$B$69,0)</f>
        <v>2.5809353909596502</v>
      </c>
      <c r="AU7" s="547">
        <f ca="1">$B$7+(Ventes!AV42-Ventes!AU42)*Hypothèses!$B$87/160+ROUNDUP(Hypothèses!$B$61/Hypothèses!$B$69,0)</f>
        <v>2.5813509820164917</v>
      </c>
      <c r="AV7" s="547">
        <f ca="1">$B$7+(Ventes!AW42-Ventes!AV42)*Hypothèses!$B$87/160+ROUNDUP(Hypothèses!$B$61/Hypothèses!$B$69,0)</f>
        <v>2.581759671509019</v>
      </c>
      <c r="AW7" s="547">
        <f ca="1">$B$7+(Ventes!AX42-Ventes!AW42)*Hypothèses!$B$87/160+ROUNDUP(Hypothèses!$B$61/Hypothèses!$B$69,0)</f>
        <v>2.5821615538009413</v>
      </c>
      <c r="AX7" s="547">
        <f ca="1">$B$7+(Ventes!AY42-Ventes!AX42)*Hypothèses!$B$87/160+ROUNDUP(Hypothèses!$B$61/Hypothèses!$B$69,0)</f>
        <v>2.5825567225739583</v>
      </c>
      <c r="AY7" s="547">
        <f ca="1">$B$7+(Ventes!AZ42-Ventes!AY42)*Hypothèses!$B$87/160+ROUNDUP(Hypothèses!$B$61/Hypothèses!$B$69,0)</f>
        <v>2.5829452708017042</v>
      </c>
      <c r="AZ7" s="547">
        <f ca="1">$B$7+(Ventes!BA42-Ventes!AZ42)*Hypothèses!$B$87/160+ROUNDUP(Hypothèses!$B$61/Hypothèses!$B$69,0)</f>
        <v>2.6018518586656953</v>
      </c>
      <c r="BA7" s="547">
        <f ca="1">$B$7+(Ventes!BB42-Ventes!BA42)*Hypothèses!$B$87/160+ROUNDUP(Hypothèses!$B$61/Hypothèses!$B$69,0)</f>
        <v>2.6022660752464994</v>
      </c>
      <c r="BB7" s="547">
        <f ca="1">$B$7+(Ventes!BC42-Ventes!BB42)*Hypothèses!$B$87/160+ROUNDUP(Hypothèses!$B$61/Hypothèses!$B$69,0)</f>
        <v>2.6026731520905129</v>
      </c>
      <c r="BC7" s="547">
        <f ca="1">$B$7+(Ventes!BD42-Ventes!BC42)*Hypothèses!$B$87/160+ROUNDUP(Hypothèses!$B$61/Hypothèses!$B$69,0)</f>
        <v>2.603073194694268</v>
      </c>
      <c r="BD7" s="548">
        <f ca="1">$B$7+(Ventes!BE42-Ventes!BD42)*Hypothèses!$B$87/160+ROUNDUP(Hypothèses!$B$61/Hypothèses!$B$69,0)</f>
        <v>2.6034663072824804</v>
      </c>
      <c r="BE7" s="546">
        <f ca="1">$B$7+(Ventes!BF42-Ventes!BE42)*Hypothèses!$B$87/160+ROUNDUP(Hypothèses!$B$61/Hypothèses!$B$69,0)</f>
        <v>2.5772955152760217</v>
      </c>
      <c r="BF7" s="547">
        <f ca="1">$B$7+(Ventes!BG42-Ventes!BF42)*Hypothèses!$B$87/160+ROUNDUP(Hypothèses!$B$61/Hypothèses!$B$69,0)</f>
        <v>2.5767319226576264</v>
      </c>
      <c r="BG7" s="547">
        <f ca="1">$B$7+(Ventes!BH42-Ventes!BG42)*Hypothèses!$B$87/160+ROUNDUP(Hypothèses!$B$61/Hypothèses!$B$69,0)</f>
        <v>2.644422958732334</v>
      </c>
      <c r="BH7" s="547">
        <f ca="1">$B$7+(Ventes!BI42-Ventes!BH42)*Hypothèses!$B$87/160+ROUNDUP(Hypothèses!$B$61/Hypothèses!$B$69,0)</f>
        <v>2.6431894965145708</v>
      </c>
      <c r="BI7" s="547">
        <f ca="1">$B$7+(Ventes!BJ42-Ventes!BI42)*Hypothèses!$B$87/160+ROUNDUP(Hypothèses!$B$61/Hypothèses!$B$69,0)</f>
        <v>2.7102198458279809</v>
      </c>
      <c r="BJ7" s="547">
        <f ca="1">$B$7+(Ventes!BK42-Ventes!BJ42)*Hypothèses!$B$87/160+ROUNDUP(Hypothèses!$B$61/Hypothèses!$B$69,0)</f>
        <v>2.7765949510241255</v>
      </c>
      <c r="BK7" s="547">
        <f ca="1">$B$7+(Ventes!BL42-Ventes!BK42)*Hypothèses!$B$87/160+ROUNDUP(Hypothèses!$B$61/Hypothèses!$B$69,0)</f>
        <v>2.7740737080754245</v>
      </c>
      <c r="BL7" s="547">
        <f ca="1">$B$7+(Ventes!BM42-Ventes!BL42)*Hypothèses!$B$87/160+ROUNDUP(Hypothèses!$B$61/Hypothèses!$B$69,0)</f>
        <v>3.0842744294200108</v>
      </c>
      <c r="BM7" s="547">
        <f ca="1">$B$7+(Ventes!BN42-Ventes!BM42)*Hypothèses!$B$87/160+ROUNDUP(Hypothèses!$B$61/Hypothèses!$B$69,0)</f>
        <v>3.0786603282231768</v>
      </c>
      <c r="BN7" s="547">
        <f ca="1">$B$7+(Ventes!BO42-Ventes!BN42)*Hypothèses!$B$87/160+ROUNDUP(Hypothèses!$B$61/Hypothèses!$B$69,0)</f>
        <v>3.0731195635289295</v>
      </c>
      <c r="BO7" s="547">
        <f ca="1">$B$7+(Ventes!BP42-Ventes!BO42)*Hypothèses!$B$87/160+ROUNDUP(Hypothèses!$B$61/Hypothèses!$B$69,0)</f>
        <v>3.0676508639333875</v>
      </c>
      <c r="BP7" s="548">
        <f ca="1">$B$7+(Ventes!BQ42-Ventes!BP42)*Hypothèses!$B$87/160+ROUNDUP(Hypothèses!$B$61/Hypothèses!$B$69,0)</f>
        <v>3.0622529849183082</v>
      </c>
      <c r="BQ7" s="546">
        <f ca="1">$B$7+(Ventes!BR42-Ventes!BQ42)*Hypothèses!$B$87/160+ROUNDUP(Hypothèses!$B$61/Hypothèses!$B$69,0)</f>
        <v>3.0559456405950511</v>
      </c>
      <c r="BR7" s="547">
        <f ca="1">$B$7+(Ventes!BS42-Ventes!BR42)*Hypothèses!$B$87/160+ROUNDUP(Hypothèses!$B$61/Hypothèses!$B$69,0)</f>
        <v>3.0847046339893227</v>
      </c>
      <c r="BS7" s="547">
        <f ca="1">$B$7+(Ventes!BT42-Ventes!BS42)*Hypothèses!$B$87/160+ROUNDUP(Hypothèses!$B$61/Hypothèses!$B$69,0)</f>
        <v>3.0790563617753279</v>
      </c>
      <c r="BT7" s="547">
        <f ca="1">$B$7+(Ventes!BU42-Ventes!BT42)*Hypothèses!$B$87/160+ROUNDUP(Hypothèses!$B$61/Hypothèses!$B$69,0)</f>
        <v>3.1076023772854113</v>
      </c>
      <c r="BU7" s="547">
        <f ca="1">$B$7+(Ventes!BV42-Ventes!BU42)*Hypothèses!$B$87/160+ROUNDUP(Hypothèses!$B$61/Hypothèses!$B$69,0)</f>
        <v>3.1017435828383539</v>
      </c>
      <c r="BV7" s="547">
        <f ca="1">$B$7+(Ventes!BW42-Ventes!BV42)*Hypothèses!$B$87/160+ROUNDUP(Hypothèses!$B$61/Hypothèses!$B$69,0)</f>
        <v>3.0959564979223586</v>
      </c>
      <c r="BW7" s="547">
        <f ca="1">$B$7+(Ventes!BX42-Ventes!BW42)*Hypothèses!$B$87/160+ROUNDUP(Hypothèses!$B$61/Hypothèses!$B$69,0)</f>
        <v>3.1926150665473658</v>
      </c>
      <c r="BX7" s="547">
        <f ca="1">$B$7+(Ventes!BY42-Ventes!BX42)*Hypothèses!$B$87/160+ROUNDUP(Hypothèses!$B$61/Hypothèses!$B$69,0)</f>
        <v>4.1241539283197026</v>
      </c>
      <c r="BY7" s="547">
        <f ca="1">$B$7+(Ventes!BZ42-Ventes!BY42)*Hypothèses!$B$87/160+ROUNDUP(Hypothèses!$B$61/Hypothèses!$B$69,0)</f>
        <v>4.1422063541155207</v>
      </c>
      <c r="BZ7" s="547">
        <f ca="1">$B$7+(Ventes!CA42-Ventes!BZ42)*Hypothèses!$B$87/160+ROUNDUP(Hypothèses!$B$61/Hypothèses!$B$69,0)</f>
        <v>4.1259989220408215</v>
      </c>
      <c r="CA7" s="547">
        <f ca="1">$B$7+(Ventes!CB42-Ventes!CA42)*Hypothèses!$B$87/160+ROUNDUP(Hypothèses!$B$61/Hypothèses!$B$69,0)</f>
        <v>4.1782439921540746</v>
      </c>
      <c r="CB7" s="548">
        <f ca="1">$B$7+(Ventes!CC42-Ventes!CB42)*Hypothèses!$B$87/160+ROUNDUP(Hypothèses!$B$61/Hypothèses!$B$69,0)</f>
        <v>4.1617423831830962</v>
      </c>
    </row>
    <row r="8" spans="1:80" ht="15.75" customHeight="1">
      <c r="A8" s="551" t="s">
        <v>415</v>
      </c>
      <c r="B8" s="552">
        <f t="shared" ref="B8:CB8" si="2">SUM(B9:B12)</f>
        <v>6.0500000000000007</v>
      </c>
      <c r="C8" s="553">
        <f t="shared" si="2"/>
        <v>6.5500000000000007</v>
      </c>
      <c r="D8" s="553">
        <f t="shared" si="2"/>
        <v>6.5500000000000007</v>
      </c>
      <c r="E8" s="553">
        <f t="shared" si="2"/>
        <v>6.5500000000000007</v>
      </c>
      <c r="F8" s="553">
        <f t="shared" si="2"/>
        <v>6.5500000000000007</v>
      </c>
      <c r="G8" s="553">
        <f t="shared" si="2"/>
        <v>6.5500000000000007</v>
      </c>
      <c r="H8" s="554">
        <f t="shared" si="2"/>
        <v>6.5500000000000007</v>
      </c>
      <c r="I8" s="552">
        <f t="shared" si="2"/>
        <v>6.5500000000000007</v>
      </c>
      <c r="J8" s="553">
        <f t="shared" si="2"/>
        <v>6.5500000000000007</v>
      </c>
      <c r="K8" s="553">
        <f t="shared" ca="1" si="2"/>
        <v>10.8</v>
      </c>
      <c r="L8" s="553">
        <f t="shared" ca="1" si="2"/>
        <v>10.8</v>
      </c>
      <c r="M8" s="553">
        <f t="shared" ca="1" si="2"/>
        <v>10.8</v>
      </c>
      <c r="N8" s="553">
        <f t="shared" ca="1" si="2"/>
        <v>10.8</v>
      </c>
      <c r="O8" s="553">
        <f t="shared" ca="1" si="2"/>
        <v>10.8</v>
      </c>
      <c r="P8" s="553">
        <f t="shared" ca="1" si="2"/>
        <v>10.8</v>
      </c>
      <c r="Q8" s="553">
        <f t="shared" ca="1" si="2"/>
        <v>10.8</v>
      </c>
      <c r="R8" s="553">
        <f t="shared" ca="1" si="2"/>
        <v>10.8</v>
      </c>
      <c r="S8" s="553">
        <f t="shared" ca="1" si="2"/>
        <v>10.8</v>
      </c>
      <c r="T8" s="554">
        <f t="shared" ca="1" si="2"/>
        <v>6.5500000000000007</v>
      </c>
      <c r="U8" s="552">
        <f t="shared" ca="1" si="2"/>
        <v>10.8</v>
      </c>
      <c r="V8" s="553">
        <f t="shared" ca="1" si="2"/>
        <v>10.8</v>
      </c>
      <c r="W8" s="553">
        <f t="shared" ca="1" si="2"/>
        <v>10.8</v>
      </c>
      <c r="X8" s="553">
        <f t="shared" ca="1" si="2"/>
        <v>10.8</v>
      </c>
      <c r="Y8" s="553">
        <f t="shared" ca="1" si="2"/>
        <v>10.8</v>
      </c>
      <c r="Z8" s="553">
        <f t="shared" ca="1" si="2"/>
        <v>10.8</v>
      </c>
      <c r="AA8" s="553">
        <f t="shared" ca="1" si="2"/>
        <v>10.8</v>
      </c>
      <c r="AB8" s="553">
        <f t="shared" ca="1" si="2"/>
        <v>10.8</v>
      </c>
      <c r="AC8" s="553">
        <f t="shared" ca="1" si="2"/>
        <v>10.8</v>
      </c>
      <c r="AD8" s="553">
        <f t="shared" ca="1" si="2"/>
        <v>10.8</v>
      </c>
      <c r="AE8" s="553">
        <f t="shared" ca="1" si="2"/>
        <v>10.8</v>
      </c>
      <c r="AF8" s="554">
        <f t="shared" ca="1" si="2"/>
        <v>10.8</v>
      </c>
      <c r="AG8" s="552">
        <f t="shared" ca="1" si="2"/>
        <v>10.8</v>
      </c>
      <c r="AH8" s="553">
        <f t="shared" ca="1" si="2"/>
        <v>10.8</v>
      </c>
      <c r="AI8" s="553">
        <f t="shared" ca="1" si="2"/>
        <v>10.8</v>
      </c>
      <c r="AJ8" s="553">
        <f t="shared" ca="1" si="2"/>
        <v>10.8</v>
      </c>
      <c r="AK8" s="553">
        <f t="shared" ca="1" si="2"/>
        <v>10.8</v>
      </c>
      <c r="AL8" s="553">
        <f t="shared" ca="1" si="2"/>
        <v>10.8</v>
      </c>
      <c r="AM8" s="553">
        <f t="shared" ca="1" si="2"/>
        <v>10.8</v>
      </c>
      <c r="AN8" s="553">
        <f t="shared" ca="1" si="2"/>
        <v>10.8</v>
      </c>
      <c r="AO8" s="553">
        <f t="shared" ca="1" si="2"/>
        <v>10.8</v>
      </c>
      <c r="AP8" s="553">
        <f t="shared" ca="1" si="2"/>
        <v>10.8</v>
      </c>
      <c r="AQ8" s="553">
        <f t="shared" ca="1" si="2"/>
        <v>10.8</v>
      </c>
      <c r="AR8" s="554">
        <f t="shared" ca="1" si="2"/>
        <v>10.8</v>
      </c>
      <c r="AS8" s="552">
        <f t="shared" ca="1" si="2"/>
        <v>6.5500000000000007</v>
      </c>
      <c r="AT8" s="553">
        <f t="shared" ca="1" si="2"/>
        <v>6.5500000000000007</v>
      </c>
      <c r="AU8" s="553">
        <f t="shared" ca="1" si="2"/>
        <v>6.5500000000000007</v>
      </c>
      <c r="AV8" s="553">
        <f t="shared" ca="1" si="2"/>
        <v>6.5500000000000007</v>
      </c>
      <c r="AW8" s="553">
        <f t="shared" ca="1" si="2"/>
        <v>6.5500000000000007</v>
      </c>
      <c r="AX8" s="553">
        <f t="shared" ca="1" si="2"/>
        <v>6.5500000000000007</v>
      </c>
      <c r="AY8" s="553">
        <f t="shared" ca="1" si="2"/>
        <v>6.5500000000000007</v>
      </c>
      <c r="AZ8" s="553">
        <f t="shared" ca="1" si="2"/>
        <v>6.5500000000000007</v>
      </c>
      <c r="BA8" s="553">
        <f t="shared" ca="1" si="2"/>
        <v>9.8000000000000007</v>
      </c>
      <c r="BB8" s="553">
        <f t="shared" ca="1" si="2"/>
        <v>9.8000000000000007</v>
      </c>
      <c r="BC8" s="553">
        <f t="shared" ca="1" si="2"/>
        <v>9.8000000000000007</v>
      </c>
      <c r="BD8" s="554">
        <f t="shared" ca="1" si="2"/>
        <v>9.8000000000000007</v>
      </c>
      <c r="BE8" s="552">
        <f t="shared" ca="1" si="2"/>
        <v>9.8000000000000007</v>
      </c>
      <c r="BF8" s="553">
        <f t="shared" ca="1" si="2"/>
        <v>12.100000000000001</v>
      </c>
      <c r="BG8" s="553">
        <f t="shared" ca="1" si="2"/>
        <v>12.100000000000001</v>
      </c>
      <c r="BH8" s="553">
        <f t="shared" ca="1" si="2"/>
        <v>12.100000000000001</v>
      </c>
      <c r="BI8" s="553">
        <f t="shared" ca="1" si="2"/>
        <v>12.100000000000001</v>
      </c>
      <c r="BJ8" s="553">
        <f t="shared" ca="1" si="2"/>
        <v>12.100000000000001</v>
      </c>
      <c r="BK8" s="553">
        <f t="shared" ca="1" si="2"/>
        <v>12.100000000000001</v>
      </c>
      <c r="BL8" s="553">
        <f t="shared" ca="1" si="2"/>
        <v>12.100000000000001</v>
      </c>
      <c r="BM8" s="553">
        <f t="shared" ca="1" si="2"/>
        <v>15.350000000000001</v>
      </c>
      <c r="BN8" s="553">
        <f t="shared" ca="1" si="2"/>
        <v>15.350000000000001</v>
      </c>
      <c r="BO8" s="553">
        <f t="shared" ca="1" si="2"/>
        <v>15.350000000000001</v>
      </c>
      <c r="BP8" s="554">
        <f t="shared" ca="1" si="2"/>
        <v>15.350000000000001</v>
      </c>
      <c r="BQ8" s="552">
        <f t="shared" ca="1" si="2"/>
        <v>15.350000000000001</v>
      </c>
      <c r="BR8" s="553">
        <f t="shared" ca="1" si="2"/>
        <v>15.350000000000001</v>
      </c>
      <c r="BS8" s="553">
        <f t="shared" ca="1" si="2"/>
        <v>15.350000000000001</v>
      </c>
      <c r="BT8" s="553">
        <f t="shared" ca="1" si="2"/>
        <v>15.350000000000001</v>
      </c>
      <c r="BU8" s="553">
        <f t="shared" ca="1" si="2"/>
        <v>15.350000000000001</v>
      </c>
      <c r="BV8" s="553">
        <f t="shared" ca="1" si="2"/>
        <v>15.350000000000001</v>
      </c>
      <c r="BW8" s="553">
        <f t="shared" ca="1" si="2"/>
        <v>15.350000000000001</v>
      </c>
      <c r="BX8" s="553">
        <f t="shared" ca="1" si="2"/>
        <v>15.350000000000001</v>
      </c>
      <c r="BY8" s="553">
        <f t="shared" ca="1" si="2"/>
        <v>21.85</v>
      </c>
      <c r="BZ8" s="553">
        <f t="shared" ca="1" si="2"/>
        <v>22.85</v>
      </c>
      <c r="CA8" s="553">
        <f t="shared" ca="1" si="2"/>
        <v>22.85</v>
      </c>
      <c r="CB8" s="554">
        <f t="shared" ca="1" si="2"/>
        <v>22.85</v>
      </c>
    </row>
    <row r="9" spans="1:80" ht="15.75" customHeight="1" outlineLevel="1">
      <c r="A9" s="549" t="s">
        <v>416</v>
      </c>
      <c r="B9" s="546">
        <f>IF(AND(B$4&gt;='Annexe C  Plan produit'!$H$17,B4&lt;'Annexe C  Plan produit'!$I$17),SUM('Annexe C  Plan produit'!$K$17:$M$17),0)+IF(AND(B$4&gt;='Annexe C  Plan produit'!$H$18,B4&lt;'Annexe C  Plan produit'!$I$18),SUM('Annexe C  Plan produit'!$K$18:$M$18),0)+IF(AND(B$4&gt;='Annexe C  Plan produit'!$H$19,B4&lt;'Annexe C  Plan produit'!$I$19),SUM('Annexe C  Plan produit'!$K$19:$M$19),0)+IF(AND(B$4&gt;='Annexe C  Plan produit'!$H$20,B4&lt;'Annexe C  Plan produit'!$I$20),SUM('Annexe C  Plan produit'!$K$20:$M$21),0)+IF(AND(B$4&gt;='Annexe C  Plan produit'!$H$21,B4&lt;'Annexe C  Plan produit'!$I$21),SUM('Annexe C  Plan produit'!$K$21:$M$21),0)</f>
        <v>3.25</v>
      </c>
      <c r="C9" s="547">
        <f>IF(AND(C$4&gt;='Annexe C  Plan produit'!$H$17,C4&lt;'Annexe C  Plan produit'!$I$17),SUM('Annexe C  Plan produit'!$K$17:$M$17),0)+IF(AND(C$4&gt;='Annexe C  Plan produit'!$H$18,C4&lt;'Annexe C  Plan produit'!$I$18),SUM('Annexe C  Plan produit'!$K$18:$M$18),0)+IF(AND(C$4&gt;='Annexe C  Plan produit'!$H$19,C4&lt;'Annexe C  Plan produit'!$I$19),SUM('Annexe C  Plan produit'!$K$19:$M$19),0)+IF(AND(C$4&gt;='Annexe C  Plan produit'!$H$20,C4&lt;'Annexe C  Plan produit'!$I$20),SUM('Annexe C  Plan produit'!$K$20:$M$21),0)+IF(AND(C$4&gt;='Annexe C  Plan produit'!$H$21,C4&lt;'Annexe C  Plan produit'!$I$21),SUM('Annexe C  Plan produit'!$K$21:$M$21),0)</f>
        <v>3.25</v>
      </c>
      <c r="D9" s="547">
        <f>IF(AND(D$4&gt;='Annexe C  Plan produit'!$H$17,D4&lt;'Annexe C  Plan produit'!$I$17),SUM('Annexe C  Plan produit'!$K$17:$M$17),0)+IF(AND(D$4&gt;='Annexe C  Plan produit'!$H$18,D4&lt;'Annexe C  Plan produit'!$I$18),SUM('Annexe C  Plan produit'!$K$18:$M$18),0)+IF(AND(D$4&gt;='Annexe C  Plan produit'!$H$19,D4&lt;'Annexe C  Plan produit'!$I$19),SUM('Annexe C  Plan produit'!$K$19:$M$19),0)+IF(AND(D$4&gt;='Annexe C  Plan produit'!$H$20,D4&lt;'Annexe C  Plan produit'!$I$20),SUM('Annexe C  Plan produit'!$K$20:$M$21),0)+IF(AND(D$4&gt;='Annexe C  Plan produit'!$H$21,D4&lt;'Annexe C  Plan produit'!$I$21),SUM('Annexe C  Plan produit'!$K$21:$M$21),0)</f>
        <v>3.25</v>
      </c>
      <c r="E9" s="547">
        <f>IF(AND(E$4&gt;='Annexe C  Plan produit'!$H$17,E4&lt;'Annexe C  Plan produit'!$I$17),SUM('Annexe C  Plan produit'!$K$17:$M$17),0)+IF(AND(E$4&gt;='Annexe C  Plan produit'!$H$18,E4&lt;'Annexe C  Plan produit'!$I$18),SUM('Annexe C  Plan produit'!$K$18:$M$18),0)+IF(AND(E$4&gt;='Annexe C  Plan produit'!$H$19,E4&lt;'Annexe C  Plan produit'!$I$19),SUM('Annexe C  Plan produit'!$K$19:$M$19),0)+IF(AND(E$4&gt;='Annexe C  Plan produit'!$H$20,E4&lt;'Annexe C  Plan produit'!$I$20),SUM('Annexe C  Plan produit'!$K$20:$M$21),0)+IF(AND(E$4&gt;='Annexe C  Plan produit'!$H$21,E4&lt;'Annexe C  Plan produit'!$I$21),SUM('Annexe C  Plan produit'!$K$21:$M$21),0)</f>
        <v>3.25</v>
      </c>
      <c r="F9" s="547">
        <f>IF(AND(F$4&gt;='Annexe C  Plan produit'!$H$17,F4&lt;'Annexe C  Plan produit'!$I$17),SUM('Annexe C  Plan produit'!$K$17:$M$17),0)+IF(AND(F$4&gt;='Annexe C  Plan produit'!$H$18,F4&lt;'Annexe C  Plan produit'!$I$18),SUM('Annexe C  Plan produit'!$K$18:$M$18),0)+IF(AND(F$4&gt;='Annexe C  Plan produit'!$H$19,F4&lt;'Annexe C  Plan produit'!$I$19),SUM('Annexe C  Plan produit'!$K$19:$M$19),0)+IF(AND(F$4&gt;='Annexe C  Plan produit'!$H$20,F4&lt;'Annexe C  Plan produit'!$I$20),SUM('Annexe C  Plan produit'!$K$20:$M$21),0)+IF(AND(F$4&gt;='Annexe C  Plan produit'!$H$21,F4&lt;'Annexe C  Plan produit'!$I$21),SUM('Annexe C  Plan produit'!$K$21:$M$21),0)</f>
        <v>3.25</v>
      </c>
      <c r="G9" s="547">
        <f>IF(AND(G$4&gt;='Annexe C  Plan produit'!$H$17,G4&lt;'Annexe C  Plan produit'!$I$17),SUM('Annexe C  Plan produit'!$K$17:$M$17),0)+IF(AND(G$4&gt;='Annexe C  Plan produit'!$H$18,G4&lt;'Annexe C  Plan produit'!$I$18),SUM('Annexe C  Plan produit'!$K$18:$M$18),0)+IF(AND(G$4&gt;='Annexe C  Plan produit'!$H$19,G4&lt;'Annexe C  Plan produit'!$I$19),SUM('Annexe C  Plan produit'!$K$19:$M$19),0)+IF(AND(G$4&gt;='Annexe C  Plan produit'!$H$20,G4&lt;'Annexe C  Plan produit'!$I$20),SUM('Annexe C  Plan produit'!$K$20:$M$21),0)+IF(AND(G$4&gt;='Annexe C  Plan produit'!$H$21,G4&lt;'Annexe C  Plan produit'!$I$21),SUM('Annexe C  Plan produit'!$K$21:$M$21),0)</f>
        <v>3.25</v>
      </c>
      <c r="H9" s="548">
        <f>IF(AND(H$4&gt;='Annexe C  Plan produit'!$H$17,H4&lt;'Annexe C  Plan produit'!$I$17),SUM('Annexe C  Plan produit'!$K$17:$M$17),0)+IF(AND(H$4&gt;='Annexe C  Plan produit'!$H$18,H4&lt;'Annexe C  Plan produit'!$I$18),SUM('Annexe C  Plan produit'!$K$18:$M$18),0)+IF(AND(H$4&gt;='Annexe C  Plan produit'!$H$19,H4&lt;'Annexe C  Plan produit'!$I$19),SUM('Annexe C  Plan produit'!$K$19:$M$19),0)+IF(AND(H$4&gt;='Annexe C  Plan produit'!$H$20,H4&lt;'Annexe C  Plan produit'!$I$20),SUM('Annexe C  Plan produit'!$K$20:$M$21),0)+IF(AND(H$4&gt;='Annexe C  Plan produit'!$H$21,H4&lt;'Annexe C  Plan produit'!$I$21),SUM('Annexe C  Plan produit'!$K$21:$M$21),0)</f>
        <v>3.25</v>
      </c>
      <c r="I9" s="546">
        <f>IF(AND(I$4&gt;='Annexe C  Plan produit'!$H$17,I4&lt;'Annexe C  Plan produit'!$I$17),SUM('Annexe C  Plan produit'!$K$17:$M$17),0)+IF(AND(I$4&gt;='Annexe C  Plan produit'!$H$18,I4&lt;'Annexe C  Plan produit'!$I$18),SUM('Annexe C  Plan produit'!$K$18:$M$18),0)+IF(AND(I$4&gt;='Annexe C  Plan produit'!$H$19,I4&lt;'Annexe C  Plan produit'!$I$19),SUM('Annexe C  Plan produit'!$K$19:$M$19),0)+IF(AND(I$4&gt;='Annexe C  Plan produit'!$H$20,I4&lt;'Annexe C  Plan produit'!$I$20),SUM('Annexe C  Plan produit'!$K$20:$M$21),0)+IF(AND(I$4&gt;='Annexe C  Plan produit'!$H$21,I4&lt;'Annexe C  Plan produit'!$I$21),SUM('Annexe C  Plan produit'!$K$21:$M$21),0)</f>
        <v>3.25</v>
      </c>
      <c r="J9" s="547">
        <f>IF(AND(J$4&gt;='Annexe C  Plan produit'!$H$17,J4&lt;'Annexe C  Plan produit'!$I$17),SUM('Annexe C  Plan produit'!$K$17:$M$17),0)+IF(AND(J$4&gt;='Annexe C  Plan produit'!$H$18,J4&lt;'Annexe C  Plan produit'!$I$18),SUM('Annexe C  Plan produit'!$K$18:$M$18),0)+IF(AND(J$4&gt;='Annexe C  Plan produit'!$H$19,J4&lt;'Annexe C  Plan produit'!$I$19),SUM('Annexe C  Plan produit'!$K$19:$M$19),0)+IF(AND(J$4&gt;='Annexe C  Plan produit'!$H$20,J4&lt;'Annexe C  Plan produit'!$I$20),SUM('Annexe C  Plan produit'!$K$20:$M$21),0)+IF(AND(J$4&gt;='Annexe C  Plan produit'!$H$21,J4&lt;'Annexe C  Plan produit'!$I$21),SUM('Annexe C  Plan produit'!$K$21:$M$21),0)</f>
        <v>3.25</v>
      </c>
      <c r="K9" s="547">
        <f>IF(AND(K$4&gt;='Annexe C  Plan produit'!$H$17,K4&lt;'Annexe C  Plan produit'!$I$17),SUM('Annexe C  Plan produit'!$K$17:$M$17),0)+IF(AND(K$4&gt;='Annexe C  Plan produit'!$H$18,K4&lt;'Annexe C  Plan produit'!$I$18),SUM('Annexe C  Plan produit'!$K$18:$M$18),0)+IF(AND(K$4&gt;='Annexe C  Plan produit'!$H$19,K4&lt;'Annexe C  Plan produit'!$I$19),SUM('Annexe C  Plan produit'!$K$19:$M$19),0)+IF(AND(K$4&gt;='Annexe C  Plan produit'!$H$20,K4&lt;'Annexe C  Plan produit'!$I$20),SUM('Annexe C  Plan produit'!$K$20:$M$21),0)+IF(AND(K$4&gt;='Annexe C  Plan produit'!$H$21,K4&lt;'Annexe C  Plan produit'!$I$21),SUM('Annexe C  Plan produit'!$K$21:$M$21),0)</f>
        <v>3.25</v>
      </c>
      <c r="L9" s="547">
        <f>IF(AND(L$4&gt;='Annexe C  Plan produit'!$H$17,L4&lt;'Annexe C  Plan produit'!$I$17),SUM('Annexe C  Plan produit'!$K$17:$M$17),0)+IF(AND(L$4&gt;='Annexe C  Plan produit'!$H$18,L4&lt;'Annexe C  Plan produit'!$I$18),SUM('Annexe C  Plan produit'!$K$18:$M$18),0)+IF(AND(L$4&gt;='Annexe C  Plan produit'!$H$19,L4&lt;'Annexe C  Plan produit'!$I$19),SUM('Annexe C  Plan produit'!$K$19:$M$19),0)+IF(AND(L$4&gt;='Annexe C  Plan produit'!$H$20,L4&lt;'Annexe C  Plan produit'!$I$20),SUM('Annexe C  Plan produit'!$K$20:$M$21),0)+IF(AND(L$4&gt;='Annexe C  Plan produit'!$H$21,L4&lt;'Annexe C  Plan produit'!$I$21),SUM('Annexe C  Plan produit'!$K$21:$M$21),0)</f>
        <v>3.25</v>
      </c>
      <c r="M9" s="547">
        <f>IF(AND(M$4&gt;='Annexe C  Plan produit'!$H$17,M4&lt;'Annexe C  Plan produit'!$I$17),SUM('Annexe C  Plan produit'!$K$17:$M$17),0)+IF(AND(M$4&gt;='Annexe C  Plan produit'!$H$18,M4&lt;'Annexe C  Plan produit'!$I$18),SUM('Annexe C  Plan produit'!$K$18:$M$18),0)+IF(AND(M$4&gt;='Annexe C  Plan produit'!$H$19,M4&lt;'Annexe C  Plan produit'!$I$19),SUM('Annexe C  Plan produit'!$K$19:$M$19),0)+IF(AND(M$4&gt;='Annexe C  Plan produit'!$H$20,M4&lt;'Annexe C  Plan produit'!$I$20),SUM('Annexe C  Plan produit'!$K$20:$M$21),0)+IF(AND(M$4&gt;='Annexe C  Plan produit'!$H$21,M4&lt;'Annexe C  Plan produit'!$I$21),SUM('Annexe C  Plan produit'!$K$21:$M$21),0)</f>
        <v>3.25</v>
      </c>
      <c r="N9" s="547">
        <f>IF(AND(N$4&gt;='Annexe C  Plan produit'!$H$17,N4&lt;'Annexe C  Plan produit'!$I$17),SUM('Annexe C  Plan produit'!$K$17:$M$17),0)+IF(AND(N$4&gt;='Annexe C  Plan produit'!$H$18,N4&lt;'Annexe C  Plan produit'!$I$18),SUM('Annexe C  Plan produit'!$K$18:$M$18),0)+IF(AND(N$4&gt;='Annexe C  Plan produit'!$H$19,N4&lt;'Annexe C  Plan produit'!$I$19),SUM('Annexe C  Plan produit'!$K$19:$M$19),0)+IF(AND(N$4&gt;='Annexe C  Plan produit'!$H$20,N4&lt;'Annexe C  Plan produit'!$I$20),SUM('Annexe C  Plan produit'!$K$20:$M$21),0)+IF(AND(N$4&gt;='Annexe C  Plan produit'!$H$21,N4&lt;'Annexe C  Plan produit'!$I$21),SUM('Annexe C  Plan produit'!$K$21:$M$21),0)</f>
        <v>3.25</v>
      </c>
      <c r="O9" s="547">
        <f>IF(AND(O$4&gt;='Annexe C  Plan produit'!$H$17,O4&lt;'Annexe C  Plan produit'!$I$17),SUM('Annexe C  Plan produit'!$K$17:$M$17),0)+IF(AND(O$4&gt;='Annexe C  Plan produit'!$H$18,O4&lt;'Annexe C  Plan produit'!$I$18),SUM('Annexe C  Plan produit'!$K$18:$M$18),0)+IF(AND(O$4&gt;='Annexe C  Plan produit'!$H$19,O4&lt;'Annexe C  Plan produit'!$I$19),SUM('Annexe C  Plan produit'!$K$19:$M$19),0)+IF(AND(O$4&gt;='Annexe C  Plan produit'!$H$20,O4&lt;'Annexe C  Plan produit'!$I$20),SUM('Annexe C  Plan produit'!$K$20:$M$21),0)+IF(AND(O$4&gt;='Annexe C  Plan produit'!$H$21,O4&lt;'Annexe C  Plan produit'!$I$21),SUM('Annexe C  Plan produit'!$K$21:$M$21),0)</f>
        <v>3.25</v>
      </c>
      <c r="P9" s="547">
        <f>IF(AND(P$4&gt;='Annexe C  Plan produit'!$H$17,P4&lt;'Annexe C  Plan produit'!$I$17),SUM('Annexe C  Plan produit'!$K$17:$M$17),0)+IF(AND(P$4&gt;='Annexe C  Plan produit'!$H$18,P4&lt;'Annexe C  Plan produit'!$I$18),SUM('Annexe C  Plan produit'!$K$18:$M$18),0)+IF(AND(P$4&gt;='Annexe C  Plan produit'!$H$19,P4&lt;'Annexe C  Plan produit'!$I$19),SUM('Annexe C  Plan produit'!$K$19:$M$19),0)+IF(AND(P$4&gt;='Annexe C  Plan produit'!$H$20,P4&lt;'Annexe C  Plan produit'!$I$20),SUM('Annexe C  Plan produit'!$K$20:$M$21),0)+IF(AND(P$4&gt;='Annexe C  Plan produit'!$H$21,P4&lt;'Annexe C  Plan produit'!$I$21),SUM('Annexe C  Plan produit'!$K$21:$M$21),0)</f>
        <v>3.25</v>
      </c>
      <c r="Q9" s="547">
        <f>IF(AND(Q$4&gt;='Annexe C  Plan produit'!$H$17,Q4&lt;'Annexe C  Plan produit'!$I$17),SUM('Annexe C  Plan produit'!$K$17:$M$17),0)+IF(AND(Q$4&gt;='Annexe C  Plan produit'!$H$18,Q4&lt;'Annexe C  Plan produit'!$I$18),SUM('Annexe C  Plan produit'!$K$18:$M$18),0)+IF(AND(Q$4&gt;='Annexe C  Plan produit'!$H$19,Q4&lt;'Annexe C  Plan produit'!$I$19),SUM('Annexe C  Plan produit'!$K$19:$M$19),0)+IF(AND(Q$4&gt;='Annexe C  Plan produit'!$H$20,Q4&lt;'Annexe C  Plan produit'!$I$20),SUM('Annexe C  Plan produit'!$K$20:$M$21),0)+IF(AND(Q$4&gt;='Annexe C  Plan produit'!$H$21,Q4&lt;'Annexe C  Plan produit'!$I$21),SUM('Annexe C  Plan produit'!$K$21:$M$21),0)</f>
        <v>3.25</v>
      </c>
      <c r="R9" s="547">
        <f>IF(AND(R$4&gt;='Annexe C  Plan produit'!$H$17,R4&lt;'Annexe C  Plan produit'!$I$17),SUM('Annexe C  Plan produit'!$K$17:$M$17),0)+IF(AND(R$4&gt;='Annexe C  Plan produit'!$H$18,R4&lt;'Annexe C  Plan produit'!$I$18),SUM('Annexe C  Plan produit'!$K$18:$M$18),0)+IF(AND(R$4&gt;='Annexe C  Plan produit'!$H$19,R4&lt;'Annexe C  Plan produit'!$I$19),SUM('Annexe C  Plan produit'!$K$19:$M$19),0)+IF(AND(R$4&gt;='Annexe C  Plan produit'!$H$20,R4&lt;'Annexe C  Plan produit'!$I$20),SUM('Annexe C  Plan produit'!$K$20:$M$21),0)+IF(AND(R$4&gt;='Annexe C  Plan produit'!$H$21,R4&lt;'Annexe C  Plan produit'!$I$21),SUM('Annexe C  Plan produit'!$K$21:$M$21),0)</f>
        <v>3.25</v>
      </c>
      <c r="S9" s="547">
        <f>IF(AND(S$4&gt;='Annexe C  Plan produit'!$H$17,S4&lt;'Annexe C  Plan produit'!$I$17),SUM('Annexe C  Plan produit'!$K$17:$M$17),0)+IF(AND(S$4&gt;='Annexe C  Plan produit'!$H$18,S4&lt;'Annexe C  Plan produit'!$I$18),SUM('Annexe C  Plan produit'!$K$18:$M$18),0)+IF(AND(S$4&gt;='Annexe C  Plan produit'!$H$19,S4&lt;'Annexe C  Plan produit'!$I$19),SUM('Annexe C  Plan produit'!$K$19:$M$19),0)+IF(AND(S$4&gt;='Annexe C  Plan produit'!$H$20,S4&lt;'Annexe C  Plan produit'!$I$20),SUM('Annexe C  Plan produit'!$K$20:$M$21),0)+IF(AND(S$4&gt;='Annexe C  Plan produit'!$H$21,S4&lt;'Annexe C  Plan produit'!$I$21),SUM('Annexe C  Plan produit'!$K$21:$M$21),0)</f>
        <v>3.25</v>
      </c>
      <c r="T9" s="548">
        <f>IF(AND(T$4&gt;='Annexe C  Plan produit'!$H$17,T4&lt;'Annexe C  Plan produit'!$I$17),SUM('Annexe C  Plan produit'!$K$17:$M$17),0)+IF(AND(T$4&gt;='Annexe C  Plan produit'!$H$18,T4&lt;'Annexe C  Plan produit'!$I$18),SUM('Annexe C  Plan produit'!$K$18:$M$18),0)+IF(AND(T$4&gt;='Annexe C  Plan produit'!$H$19,T4&lt;'Annexe C  Plan produit'!$I$19),SUM('Annexe C  Plan produit'!$K$19:$M$19),0)+IF(AND(T$4&gt;='Annexe C  Plan produit'!$H$20,T4&lt;'Annexe C  Plan produit'!$I$20),SUM('Annexe C  Plan produit'!$K$20:$M$21),0)+IF(AND(T$4&gt;='Annexe C  Plan produit'!$H$21,T4&lt;'Annexe C  Plan produit'!$I$21),SUM('Annexe C  Plan produit'!$K$21:$M$21),0)</f>
        <v>3.25</v>
      </c>
      <c r="U9" s="546">
        <f>IF(AND(U$4&gt;='Annexe C  Plan produit'!$H$17,U4&lt;'Annexe C  Plan produit'!$I$17),SUM('Annexe C  Plan produit'!$K$17:$M$17),0)+IF(AND(U$4&gt;='Annexe C  Plan produit'!$H$18,U4&lt;'Annexe C  Plan produit'!$I$18),SUM('Annexe C  Plan produit'!$K$18:$M$18),0)+IF(AND(U$4&gt;='Annexe C  Plan produit'!$H$19,U4&lt;'Annexe C  Plan produit'!$I$19),SUM('Annexe C  Plan produit'!$K$19:$M$19),0)+IF(AND(U$4&gt;='Annexe C  Plan produit'!$H$20,U4&lt;'Annexe C  Plan produit'!$I$20),SUM('Annexe C  Plan produit'!$K$20:$M$21),0)+IF(AND(U$4&gt;='Annexe C  Plan produit'!$H$21,U4&lt;'Annexe C  Plan produit'!$I$21),SUM('Annexe C  Plan produit'!$K$21:$M$21),0)</f>
        <v>3.25</v>
      </c>
      <c r="V9" s="547">
        <f>IF(AND(V$4&gt;='Annexe C  Plan produit'!$H$17,V4&lt;'Annexe C  Plan produit'!$I$17),SUM('Annexe C  Plan produit'!$K$17:$M$17),0)+IF(AND(V$4&gt;='Annexe C  Plan produit'!$H$18,V4&lt;'Annexe C  Plan produit'!$I$18),SUM('Annexe C  Plan produit'!$K$18:$M$18),0)+IF(AND(V$4&gt;='Annexe C  Plan produit'!$H$19,V4&lt;'Annexe C  Plan produit'!$I$19),SUM('Annexe C  Plan produit'!$K$19:$M$19),0)+IF(AND(V$4&gt;='Annexe C  Plan produit'!$H$20,V4&lt;'Annexe C  Plan produit'!$I$20),SUM('Annexe C  Plan produit'!$K$20:$M$21),0)+IF(AND(V$4&gt;='Annexe C  Plan produit'!$H$21,V4&lt;'Annexe C  Plan produit'!$I$21),SUM('Annexe C  Plan produit'!$K$21:$M$21),0)</f>
        <v>3.25</v>
      </c>
      <c r="W9" s="547">
        <f>IF(AND(W$4&gt;='Annexe C  Plan produit'!$H$17,W4&lt;'Annexe C  Plan produit'!$I$17),SUM('Annexe C  Plan produit'!$K$17:$M$17),0)+IF(AND(W$4&gt;='Annexe C  Plan produit'!$H$18,W4&lt;'Annexe C  Plan produit'!$I$18),SUM('Annexe C  Plan produit'!$K$18:$M$18),0)+IF(AND(W$4&gt;='Annexe C  Plan produit'!$H$19,W4&lt;'Annexe C  Plan produit'!$I$19),SUM('Annexe C  Plan produit'!$K$19:$M$19),0)+IF(AND(W$4&gt;='Annexe C  Plan produit'!$H$20,W4&lt;'Annexe C  Plan produit'!$I$20),SUM('Annexe C  Plan produit'!$K$20:$M$21),0)+IF(AND(W$4&gt;='Annexe C  Plan produit'!$H$21,W4&lt;'Annexe C  Plan produit'!$I$21),SUM('Annexe C  Plan produit'!$K$21:$M$21),0)</f>
        <v>3.25</v>
      </c>
      <c r="X9" s="547">
        <f>IF(AND(X$4&gt;='Annexe C  Plan produit'!$H$17,X4&lt;'Annexe C  Plan produit'!$I$17),SUM('Annexe C  Plan produit'!$K$17:$M$17),0)+IF(AND(X$4&gt;='Annexe C  Plan produit'!$H$18,X4&lt;'Annexe C  Plan produit'!$I$18),SUM('Annexe C  Plan produit'!$K$18:$M$18),0)+IF(AND(X$4&gt;='Annexe C  Plan produit'!$H$19,X4&lt;'Annexe C  Plan produit'!$I$19),SUM('Annexe C  Plan produit'!$K$19:$M$19),0)+IF(AND(X$4&gt;='Annexe C  Plan produit'!$H$20,X4&lt;'Annexe C  Plan produit'!$I$20),SUM('Annexe C  Plan produit'!$K$20:$M$21),0)+IF(AND(X$4&gt;='Annexe C  Plan produit'!$H$21,X4&lt;'Annexe C  Plan produit'!$I$21),SUM('Annexe C  Plan produit'!$K$21:$M$21),0)</f>
        <v>3.25</v>
      </c>
      <c r="Y9" s="547">
        <f>IF(AND(Y$4&gt;='Annexe C  Plan produit'!$H$17,Y4&lt;'Annexe C  Plan produit'!$I$17),SUM('Annexe C  Plan produit'!$K$17:$M$17),0)+IF(AND(Y$4&gt;='Annexe C  Plan produit'!$H$18,Y4&lt;'Annexe C  Plan produit'!$I$18),SUM('Annexe C  Plan produit'!$K$18:$M$18),0)+IF(AND(Y$4&gt;='Annexe C  Plan produit'!$H$19,Y4&lt;'Annexe C  Plan produit'!$I$19),SUM('Annexe C  Plan produit'!$K$19:$M$19),0)+IF(AND(Y$4&gt;='Annexe C  Plan produit'!$H$20,Y4&lt;'Annexe C  Plan produit'!$I$20),SUM('Annexe C  Plan produit'!$K$20:$M$21),0)+IF(AND(Y$4&gt;='Annexe C  Plan produit'!$H$21,Y4&lt;'Annexe C  Plan produit'!$I$21),SUM('Annexe C  Plan produit'!$K$21:$M$21),0)</f>
        <v>3.25</v>
      </c>
      <c r="Z9" s="547">
        <f>IF(AND(Z$4&gt;='Annexe C  Plan produit'!$H$17,Z4&lt;'Annexe C  Plan produit'!$I$17),SUM('Annexe C  Plan produit'!$K$17:$M$17),0)+IF(AND(Z$4&gt;='Annexe C  Plan produit'!$H$18,Z4&lt;'Annexe C  Plan produit'!$I$18),SUM('Annexe C  Plan produit'!$K$18:$M$18),0)+IF(AND(Z$4&gt;='Annexe C  Plan produit'!$H$19,Z4&lt;'Annexe C  Plan produit'!$I$19),SUM('Annexe C  Plan produit'!$K$19:$M$19),0)+IF(AND(Z$4&gt;='Annexe C  Plan produit'!$H$20,Z4&lt;'Annexe C  Plan produit'!$I$20),SUM('Annexe C  Plan produit'!$K$20:$M$21),0)+IF(AND(Z$4&gt;='Annexe C  Plan produit'!$H$21,Z4&lt;'Annexe C  Plan produit'!$I$21),SUM('Annexe C  Plan produit'!$K$21:$M$21),0)</f>
        <v>3.25</v>
      </c>
      <c r="AA9" s="547">
        <f>IF(AND(AA$4&gt;='Annexe C  Plan produit'!$H$17,AA4&lt;'Annexe C  Plan produit'!$I$17),SUM('Annexe C  Plan produit'!$K$17:$M$17),0)+IF(AND(AA$4&gt;='Annexe C  Plan produit'!$H$18,AA4&lt;'Annexe C  Plan produit'!$I$18),SUM('Annexe C  Plan produit'!$K$18:$M$18),0)+IF(AND(AA$4&gt;='Annexe C  Plan produit'!$H$19,AA4&lt;'Annexe C  Plan produit'!$I$19),SUM('Annexe C  Plan produit'!$K$19:$M$19),0)+IF(AND(AA$4&gt;='Annexe C  Plan produit'!$H$20,AA4&lt;'Annexe C  Plan produit'!$I$20),SUM('Annexe C  Plan produit'!$K$20:$M$21),0)+IF(AND(AA$4&gt;='Annexe C  Plan produit'!$H$21,AA4&lt;'Annexe C  Plan produit'!$I$21),SUM('Annexe C  Plan produit'!$K$21:$M$21),0)</f>
        <v>3.25</v>
      </c>
      <c r="AB9" s="547">
        <f>IF(AND(AB$4&gt;='Annexe C  Plan produit'!$H$17,AB4&lt;'Annexe C  Plan produit'!$I$17),SUM('Annexe C  Plan produit'!$K$17:$M$17),0)+IF(AND(AB$4&gt;='Annexe C  Plan produit'!$H$18,AB4&lt;'Annexe C  Plan produit'!$I$18),SUM('Annexe C  Plan produit'!$K$18:$M$18),0)+IF(AND(AB$4&gt;='Annexe C  Plan produit'!$H$19,AB4&lt;'Annexe C  Plan produit'!$I$19),SUM('Annexe C  Plan produit'!$K$19:$M$19),0)+IF(AND(AB$4&gt;='Annexe C  Plan produit'!$H$20,AB4&lt;'Annexe C  Plan produit'!$I$20),SUM('Annexe C  Plan produit'!$K$20:$M$21),0)+IF(AND(AB$4&gt;='Annexe C  Plan produit'!$H$21,AB4&lt;'Annexe C  Plan produit'!$I$21),SUM('Annexe C  Plan produit'!$K$21:$M$21),0)</f>
        <v>3.25</v>
      </c>
      <c r="AC9" s="547">
        <f>IF(AND(AC$4&gt;='Annexe C  Plan produit'!$H$17,AC4&lt;'Annexe C  Plan produit'!$I$17),SUM('Annexe C  Plan produit'!$K$17:$M$17),0)+IF(AND(AC$4&gt;='Annexe C  Plan produit'!$H$18,AC4&lt;'Annexe C  Plan produit'!$I$18),SUM('Annexe C  Plan produit'!$K$18:$M$18),0)+IF(AND(AC$4&gt;='Annexe C  Plan produit'!$H$19,AC4&lt;'Annexe C  Plan produit'!$I$19),SUM('Annexe C  Plan produit'!$K$19:$M$19),0)+IF(AND(AC$4&gt;='Annexe C  Plan produit'!$H$20,AC4&lt;'Annexe C  Plan produit'!$I$20),SUM('Annexe C  Plan produit'!$K$20:$M$21),0)+IF(AND(AC$4&gt;='Annexe C  Plan produit'!$H$21,AC4&lt;'Annexe C  Plan produit'!$I$21),SUM('Annexe C  Plan produit'!$K$21:$M$21),0)</f>
        <v>3.25</v>
      </c>
      <c r="AD9" s="547">
        <f>IF(AND(AD$4&gt;='Annexe C  Plan produit'!$H$17,AD4&lt;'Annexe C  Plan produit'!$I$17),SUM('Annexe C  Plan produit'!$K$17:$M$17),0)+IF(AND(AD$4&gt;='Annexe C  Plan produit'!$H$18,AD4&lt;'Annexe C  Plan produit'!$I$18),SUM('Annexe C  Plan produit'!$K$18:$M$18),0)+IF(AND(AD$4&gt;='Annexe C  Plan produit'!$H$19,AD4&lt;'Annexe C  Plan produit'!$I$19),SUM('Annexe C  Plan produit'!$K$19:$M$19),0)+IF(AND(AD$4&gt;='Annexe C  Plan produit'!$H$20,AD4&lt;'Annexe C  Plan produit'!$I$20),SUM('Annexe C  Plan produit'!$K$20:$M$21),0)+IF(AND(AD$4&gt;='Annexe C  Plan produit'!$H$21,AD4&lt;'Annexe C  Plan produit'!$I$21),SUM('Annexe C  Plan produit'!$K$21:$M$21),0)</f>
        <v>3.25</v>
      </c>
      <c r="AE9" s="547">
        <f>IF(AND(AE$4&gt;='Annexe C  Plan produit'!$H$17,AE4&lt;'Annexe C  Plan produit'!$I$17),SUM('Annexe C  Plan produit'!$K$17:$M$17),0)+IF(AND(AE$4&gt;='Annexe C  Plan produit'!$H$18,AE4&lt;'Annexe C  Plan produit'!$I$18),SUM('Annexe C  Plan produit'!$K$18:$M$18),0)+IF(AND(AE$4&gt;='Annexe C  Plan produit'!$H$19,AE4&lt;'Annexe C  Plan produit'!$I$19),SUM('Annexe C  Plan produit'!$K$19:$M$19),0)+IF(AND(AE$4&gt;='Annexe C  Plan produit'!$H$20,AE4&lt;'Annexe C  Plan produit'!$I$20),SUM('Annexe C  Plan produit'!$K$20:$M$21),0)+IF(AND(AE$4&gt;='Annexe C  Plan produit'!$H$21,AE4&lt;'Annexe C  Plan produit'!$I$21),SUM('Annexe C  Plan produit'!$K$21:$M$21),0)</f>
        <v>3.25</v>
      </c>
      <c r="AF9" s="548">
        <f>IF(AND(AF$4&gt;='Annexe C  Plan produit'!$H$17,AF4&lt;'Annexe C  Plan produit'!$I$17),SUM('Annexe C  Plan produit'!$K$17:$M$17),0)+IF(AND(AF$4&gt;='Annexe C  Plan produit'!$H$18,AF4&lt;'Annexe C  Plan produit'!$I$18),SUM('Annexe C  Plan produit'!$K$18:$M$18),0)+IF(AND(AF$4&gt;='Annexe C  Plan produit'!$H$19,AF4&lt;'Annexe C  Plan produit'!$I$19),SUM('Annexe C  Plan produit'!$K$19:$M$19),0)+IF(AND(AF$4&gt;='Annexe C  Plan produit'!$H$20,AF4&lt;'Annexe C  Plan produit'!$I$20),SUM('Annexe C  Plan produit'!$K$20:$M$21),0)+IF(AND(AF$4&gt;='Annexe C  Plan produit'!$H$21,AF4&lt;'Annexe C  Plan produit'!$I$21),SUM('Annexe C  Plan produit'!$K$21:$M$21),0)</f>
        <v>3.25</v>
      </c>
      <c r="AG9" s="546">
        <f>IF(AND(AG$4&gt;='Annexe C  Plan produit'!$H$17,AG4&lt;'Annexe C  Plan produit'!$I$17),SUM('Annexe C  Plan produit'!$K$17:$M$17),0)+IF(AND(AG$4&gt;='Annexe C  Plan produit'!$H$18,AG4&lt;'Annexe C  Plan produit'!$I$18),SUM('Annexe C  Plan produit'!$K$18:$M$18),0)+IF(AND(AG$4&gt;='Annexe C  Plan produit'!$H$19,AG4&lt;'Annexe C  Plan produit'!$I$19),SUM('Annexe C  Plan produit'!$K$19:$M$19),0)+IF(AND(AG$4&gt;='Annexe C  Plan produit'!$H$20,AG4&lt;'Annexe C  Plan produit'!$I$20),SUM('Annexe C  Plan produit'!$K$20:$M$21),0)+IF(AND(AG$4&gt;='Annexe C  Plan produit'!$H$21,AG4&lt;'Annexe C  Plan produit'!$I$21),SUM('Annexe C  Plan produit'!$K$21:$M$21),0)</f>
        <v>3.25</v>
      </c>
      <c r="AH9" s="547">
        <f>IF(AND(AH$4&gt;='Annexe C  Plan produit'!$H$17,AH4&lt;'Annexe C  Plan produit'!$I$17),SUM('Annexe C  Plan produit'!$K$17:$M$17),0)+IF(AND(AH$4&gt;='Annexe C  Plan produit'!$H$18,AH4&lt;'Annexe C  Plan produit'!$I$18),SUM('Annexe C  Plan produit'!$K$18:$M$18),0)+IF(AND(AH$4&gt;='Annexe C  Plan produit'!$H$19,AH4&lt;'Annexe C  Plan produit'!$I$19),SUM('Annexe C  Plan produit'!$K$19:$M$19),0)+IF(AND(AH$4&gt;='Annexe C  Plan produit'!$H$20,AH4&lt;'Annexe C  Plan produit'!$I$20),SUM('Annexe C  Plan produit'!$K$20:$M$21),0)+IF(AND(AH$4&gt;='Annexe C  Plan produit'!$H$21,AH4&lt;'Annexe C  Plan produit'!$I$21),SUM('Annexe C  Plan produit'!$K$21:$M$21),0)</f>
        <v>3.25</v>
      </c>
      <c r="AI9" s="547">
        <f>IF(AND(AI$4&gt;='Annexe C  Plan produit'!$H$17,AI4&lt;'Annexe C  Plan produit'!$I$17),SUM('Annexe C  Plan produit'!$K$17:$M$17),0)+IF(AND(AI$4&gt;='Annexe C  Plan produit'!$H$18,AI4&lt;'Annexe C  Plan produit'!$I$18),SUM('Annexe C  Plan produit'!$K$18:$M$18),0)+IF(AND(AI$4&gt;='Annexe C  Plan produit'!$H$19,AI4&lt;'Annexe C  Plan produit'!$I$19),SUM('Annexe C  Plan produit'!$K$19:$M$19),0)+IF(AND(AI$4&gt;='Annexe C  Plan produit'!$H$20,AI4&lt;'Annexe C  Plan produit'!$I$20),SUM('Annexe C  Plan produit'!$K$20:$M$21),0)+IF(AND(AI$4&gt;='Annexe C  Plan produit'!$H$21,AI4&lt;'Annexe C  Plan produit'!$I$21),SUM('Annexe C  Plan produit'!$K$21:$M$21),0)</f>
        <v>3.25</v>
      </c>
      <c r="AJ9" s="547">
        <f>IF(AND(AJ$4&gt;='Annexe C  Plan produit'!$H$17,AJ4&lt;'Annexe C  Plan produit'!$I$17),SUM('Annexe C  Plan produit'!$K$17:$M$17),0)+IF(AND(AJ$4&gt;='Annexe C  Plan produit'!$H$18,AJ4&lt;'Annexe C  Plan produit'!$I$18),SUM('Annexe C  Plan produit'!$K$18:$M$18),0)+IF(AND(AJ$4&gt;='Annexe C  Plan produit'!$H$19,AJ4&lt;'Annexe C  Plan produit'!$I$19),SUM('Annexe C  Plan produit'!$K$19:$M$19),0)+IF(AND(AJ$4&gt;='Annexe C  Plan produit'!$H$20,AJ4&lt;'Annexe C  Plan produit'!$I$20),SUM('Annexe C  Plan produit'!$K$20:$M$21),0)+IF(AND(AJ$4&gt;='Annexe C  Plan produit'!$H$21,AJ4&lt;'Annexe C  Plan produit'!$I$21),SUM('Annexe C  Plan produit'!$K$21:$M$21),0)</f>
        <v>3.25</v>
      </c>
      <c r="AK9" s="547">
        <f>IF(AND(AK$4&gt;='Annexe C  Plan produit'!$H$17,AK4&lt;'Annexe C  Plan produit'!$I$17),SUM('Annexe C  Plan produit'!$K$17:$M$17),0)+IF(AND(AK$4&gt;='Annexe C  Plan produit'!$H$18,AK4&lt;'Annexe C  Plan produit'!$I$18),SUM('Annexe C  Plan produit'!$K$18:$M$18),0)+IF(AND(AK$4&gt;='Annexe C  Plan produit'!$H$19,AK4&lt;'Annexe C  Plan produit'!$I$19),SUM('Annexe C  Plan produit'!$K$19:$M$19),0)+IF(AND(AK$4&gt;='Annexe C  Plan produit'!$H$20,AK4&lt;'Annexe C  Plan produit'!$I$20),SUM('Annexe C  Plan produit'!$K$20:$M$21),0)+IF(AND(AK$4&gt;='Annexe C  Plan produit'!$H$21,AK4&lt;'Annexe C  Plan produit'!$I$21),SUM('Annexe C  Plan produit'!$K$21:$M$21),0)</f>
        <v>3.25</v>
      </c>
      <c r="AL9" s="547">
        <f>IF(AND(AL$4&gt;='Annexe C  Plan produit'!$H$17,AL4&lt;'Annexe C  Plan produit'!$I$17),SUM('Annexe C  Plan produit'!$K$17:$M$17),0)+IF(AND(AL$4&gt;='Annexe C  Plan produit'!$H$18,AL4&lt;'Annexe C  Plan produit'!$I$18),SUM('Annexe C  Plan produit'!$K$18:$M$18),0)+IF(AND(AL$4&gt;='Annexe C  Plan produit'!$H$19,AL4&lt;'Annexe C  Plan produit'!$I$19),SUM('Annexe C  Plan produit'!$K$19:$M$19),0)+IF(AND(AL$4&gt;='Annexe C  Plan produit'!$H$20,AL4&lt;'Annexe C  Plan produit'!$I$20),SUM('Annexe C  Plan produit'!$K$20:$M$21),0)+IF(AND(AL$4&gt;='Annexe C  Plan produit'!$H$21,AL4&lt;'Annexe C  Plan produit'!$I$21),SUM('Annexe C  Plan produit'!$K$21:$M$21),0)</f>
        <v>3.25</v>
      </c>
      <c r="AM9" s="547">
        <f>IF(AND(AM$4&gt;='Annexe C  Plan produit'!$H$17,AM4&lt;'Annexe C  Plan produit'!$I$17),SUM('Annexe C  Plan produit'!$K$17:$M$17),0)+IF(AND(AM$4&gt;='Annexe C  Plan produit'!$H$18,AM4&lt;'Annexe C  Plan produit'!$I$18),SUM('Annexe C  Plan produit'!$K$18:$M$18),0)+IF(AND(AM$4&gt;='Annexe C  Plan produit'!$H$19,AM4&lt;'Annexe C  Plan produit'!$I$19),SUM('Annexe C  Plan produit'!$K$19:$M$19),0)+IF(AND(AM$4&gt;='Annexe C  Plan produit'!$H$20,AM4&lt;'Annexe C  Plan produit'!$I$20),SUM('Annexe C  Plan produit'!$K$20:$M$21),0)+IF(AND(AM$4&gt;='Annexe C  Plan produit'!$H$21,AM4&lt;'Annexe C  Plan produit'!$I$21),SUM('Annexe C  Plan produit'!$K$21:$M$21),0)</f>
        <v>3.25</v>
      </c>
      <c r="AN9" s="547">
        <f>IF(AND(AN$4&gt;='Annexe C  Plan produit'!$H$17,AN4&lt;'Annexe C  Plan produit'!$I$17),SUM('Annexe C  Plan produit'!$K$17:$M$17),0)+IF(AND(AN$4&gt;='Annexe C  Plan produit'!$H$18,AN4&lt;'Annexe C  Plan produit'!$I$18),SUM('Annexe C  Plan produit'!$K$18:$M$18),0)+IF(AND(AN$4&gt;='Annexe C  Plan produit'!$H$19,AN4&lt;'Annexe C  Plan produit'!$I$19),SUM('Annexe C  Plan produit'!$K$19:$M$19),0)+IF(AND(AN$4&gt;='Annexe C  Plan produit'!$H$20,AN4&lt;'Annexe C  Plan produit'!$I$20),SUM('Annexe C  Plan produit'!$K$20:$M$21),0)+IF(AND(AN$4&gt;='Annexe C  Plan produit'!$H$21,AN4&lt;'Annexe C  Plan produit'!$I$21),SUM('Annexe C  Plan produit'!$K$21:$M$21),0)</f>
        <v>3.25</v>
      </c>
      <c r="AO9" s="547">
        <f>IF(AND(AO$4&gt;='Annexe C  Plan produit'!$H$17,AO4&lt;'Annexe C  Plan produit'!$I$17),SUM('Annexe C  Plan produit'!$K$17:$M$17),0)+IF(AND(AO$4&gt;='Annexe C  Plan produit'!$H$18,AO4&lt;'Annexe C  Plan produit'!$I$18),SUM('Annexe C  Plan produit'!$K$18:$M$18),0)+IF(AND(AO$4&gt;='Annexe C  Plan produit'!$H$19,AO4&lt;'Annexe C  Plan produit'!$I$19),SUM('Annexe C  Plan produit'!$K$19:$M$19),0)+IF(AND(AO$4&gt;='Annexe C  Plan produit'!$H$20,AO4&lt;'Annexe C  Plan produit'!$I$20),SUM('Annexe C  Plan produit'!$K$20:$M$21),0)+IF(AND(AO$4&gt;='Annexe C  Plan produit'!$H$21,AO4&lt;'Annexe C  Plan produit'!$I$21),SUM('Annexe C  Plan produit'!$K$21:$M$21),0)</f>
        <v>3.25</v>
      </c>
      <c r="AP9" s="547">
        <f>IF(AND(AP$4&gt;='Annexe C  Plan produit'!$H$17,AP4&lt;'Annexe C  Plan produit'!$I$17),SUM('Annexe C  Plan produit'!$K$17:$M$17),0)+IF(AND(AP$4&gt;='Annexe C  Plan produit'!$H$18,AP4&lt;'Annexe C  Plan produit'!$I$18),SUM('Annexe C  Plan produit'!$K$18:$M$18),0)+IF(AND(AP$4&gt;='Annexe C  Plan produit'!$H$19,AP4&lt;'Annexe C  Plan produit'!$I$19),SUM('Annexe C  Plan produit'!$K$19:$M$19),0)+IF(AND(AP$4&gt;='Annexe C  Plan produit'!$H$20,AP4&lt;'Annexe C  Plan produit'!$I$20),SUM('Annexe C  Plan produit'!$K$20:$M$21),0)+IF(AND(AP$4&gt;='Annexe C  Plan produit'!$H$21,AP4&lt;'Annexe C  Plan produit'!$I$21),SUM('Annexe C  Plan produit'!$K$21:$M$21),0)</f>
        <v>3.25</v>
      </c>
      <c r="AQ9" s="547">
        <f>IF(AND(AQ$4&gt;='Annexe C  Plan produit'!$H$17,AQ4&lt;'Annexe C  Plan produit'!$I$17),SUM('Annexe C  Plan produit'!$K$17:$M$17),0)+IF(AND(AQ$4&gt;='Annexe C  Plan produit'!$H$18,AQ4&lt;'Annexe C  Plan produit'!$I$18),SUM('Annexe C  Plan produit'!$K$18:$M$18),0)+IF(AND(AQ$4&gt;='Annexe C  Plan produit'!$H$19,AQ4&lt;'Annexe C  Plan produit'!$I$19),SUM('Annexe C  Plan produit'!$K$19:$M$19),0)+IF(AND(AQ$4&gt;='Annexe C  Plan produit'!$H$20,AQ4&lt;'Annexe C  Plan produit'!$I$20),SUM('Annexe C  Plan produit'!$K$20:$M$21),0)+IF(AND(AQ$4&gt;='Annexe C  Plan produit'!$H$21,AQ4&lt;'Annexe C  Plan produit'!$I$21),SUM('Annexe C  Plan produit'!$K$21:$M$21),0)</f>
        <v>3.25</v>
      </c>
      <c r="AR9" s="548">
        <f>IF(AND(AR$4&gt;='Annexe C  Plan produit'!$H$17,AR4&lt;'Annexe C  Plan produit'!$I$17),SUM('Annexe C  Plan produit'!$K$17:$M$17),0)+IF(AND(AR$4&gt;='Annexe C  Plan produit'!$H$18,AR4&lt;'Annexe C  Plan produit'!$I$18),SUM('Annexe C  Plan produit'!$K$18:$M$18),0)+IF(AND(AR$4&gt;='Annexe C  Plan produit'!$H$19,AR4&lt;'Annexe C  Plan produit'!$I$19),SUM('Annexe C  Plan produit'!$K$19:$M$19),0)+IF(AND(AR$4&gt;='Annexe C  Plan produit'!$H$20,AR4&lt;'Annexe C  Plan produit'!$I$20),SUM('Annexe C  Plan produit'!$K$20:$M$21),0)+IF(AND(AR$4&gt;='Annexe C  Plan produit'!$H$21,AR4&lt;'Annexe C  Plan produit'!$I$21),SUM('Annexe C  Plan produit'!$K$21:$M$21),0)</f>
        <v>3.25</v>
      </c>
      <c r="AS9" s="546">
        <f>IF(AND(AS$4&gt;='Annexe C  Plan produit'!$H$17,AS4&lt;'Annexe C  Plan produit'!$I$17),SUM('Annexe C  Plan produit'!$K$17:$M$17),0)+IF(AND(AS$4&gt;='Annexe C  Plan produit'!$H$18,AS4&lt;'Annexe C  Plan produit'!$I$18),SUM('Annexe C  Plan produit'!$K$18:$M$18),0)+IF(AND(AS$4&gt;='Annexe C  Plan produit'!$H$19,AS4&lt;'Annexe C  Plan produit'!$I$19),SUM('Annexe C  Plan produit'!$K$19:$M$19),0)+IF(AND(AS$4&gt;='Annexe C  Plan produit'!$H$20,AS4&lt;'Annexe C  Plan produit'!$I$20),SUM('Annexe C  Plan produit'!$K$20:$M$21),0)+IF(AND(AS$4&gt;='Annexe C  Plan produit'!$H$21,AS4&lt;'Annexe C  Plan produit'!$I$21),SUM('Annexe C  Plan produit'!$K$21:$M$21),0)</f>
        <v>3.25</v>
      </c>
      <c r="AT9" s="547">
        <f>IF(AND(AT$4&gt;='Annexe C  Plan produit'!$H$17,AT4&lt;'Annexe C  Plan produit'!$I$17),SUM('Annexe C  Plan produit'!$K$17:$M$17),0)+IF(AND(AT$4&gt;='Annexe C  Plan produit'!$H$18,AT4&lt;'Annexe C  Plan produit'!$I$18),SUM('Annexe C  Plan produit'!$K$18:$M$18),0)+IF(AND(AT$4&gt;='Annexe C  Plan produit'!$H$19,AT4&lt;'Annexe C  Plan produit'!$I$19),SUM('Annexe C  Plan produit'!$K$19:$M$19),0)+IF(AND(AT$4&gt;='Annexe C  Plan produit'!$H$20,AT4&lt;'Annexe C  Plan produit'!$I$20),SUM('Annexe C  Plan produit'!$K$20:$M$21),0)+IF(AND(AT$4&gt;='Annexe C  Plan produit'!$H$21,AT4&lt;'Annexe C  Plan produit'!$I$21),SUM('Annexe C  Plan produit'!$K$21:$M$21),0)</f>
        <v>3.25</v>
      </c>
      <c r="AU9" s="547">
        <f>IF(AND(AU$4&gt;='Annexe C  Plan produit'!$H$17,AU4&lt;'Annexe C  Plan produit'!$I$17),SUM('Annexe C  Plan produit'!$K$17:$M$17),0)+IF(AND(AU$4&gt;='Annexe C  Plan produit'!$H$18,AU4&lt;'Annexe C  Plan produit'!$I$18),SUM('Annexe C  Plan produit'!$K$18:$M$18),0)+IF(AND(AU$4&gt;='Annexe C  Plan produit'!$H$19,AU4&lt;'Annexe C  Plan produit'!$I$19),SUM('Annexe C  Plan produit'!$K$19:$M$19),0)+IF(AND(AU$4&gt;='Annexe C  Plan produit'!$H$20,AU4&lt;'Annexe C  Plan produit'!$I$20),SUM('Annexe C  Plan produit'!$K$20:$M$21),0)+IF(AND(AU$4&gt;='Annexe C  Plan produit'!$H$21,AU4&lt;'Annexe C  Plan produit'!$I$21),SUM('Annexe C  Plan produit'!$K$21:$M$21),0)</f>
        <v>3.25</v>
      </c>
      <c r="AV9" s="547">
        <f>IF(AND(AV$4&gt;='Annexe C  Plan produit'!$H$17,AV4&lt;'Annexe C  Plan produit'!$I$17),SUM('Annexe C  Plan produit'!$K$17:$M$17),0)+IF(AND(AV$4&gt;='Annexe C  Plan produit'!$H$18,AV4&lt;'Annexe C  Plan produit'!$I$18),SUM('Annexe C  Plan produit'!$K$18:$M$18),0)+IF(AND(AV$4&gt;='Annexe C  Plan produit'!$H$19,AV4&lt;'Annexe C  Plan produit'!$I$19),SUM('Annexe C  Plan produit'!$K$19:$M$19),0)+IF(AND(AV$4&gt;='Annexe C  Plan produit'!$H$20,AV4&lt;'Annexe C  Plan produit'!$I$20),SUM('Annexe C  Plan produit'!$K$20:$M$21),0)+IF(AND(AV$4&gt;='Annexe C  Plan produit'!$H$21,AV4&lt;'Annexe C  Plan produit'!$I$21),SUM('Annexe C  Plan produit'!$K$21:$M$21),0)</f>
        <v>3.25</v>
      </c>
      <c r="AW9" s="547">
        <f>IF(AND(AW$4&gt;='Annexe C  Plan produit'!$H$17,AW4&lt;'Annexe C  Plan produit'!$I$17),SUM('Annexe C  Plan produit'!$K$17:$M$17),0)+IF(AND(AW$4&gt;='Annexe C  Plan produit'!$H$18,AW4&lt;'Annexe C  Plan produit'!$I$18),SUM('Annexe C  Plan produit'!$K$18:$M$18),0)+IF(AND(AW$4&gt;='Annexe C  Plan produit'!$H$19,AW4&lt;'Annexe C  Plan produit'!$I$19),SUM('Annexe C  Plan produit'!$K$19:$M$19),0)+IF(AND(AW$4&gt;='Annexe C  Plan produit'!$H$20,AW4&lt;'Annexe C  Plan produit'!$I$20),SUM('Annexe C  Plan produit'!$K$20:$M$21),0)+IF(AND(AW$4&gt;='Annexe C  Plan produit'!$H$21,AW4&lt;'Annexe C  Plan produit'!$I$21),SUM('Annexe C  Plan produit'!$K$21:$M$21),0)</f>
        <v>3.25</v>
      </c>
      <c r="AX9" s="547">
        <f>IF(AND(AX$4&gt;='Annexe C  Plan produit'!$H$17,AX4&lt;'Annexe C  Plan produit'!$I$17),SUM('Annexe C  Plan produit'!$K$17:$M$17),0)+IF(AND(AX$4&gt;='Annexe C  Plan produit'!$H$18,AX4&lt;'Annexe C  Plan produit'!$I$18),SUM('Annexe C  Plan produit'!$K$18:$M$18),0)+IF(AND(AX$4&gt;='Annexe C  Plan produit'!$H$19,AX4&lt;'Annexe C  Plan produit'!$I$19),SUM('Annexe C  Plan produit'!$K$19:$M$19),0)+IF(AND(AX$4&gt;='Annexe C  Plan produit'!$H$20,AX4&lt;'Annexe C  Plan produit'!$I$20),SUM('Annexe C  Plan produit'!$K$20:$M$21),0)+IF(AND(AX$4&gt;='Annexe C  Plan produit'!$H$21,AX4&lt;'Annexe C  Plan produit'!$I$21),SUM('Annexe C  Plan produit'!$K$21:$M$21),0)</f>
        <v>3.25</v>
      </c>
      <c r="AY9" s="547">
        <f>IF(AND(AY$4&gt;='Annexe C  Plan produit'!$H$17,AY4&lt;'Annexe C  Plan produit'!$I$17),SUM('Annexe C  Plan produit'!$K$17:$M$17),0)+IF(AND(AY$4&gt;='Annexe C  Plan produit'!$H$18,AY4&lt;'Annexe C  Plan produit'!$I$18),SUM('Annexe C  Plan produit'!$K$18:$M$18),0)+IF(AND(AY$4&gt;='Annexe C  Plan produit'!$H$19,AY4&lt;'Annexe C  Plan produit'!$I$19),SUM('Annexe C  Plan produit'!$K$19:$M$19),0)+IF(AND(AY$4&gt;='Annexe C  Plan produit'!$H$20,AY4&lt;'Annexe C  Plan produit'!$I$20),SUM('Annexe C  Plan produit'!$K$20:$M$21),0)+IF(AND(AY$4&gt;='Annexe C  Plan produit'!$H$21,AY4&lt;'Annexe C  Plan produit'!$I$21),SUM('Annexe C  Plan produit'!$K$21:$M$21),0)</f>
        <v>3.25</v>
      </c>
      <c r="AZ9" s="547">
        <f>IF(AND(AZ$4&gt;='Annexe C  Plan produit'!$H$17,AZ4&lt;'Annexe C  Plan produit'!$I$17),SUM('Annexe C  Plan produit'!$K$17:$M$17),0)+IF(AND(AZ$4&gt;='Annexe C  Plan produit'!$H$18,AZ4&lt;'Annexe C  Plan produit'!$I$18),SUM('Annexe C  Plan produit'!$K$18:$M$18),0)+IF(AND(AZ$4&gt;='Annexe C  Plan produit'!$H$19,AZ4&lt;'Annexe C  Plan produit'!$I$19),SUM('Annexe C  Plan produit'!$K$19:$M$19),0)+IF(AND(AZ$4&gt;='Annexe C  Plan produit'!$H$20,AZ4&lt;'Annexe C  Plan produit'!$I$20),SUM('Annexe C  Plan produit'!$K$20:$M$21),0)+IF(AND(AZ$4&gt;='Annexe C  Plan produit'!$H$21,AZ4&lt;'Annexe C  Plan produit'!$I$21),SUM('Annexe C  Plan produit'!$K$21:$M$21),0)</f>
        <v>3.25</v>
      </c>
      <c r="BA9" s="547">
        <f>IF(AND(BA$4&gt;='Annexe C  Plan produit'!$H$17,BA4&lt;'Annexe C  Plan produit'!$I$17),SUM('Annexe C  Plan produit'!$K$17:$M$17),0)+IF(AND(BA$4&gt;='Annexe C  Plan produit'!$H$18,BA4&lt;'Annexe C  Plan produit'!$I$18),SUM('Annexe C  Plan produit'!$K$18:$M$18),0)+IF(AND(BA$4&gt;='Annexe C  Plan produit'!$H$19,BA4&lt;'Annexe C  Plan produit'!$I$19),SUM('Annexe C  Plan produit'!$K$19:$M$19),0)+IF(AND(BA$4&gt;='Annexe C  Plan produit'!$H$20,BA4&lt;'Annexe C  Plan produit'!$I$20),SUM('Annexe C  Plan produit'!$K$20:$M$21),0)+IF(AND(BA$4&gt;='Annexe C  Plan produit'!$H$21,BA4&lt;'Annexe C  Plan produit'!$I$21),SUM('Annexe C  Plan produit'!$K$21:$M$21),0)</f>
        <v>6.5</v>
      </c>
      <c r="BB9" s="547">
        <f>IF(AND(BB$4&gt;='Annexe C  Plan produit'!$H$17,BB4&lt;'Annexe C  Plan produit'!$I$17),SUM('Annexe C  Plan produit'!$K$17:$M$17),0)+IF(AND(BB$4&gt;='Annexe C  Plan produit'!$H$18,BB4&lt;'Annexe C  Plan produit'!$I$18),SUM('Annexe C  Plan produit'!$K$18:$M$18),0)+IF(AND(BB$4&gt;='Annexe C  Plan produit'!$H$19,BB4&lt;'Annexe C  Plan produit'!$I$19),SUM('Annexe C  Plan produit'!$K$19:$M$19),0)+IF(AND(BB$4&gt;='Annexe C  Plan produit'!$H$20,BB4&lt;'Annexe C  Plan produit'!$I$20),SUM('Annexe C  Plan produit'!$K$20:$M$21),0)+IF(AND(BB$4&gt;='Annexe C  Plan produit'!$H$21,BB4&lt;'Annexe C  Plan produit'!$I$21),SUM('Annexe C  Plan produit'!$K$21:$M$21),0)</f>
        <v>6.5</v>
      </c>
      <c r="BC9" s="547">
        <f>IF(AND(BC$4&gt;='Annexe C  Plan produit'!$H$17,BC4&lt;'Annexe C  Plan produit'!$I$17),SUM('Annexe C  Plan produit'!$K$17:$M$17),0)+IF(AND(BC$4&gt;='Annexe C  Plan produit'!$H$18,BC4&lt;'Annexe C  Plan produit'!$I$18),SUM('Annexe C  Plan produit'!$K$18:$M$18),0)+IF(AND(BC$4&gt;='Annexe C  Plan produit'!$H$19,BC4&lt;'Annexe C  Plan produit'!$I$19),SUM('Annexe C  Plan produit'!$K$19:$M$19),0)+IF(AND(BC$4&gt;='Annexe C  Plan produit'!$H$20,BC4&lt;'Annexe C  Plan produit'!$I$20),SUM('Annexe C  Plan produit'!$K$20:$M$21),0)+IF(AND(BC$4&gt;='Annexe C  Plan produit'!$H$21,BC4&lt;'Annexe C  Plan produit'!$I$21),SUM('Annexe C  Plan produit'!$K$21:$M$21),0)</f>
        <v>6.5</v>
      </c>
      <c r="BD9" s="548">
        <f>IF(AND(BD$4&gt;='Annexe C  Plan produit'!$H$17,BD4&lt;'Annexe C  Plan produit'!$I$17),SUM('Annexe C  Plan produit'!$K$17:$M$17),0)+IF(AND(BD$4&gt;='Annexe C  Plan produit'!$H$18,BD4&lt;'Annexe C  Plan produit'!$I$18),SUM('Annexe C  Plan produit'!$K$18:$M$18),0)+IF(AND(BD$4&gt;='Annexe C  Plan produit'!$H$19,BD4&lt;'Annexe C  Plan produit'!$I$19),SUM('Annexe C  Plan produit'!$K$19:$M$19),0)+IF(AND(BD$4&gt;='Annexe C  Plan produit'!$H$20,BD4&lt;'Annexe C  Plan produit'!$I$20),SUM('Annexe C  Plan produit'!$K$20:$M$21),0)+IF(AND(BD$4&gt;='Annexe C  Plan produit'!$H$21,BD4&lt;'Annexe C  Plan produit'!$I$21),SUM('Annexe C  Plan produit'!$K$21:$M$21),0)</f>
        <v>6.5</v>
      </c>
      <c r="BE9" s="546">
        <f>IF(AND(BE$4&gt;='Annexe C  Plan produit'!$H$17,BE4&lt;'Annexe C  Plan produit'!$I$17),SUM('Annexe C  Plan produit'!$K$17:$M$17),0)+IF(AND(BE$4&gt;='Annexe C  Plan produit'!$H$18,BE4&lt;'Annexe C  Plan produit'!$I$18),SUM('Annexe C  Plan produit'!$K$18:$M$18),0)+IF(AND(BE$4&gt;='Annexe C  Plan produit'!$H$19,BE4&lt;'Annexe C  Plan produit'!$I$19),SUM('Annexe C  Plan produit'!$K$19:$M$19),0)+IF(AND(BE$4&gt;='Annexe C  Plan produit'!$H$20,BE4&lt;'Annexe C  Plan produit'!$I$20),SUM('Annexe C  Plan produit'!$K$20:$M$21),0)+IF(AND(BE$4&gt;='Annexe C  Plan produit'!$H$21,BE4&lt;'Annexe C  Plan produit'!$I$21),SUM('Annexe C  Plan produit'!$K$21:$M$21),0)</f>
        <v>6.5</v>
      </c>
      <c r="BF9" s="547">
        <f>IF(AND(BF$4&gt;='Annexe C  Plan produit'!$H$17,BF4&lt;'Annexe C  Plan produit'!$I$17),SUM('Annexe C  Plan produit'!$K$17:$M$17),0)+IF(AND(BF$4&gt;='Annexe C  Plan produit'!$H$18,BF4&lt;'Annexe C  Plan produit'!$I$18),SUM('Annexe C  Plan produit'!$K$18:$M$18),0)+IF(AND(BF$4&gt;='Annexe C  Plan produit'!$H$19,BF4&lt;'Annexe C  Plan produit'!$I$19),SUM('Annexe C  Plan produit'!$K$19:$M$19),0)+IF(AND(BF$4&gt;='Annexe C  Plan produit'!$H$20,BF4&lt;'Annexe C  Plan produit'!$I$20),SUM('Annexe C  Plan produit'!$K$20:$M$21),0)+IF(AND(BF$4&gt;='Annexe C  Plan produit'!$H$21,BF4&lt;'Annexe C  Plan produit'!$I$21),SUM('Annexe C  Plan produit'!$K$21:$M$21),0)</f>
        <v>6.5</v>
      </c>
      <c r="BG9" s="547">
        <f>IF(AND(BG$4&gt;='Annexe C  Plan produit'!$H$17,BG4&lt;'Annexe C  Plan produit'!$I$17),SUM('Annexe C  Plan produit'!$K$17:$M$17),0)+IF(AND(BG$4&gt;='Annexe C  Plan produit'!$H$18,BG4&lt;'Annexe C  Plan produit'!$I$18),SUM('Annexe C  Plan produit'!$K$18:$M$18),0)+IF(AND(BG$4&gt;='Annexe C  Plan produit'!$H$19,BG4&lt;'Annexe C  Plan produit'!$I$19),SUM('Annexe C  Plan produit'!$K$19:$M$19),0)+IF(AND(BG$4&gt;='Annexe C  Plan produit'!$H$20,BG4&lt;'Annexe C  Plan produit'!$I$20),SUM('Annexe C  Plan produit'!$K$20:$M$21),0)+IF(AND(BG$4&gt;='Annexe C  Plan produit'!$H$21,BG4&lt;'Annexe C  Plan produit'!$I$21),SUM('Annexe C  Plan produit'!$K$21:$M$21),0)</f>
        <v>6.5</v>
      </c>
      <c r="BH9" s="547">
        <f>IF(AND(BH$4&gt;='Annexe C  Plan produit'!$H$17,BH4&lt;'Annexe C  Plan produit'!$I$17),SUM('Annexe C  Plan produit'!$K$17:$M$17),0)+IF(AND(BH$4&gt;='Annexe C  Plan produit'!$H$18,BH4&lt;'Annexe C  Plan produit'!$I$18),SUM('Annexe C  Plan produit'!$K$18:$M$18),0)+IF(AND(BH$4&gt;='Annexe C  Plan produit'!$H$19,BH4&lt;'Annexe C  Plan produit'!$I$19),SUM('Annexe C  Plan produit'!$K$19:$M$19),0)+IF(AND(BH$4&gt;='Annexe C  Plan produit'!$H$20,BH4&lt;'Annexe C  Plan produit'!$I$20),SUM('Annexe C  Plan produit'!$K$20:$M$21),0)+IF(AND(BH$4&gt;='Annexe C  Plan produit'!$H$21,BH4&lt;'Annexe C  Plan produit'!$I$21),SUM('Annexe C  Plan produit'!$K$21:$M$21),0)</f>
        <v>6.5</v>
      </c>
      <c r="BI9" s="547">
        <f>IF(AND(BI$4&gt;='Annexe C  Plan produit'!$H$17,BI4&lt;'Annexe C  Plan produit'!$I$17),SUM('Annexe C  Plan produit'!$K$17:$M$17),0)+IF(AND(BI$4&gt;='Annexe C  Plan produit'!$H$18,BI4&lt;'Annexe C  Plan produit'!$I$18),SUM('Annexe C  Plan produit'!$K$18:$M$18),0)+IF(AND(BI$4&gt;='Annexe C  Plan produit'!$H$19,BI4&lt;'Annexe C  Plan produit'!$I$19),SUM('Annexe C  Plan produit'!$K$19:$M$19),0)+IF(AND(BI$4&gt;='Annexe C  Plan produit'!$H$20,BI4&lt;'Annexe C  Plan produit'!$I$20),SUM('Annexe C  Plan produit'!$K$20:$M$21),0)+IF(AND(BI$4&gt;='Annexe C  Plan produit'!$H$21,BI4&lt;'Annexe C  Plan produit'!$I$21),SUM('Annexe C  Plan produit'!$K$21:$M$21),0)</f>
        <v>6.5</v>
      </c>
      <c r="BJ9" s="547">
        <f>IF(AND(BJ$4&gt;='Annexe C  Plan produit'!$H$17,BJ4&lt;'Annexe C  Plan produit'!$I$17),SUM('Annexe C  Plan produit'!$K$17:$M$17),0)+IF(AND(BJ$4&gt;='Annexe C  Plan produit'!$H$18,BJ4&lt;'Annexe C  Plan produit'!$I$18),SUM('Annexe C  Plan produit'!$K$18:$M$18),0)+IF(AND(BJ$4&gt;='Annexe C  Plan produit'!$H$19,BJ4&lt;'Annexe C  Plan produit'!$I$19),SUM('Annexe C  Plan produit'!$K$19:$M$19),0)+IF(AND(BJ$4&gt;='Annexe C  Plan produit'!$H$20,BJ4&lt;'Annexe C  Plan produit'!$I$20),SUM('Annexe C  Plan produit'!$K$20:$M$21),0)+IF(AND(BJ$4&gt;='Annexe C  Plan produit'!$H$21,BJ4&lt;'Annexe C  Plan produit'!$I$21),SUM('Annexe C  Plan produit'!$K$21:$M$21),0)</f>
        <v>6.5</v>
      </c>
      <c r="BK9" s="547">
        <f>IF(AND(BK$4&gt;='Annexe C  Plan produit'!$H$17,BK4&lt;'Annexe C  Plan produit'!$I$17),SUM('Annexe C  Plan produit'!$K$17:$M$17),0)+IF(AND(BK$4&gt;='Annexe C  Plan produit'!$H$18,BK4&lt;'Annexe C  Plan produit'!$I$18),SUM('Annexe C  Plan produit'!$K$18:$M$18),0)+IF(AND(BK$4&gt;='Annexe C  Plan produit'!$H$19,BK4&lt;'Annexe C  Plan produit'!$I$19),SUM('Annexe C  Plan produit'!$K$19:$M$19),0)+IF(AND(BK$4&gt;='Annexe C  Plan produit'!$H$20,BK4&lt;'Annexe C  Plan produit'!$I$20),SUM('Annexe C  Plan produit'!$K$20:$M$21),0)+IF(AND(BK$4&gt;='Annexe C  Plan produit'!$H$21,BK4&lt;'Annexe C  Plan produit'!$I$21),SUM('Annexe C  Plan produit'!$K$21:$M$21),0)</f>
        <v>6.5</v>
      </c>
      <c r="BL9" s="547">
        <f>IF(AND(BL$4&gt;='Annexe C  Plan produit'!$H$17,BL4&lt;'Annexe C  Plan produit'!$I$17),SUM('Annexe C  Plan produit'!$K$17:$M$17),0)+IF(AND(BL$4&gt;='Annexe C  Plan produit'!$H$18,BL4&lt;'Annexe C  Plan produit'!$I$18),SUM('Annexe C  Plan produit'!$K$18:$M$18),0)+IF(AND(BL$4&gt;='Annexe C  Plan produit'!$H$19,BL4&lt;'Annexe C  Plan produit'!$I$19),SUM('Annexe C  Plan produit'!$K$19:$M$19),0)+IF(AND(BL$4&gt;='Annexe C  Plan produit'!$H$20,BL4&lt;'Annexe C  Plan produit'!$I$20),SUM('Annexe C  Plan produit'!$K$20:$M$21),0)+IF(AND(BL$4&gt;='Annexe C  Plan produit'!$H$21,BL4&lt;'Annexe C  Plan produit'!$I$21),SUM('Annexe C  Plan produit'!$K$21:$M$21),0)</f>
        <v>6.5</v>
      </c>
      <c r="BM9" s="547">
        <f>IF(AND(BM$4&gt;='Annexe C  Plan produit'!$H$17,BM4&lt;'Annexe C  Plan produit'!$I$17),SUM('Annexe C  Plan produit'!$K$17:$M$17),0)+IF(AND(BM$4&gt;='Annexe C  Plan produit'!$H$18,BM4&lt;'Annexe C  Plan produit'!$I$18),SUM('Annexe C  Plan produit'!$K$18:$M$18),0)+IF(AND(BM$4&gt;='Annexe C  Plan produit'!$H$19,BM4&lt;'Annexe C  Plan produit'!$I$19),SUM('Annexe C  Plan produit'!$K$19:$M$19),0)+IF(AND(BM$4&gt;='Annexe C  Plan produit'!$H$20,BM4&lt;'Annexe C  Plan produit'!$I$20),SUM('Annexe C  Plan produit'!$K$20:$M$21),0)+IF(AND(BM$4&gt;='Annexe C  Plan produit'!$H$21,BM4&lt;'Annexe C  Plan produit'!$I$21),SUM('Annexe C  Plan produit'!$K$21:$M$21),0)</f>
        <v>9.75</v>
      </c>
      <c r="BN9" s="547">
        <f>IF(AND(BN$4&gt;='Annexe C  Plan produit'!$H$17,BN4&lt;'Annexe C  Plan produit'!$I$17),SUM('Annexe C  Plan produit'!$K$17:$M$17),0)+IF(AND(BN$4&gt;='Annexe C  Plan produit'!$H$18,BN4&lt;'Annexe C  Plan produit'!$I$18),SUM('Annexe C  Plan produit'!$K$18:$M$18),0)+IF(AND(BN$4&gt;='Annexe C  Plan produit'!$H$19,BN4&lt;'Annexe C  Plan produit'!$I$19),SUM('Annexe C  Plan produit'!$K$19:$M$19),0)+IF(AND(BN$4&gt;='Annexe C  Plan produit'!$H$20,BN4&lt;'Annexe C  Plan produit'!$I$20),SUM('Annexe C  Plan produit'!$K$20:$M$21),0)+IF(AND(BN$4&gt;='Annexe C  Plan produit'!$H$21,BN4&lt;'Annexe C  Plan produit'!$I$21),SUM('Annexe C  Plan produit'!$K$21:$M$21),0)</f>
        <v>9.75</v>
      </c>
      <c r="BO9" s="547">
        <f>IF(AND(BO$4&gt;='Annexe C  Plan produit'!$H$17,BO4&lt;'Annexe C  Plan produit'!$I$17),SUM('Annexe C  Plan produit'!$K$17:$M$17),0)+IF(AND(BO$4&gt;='Annexe C  Plan produit'!$H$18,BO4&lt;'Annexe C  Plan produit'!$I$18),SUM('Annexe C  Plan produit'!$K$18:$M$18),0)+IF(AND(BO$4&gt;='Annexe C  Plan produit'!$H$19,BO4&lt;'Annexe C  Plan produit'!$I$19),SUM('Annexe C  Plan produit'!$K$19:$M$19),0)+IF(AND(BO$4&gt;='Annexe C  Plan produit'!$H$20,BO4&lt;'Annexe C  Plan produit'!$I$20),SUM('Annexe C  Plan produit'!$K$20:$M$21),0)+IF(AND(BO$4&gt;='Annexe C  Plan produit'!$H$21,BO4&lt;'Annexe C  Plan produit'!$I$21),SUM('Annexe C  Plan produit'!$K$21:$M$21),0)</f>
        <v>9.75</v>
      </c>
      <c r="BP9" s="548">
        <f>IF(AND(BP$4&gt;='Annexe C  Plan produit'!$H$17,BP4&lt;'Annexe C  Plan produit'!$I$17),SUM('Annexe C  Plan produit'!$K$17:$M$17),0)+IF(AND(BP$4&gt;='Annexe C  Plan produit'!$H$18,BP4&lt;'Annexe C  Plan produit'!$I$18),SUM('Annexe C  Plan produit'!$K$18:$M$18),0)+IF(AND(BP$4&gt;='Annexe C  Plan produit'!$H$19,BP4&lt;'Annexe C  Plan produit'!$I$19),SUM('Annexe C  Plan produit'!$K$19:$M$19),0)+IF(AND(BP$4&gt;='Annexe C  Plan produit'!$H$20,BP4&lt;'Annexe C  Plan produit'!$I$20),SUM('Annexe C  Plan produit'!$K$20:$M$21),0)+IF(AND(BP$4&gt;='Annexe C  Plan produit'!$H$21,BP4&lt;'Annexe C  Plan produit'!$I$21),SUM('Annexe C  Plan produit'!$K$21:$M$21),0)</f>
        <v>9.75</v>
      </c>
      <c r="BQ9" s="546">
        <f>IF(AND(BQ$4&gt;='Annexe C  Plan produit'!$H$17,BQ4&lt;'Annexe C  Plan produit'!$I$17),SUM('Annexe C  Plan produit'!$K$17:$M$17),0)+IF(AND(BQ$4&gt;='Annexe C  Plan produit'!$H$18,BQ4&lt;'Annexe C  Plan produit'!$I$18),SUM('Annexe C  Plan produit'!$K$18:$M$18),0)+IF(AND(BQ$4&gt;='Annexe C  Plan produit'!$H$19,BQ4&lt;'Annexe C  Plan produit'!$I$19),SUM('Annexe C  Plan produit'!$K$19:$M$19),0)+IF(AND(BQ$4&gt;='Annexe C  Plan produit'!$H$20,BQ4&lt;'Annexe C  Plan produit'!$I$20),SUM('Annexe C  Plan produit'!$K$20:$M$21),0)+IF(AND(BQ$4&gt;='Annexe C  Plan produit'!$H$21,BQ4&lt;'Annexe C  Plan produit'!$I$21),SUM('Annexe C  Plan produit'!$K$21:$M$21),0)</f>
        <v>9.75</v>
      </c>
      <c r="BR9" s="547">
        <f>IF(AND(BR$4&gt;='Annexe C  Plan produit'!$H$17,BR4&lt;'Annexe C  Plan produit'!$I$17),SUM('Annexe C  Plan produit'!$K$17:$M$17),0)+IF(AND(BR$4&gt;='Annexe C  Plan produit'!$H$18,BR4&lt;'Annexe C  Plan produit'!$I$18),SUM('Annexe C  Plan produit'!$K$18:$M$18),0)+IF(AND(BR$4&gt;='Annexe C  Plan produit'!$H$19,BR4&lt;'Annexe C  Plan produit'!$I$19),SUM('Annexe C  Plan produit'!$K$19:$M$19),0)+IF(AND(BR$4&gt;='Annexe C  Plan produit'!$H$20,BR4&lt;'Annexe C  Plan produit'!$I$20),SUM('Annexe C  Plan produit'!$K$20:$M$21),0)+IF(AND(BR$4&gt;='Annexe C  Plan produit'!$H$21,BR4&lt;'Annexe C  Plan produit'!$I$21),SUM('Annexe C  Plan produit'!$K$21:$M$21),0)</f>
        <v>9.75</v>
      </c>
      <c r="BS9" s="547">
        <f>IF(AND(BS$4&gt;='Annexe C  Plan produit'!$H$17,BS4&lt;'Annexe C  Plan produit'!$I$17),SUM('Annexe C  Plan produit'!$K$17:$M$17),0)+IF(AND(BS$4&gt;='Annexe C  Plan produit'!$H$18,BS4&lt;'Annexe C  Plan produit'!$I$18),SUM('Annexe C  Plan produit'!$K$18:$M$18),0)+IF(AND(BS$4&gt;='Annexe C  Plan produit'!$H$19,BS4&lt;'Annexe C  Plan produit'!$I$19),SUM('Annexe C  Plan produit'!$K$19:$M$19),0)+IF(AND(BS$4&gt;='Annexe C  Plan produit'!$H$20,BS4&lt;'Annexe C  Plan produit'!$I$20),SUM('Annexe C  Plan produit'!$K$20:$M$21),0)+IF(AND(BS$4&gt;='Annexe C  Plan produit'!$H$21,BS4&lt;'Annexe C  Plan produit'!$I$21),SUM('Annexe C  Plan produit'!$K$21:$M$21),0)</f>
        <v>9.75</v>
      </c>
      <c r="BT9" s="547">
        <f>IF(AND(BT$4&gt;='Annexe C  Plan produit'!$H$17,BT4&lt;'Annexe C  Plan produit'!$I$17),SUM('Annexe C  Plan produit'!$K$17:$M$17),0)+IF(AND(BT$4&gt;='Annexe C  Plan produit'!$H$18,BT4&lt;'Annexe C  Plan produit'!$I$18),SUM('Annexe C  Plan produit'!$K$18:$M$18),0)+IF(AND(BT$4&gt;='Annexe C  Plan produit'!$H$19,BT4&lt;'Annexe C  Plan produit'!$I$19),SUM('Annexe C  Plan produit'!$K$19:$M$19),0)+IF(AND(BT$4&gt;='Annexe C  Plan produit'!$H$20,BT4&lt;'Annexe C  Plan produit'!$I$20),SUM('Annexe C  Plan produit'!$K$20:$M$21),0)+IF(AND(BT$4&gt;='Annexe C  Plan produit'!$H$21,BT4&lt;'Annexe C  Plan produit'!$I$21),SUM('Annexe C  Plan produit'!$K$21:$M$21),0)</f>
        <v>9.75</v>
      </c>
      <c r="BU9" s="547">
        <f>IF(AND(BU$4&gt;='Annexe C  Plan produit'!$H$17,BU4&lt;'Annexe C  Plan produit'!$I$17),SUM('Annexe C  Plan produit'!$K$17:$M$17),0)+IF(AND(BU$4&gt;='Annexe C  Plan produit'!$H$18,BU4&lt;'Annexe C  Plan produit'!$I$18),SUM('Annexe C  Plan produit'!$K$18:$M$18),0)+IF(AND(BU$4&gt;='Annexe C  Plan produit'!$H$19,BU4&lt;'Annexe C  Plan produit'!$I$19),SUM('Annexe C  Plan produit'!$K$19:$M$19),0)+IF(AND(BU$4&gt;='Annexe C  Plan produit'!$H$20,BU4&lt;'Annexe C  Plan produit'!$I$20),SUM('Annexe C  Plan produit'!$K$20:$M$21),0)+IF(AND(BU$4&gt;='Annexe C  Plan produit'!$H$21,BU4&lt;'Annexe C  Plan produit'!$I$21),SUM('Annexe C  Plan produit'!$K$21:$M$21),0)</f>
        <v>9.75</v>
      </c>
      <c r="BV9" s="547">
        <f>IF(AND(BV$4&gt;='Annexe C  Plan produit'!$H$17,BV4&lt;'Annexe C  Plan produit'!$I$17),SUM('Annexe C  Plan produit'!$K$17:$M$17),0)+IF(AND(BV$4&gt;='Annexe C  Plan produit'!$H$18,BV4&lt;'Annexe C  Plan produit'!$I$18),SUM('Annexe C  Plan produit'!$K$18:$M$18),0)+IF(AND(BV$4&gt;='Annexe C  Plan produit'!$H$19,BV4&lt;'Annexe C  Plan produit'!$I$19),SUM('Annexe C  Plan produit'!$K$19:$M$19),0)+IF(AND(BV$4&gt;='Annexe C  Plan produit'!$H$20,BV4&lt;'Annexe C  Plan produit'!$I$20),SUM('Annexe C  Plan produit'!$K$20:$M$21),0)+IF(AND(BV$4&gt;='Annexe C  Plan produit'!$H$21,BV4&lt;'Annexe C  Plan produit'!$I$21),SUM('Annexe C  Plan produit'!$K$21:$M$21),0)</f>
        <v>9.75</v>
      </c>
      <c r="BW9" s="547">
        <f>IF(AND(BW$4&gt;='Annexe C  Plan produit'!$H$17,BW4&lt;'Annexe C  Plan produit'!$I$17),SUM('Annexe C  Plan produit'!$K$17:$M$17),0)+IF(AND(BW$4&gt;='Annexe C  Plan produit'!$H$18,BW4&lt;'Annexe C  Plan produit'!$I$18),SUM('Annexe C  Plan produit'!$K$18:$M$18),0)+IF(AND(BW$4&gt;='Annexe C  Plan produit'!$H$19,BW4&lt;'Annexe C  Plan produit'!$I$19),SUM('Annexe C  Plan produit'!$K$19:$M$19),0)+IF(AND(BW$4&gt;='Annexe C  Plan produit'!$H$20,BW4&lt;'Annexe C  Plan produit'!$I$20),SUM('Annexe C  Plan produit'!$K$20:$M$21),0)+IF(AND(BW$4&gt;='Annexe C  Plan produit'!$H$21,BW4&lt;'Annexe C  Plan produit'!$I$21),SUM('Annexe C  Plan produit'!$K$21:$M$21),0)</f>
        <v>9.75</v>
      </c>
      <c r="BX9" s="547">
        <f>IF(AND(BX$4&gt;='Annexe C  Plan produit'!$H$17,BX4&lt;'Annexe C  Plan produit'!$I$17),SUM('Annexe C  Plan produit'!$K$17:$M$17),0)+IF(AND(BX$4&gt;='Annexe C  Plan produit'!$H$18,BX4&lt;'Annexe C  Plan produit'!$I$18),SUM('Annexe C  Plan produit'!$K$18:$M$18),0)+IF(AND(BX$4&gt;='Annexe C  Plan produit'!$H$19,BX4&lt;'Annexe C  Plan produit'!$I$19),SUM('Annexe C  Plan produit'!$K$19:$M$19),0)+IF(AND(BX$4&gt;='Annexe C  Plan produit'!$H$20,BX4&lt;'Annexe C  Plan produit'!$I$20),SUM('Annexe C  Plan produit'!$K$20:$M$21),0)+IF(AND(BX$4&gt;='Annexe C  Plan produit'!$H$21,BX4&lt;'Annexe C  Plan produit'!$I$21),SUM('Annexe C  Plan produit'!$K$21:$M$21),0)</f>
        <v>9.75</v>
      </c>
      <c r="BY9" s="547">
        <f>IF(AND(BY$4&gt;='Annexe C  Plan produit'!$H$17,BY4&lt;'Annexe C  Plan produit'!$I$17),SUM('Annexe C  Plan produit'!$K$17:$M$17),0)+IF(AND(BY$4&gt;='Annexe C  Plan produit'!$H$18,BY4&lt;'Annexe C  Plan produit'!$I$18),SUM('Annexe C  Plan produit'!$K$18:$M$18),0)+IF(AND(BY$4&gt;='Annexe C  Plan produit'!$H$19,BY4&lt;'Annexe C  Plan produit'!$I$19),SUM('Annexe C  Plan produit'!$K$19:$M$19),0)+IF(AND(BY$4&gt;='Annexe C  Plan produit'!$H$20,BY4&lt;'Annexe C  Plan produit'!$I$20),SUM('Annexe C  Plan produit'!$K$20:$M$21),0)+IF(AND(BY$4&gt;='Annexe C  Plan produit'!$H$21,BY4&lt;'Annexe C  Plan produit'!$I$21),SUM('Annexe C  Plan produit'!$K$21:$M$21),0)</f>
        <v>16.25</v>
      </c>
      <c r="BZ9" s="547">
        <f>IF(AND(BZ$4&gt;='Annexe C  Plan produit'!$H$17,BZ4&lt;'Annexe C  Plan produit'!$I$17),SUM('Annexe C  Plan produit'!$K$17:$M$17),0)+IF(AND(BZ$4&gt;='Annexe C  Plan produit'!$H$18,BZ4&lt;'Annexe C  Plan produit'!$I$18),SUM('Annexe C  Plan produit'!$K$18:$M$18),0)+IF(AND(BZ$4&gt;='Annexe C  Plan produit'!$H$19,BZ4&lt;'Annexe C  Plan produit'!$I$19),SUM('Annexe C  Plan produit'!$K$19:$M$19),0)+IF(AND(BZ$4&gt;='Annexe C  Plan produit'!$H$20,BZ4&lt;'Annexe C  Plan produit'!$I$20),SUM('Annexe C  Plan produit'!$K$20:$M$21),0)+IF(AND(BZ$4&gt;='Annexe C  Plan produit'!$H$21,BZ4&lt;'Annexe C  Plan produit'!$I$21),SUM('Annexe C  Plan produit'!$K$21:$M$21),0)</f>
        <v>16.25</v>
      </c>
      <c r="CA9" s="547">
        <f>IF(AND(CA$4&gt;='Annexe C  Plan produit'!$H$17,CA4&lt;'Annexe C  Plan produit'!$I$17),SUM('Annexe C  Plan produit'!$K$17:$M$17),0)+IF(AND(CA$4&gt;='Annexe C  Plan produit'!$H$18,CA4&lt;'Annexe C  Plan produit'!$I$18),SUM('Annexe C  Plan produit'!$K$18:$M$18),0)+IF(AND(CA$4&gt;='Annexe C  Plan produit'!$H$19,CA4&lt;'Annexe C  Plan produit'!$I$19),SUM('Annexe C  Plan produit'!$K$19:$M$19),0)+IF(AND(CA$4&gt;='Annexe C  Plan produit'!$H$20,CA4&lt;'Annexe C  Plan produit'!$I$20),SUM('Annexe C  Plan produit'!$K$20:$M$21),0)+IF(AND(CA$4&gt;='Annexe C  Plan produit'!$H$21,CA4&lt;'Annexe C  Plan produit'!$I$21),SUM('Annexe C  Plan produit'!$K$21:$M$21),0)</f>
        <v>16.25</v>
      </c>
      <c r="CB9" s="548">
        <f>IF(AND(CB$4&gt;='Annexe C  Plan produit'!$H$17,CB4&lt;'Annexe C  Plan produit'!$I$17),SUM('Annexe C  Plan produit'!$K$17:$M$17),0)+IF(AND(CB$4&gt;='Annexe C  Plan produit'!$H$18,CB4&lt;'Annexe C  Plan produit'!$I$18),SUM('Annexe C  Plan produit'!$K$18:$M$18),0)+IF(AND(CB$4&gt;='Annexe C  Plan produit'!$H$19,CB4&lt;'Annexe C  Plan produit'!$I$19),SUM('Annexe C  Plan produit'!$K$19:$M$19),0)+IF(AND(CB$4&gt;='Annexe C  Plan produit'!$H$20,CB4&lt;'Annexe C  Plan produit'!$I$20),SUM('Annexe C  Plan produit'!$K$20:$M$21),0)+IF(AND(CB$4&gt;='Annexe C  Plan produit'!$H$21,CB4&lt;'Annexe C  Plan produit'!$I$21),SUM('Annexe C  Plan produit'!$K$21:$M$21),0)</f>
        <v>16.25</v>
      </c>
    </row>
    <row r="10" spans="1:80" ht="15.75" customHeight="1" outlineLevel="1">
      <c r="A10" s="549" t="s">
        <v>417</v>
      </c>
      <c r="B10" s="546">
        <f>IF(AND(B$4&gt;='Annexe C  Plan produit'!$H$38,B$4&lt;'Annexe C  Plan produit'!$I$38),SUM('Annexe C  Plan produit'!$K$38:$M$38),0)+IF(AND(B$4&gt;='Annexe C  Plan produit'!$H$39,B$4&lt;'Annexe C  Plan produit'!$I$39),SUM('Annexe C  Plan produit'!$K$39:$M$39),0)+IF(AND(B$4&gt;='Annexe C  Plan produit'!$H$40,B$4&lt;'Annexe C  Plan produit'!$I$40),SUM('Annexe C  Plan produit'!$K$40:$M$40),0)</f>
        <v>2.3000000000000003</v>
      </c>
      <c r="C10" s="547">
        <f>IF(AND(C$4&gt;='Annexe C  Plan produit'!$H$38,C$4&lt;'Annexe C  Plan produit'!$I$38),SUM('Annexe C  Plan produit'!$K$38:$M$38),0)+IF(AND(C$4&gt;='Annexe C  Plan produit'!$H$39,C$4&lt;'Annexe C  Plan produit'!$I$39),SUM('Annexe C  Plan produit'!$K$39:$M$39),0)+IF(AND(C$4&gt;='Annexe C  Plan produit'!$H$40,C$4&lt;'Annexe C  Plan produit'!$I$40),SUM('Annexe C  Plan produit'!$K$40:$M$40),0)</f>
        <v>2.3000000000000003</v>
      </c>
      <c r="D10" s="547">
        <f>IF(AND(D$4&gt;='Annexe C  Plan produit'!$H$38,D$4&lt;'Annexe C  Plan produit'!$I$38),SUM('Annexe C  Plan produit'!$K$38:$M$38),0)+IF(AND(D$4&gt;='Annexe C  Plan produit'!$H$39,D$4&lt;'Annexe C  Plan produit'!$I$39),SUM('Annexe C  Plan produit'!$K$39:$M$39),0)+IF(AND(D$4&gt;='Annexe C  Plan produit'!$H$40,D$4&lt;'Annexe C  Plan produit'!$I$40),SUM('Annexe C  Plan produit'!$K$40:$M$40),0)</f>
        <v>2.3000000000000003</v>
      </c>
      <c r="E10" s="547">
        <f>IF(AND(E$4&gt;='Annexe C  Plan produit'!$H$38,E$4&lt;'Annexe C  Plan produit'!$I$38),SUM('Annexe C  Plan produit'!$K$38:$M$38),0)+IF(AND(E$4&gt;='Annexe C  Plan produit'!$H$39,E$4&lt;'Annexe C  Plan produit'!$I$39),SUM('Annexe C  Plan produit'!$K$39:$M$39),0)+IF(AND(E$4&gt;='Annexe C  Plan produit'!$H$40,E$4&lt;'Annexe C  Plan produit'!$I$40),SUM('Annexe C  Plan produit'!$K$40:$M$40),0)</f>
        <v>2.3000000000000003</v>
      </c>
      <c r="F10" s="547">
        <f>IF(AND(F$4&gt;='Annexe C  Plan produit'!$H$38,F$4&lt;'Annexe C  Plan produit'!$I$38),SUM('Annexe C  Plan produit'!$K$38:$M$38),0)+IF(AND(F$4&gt;='Annexe C  Plan produit'!$H$39,F$4&lt;'Annexe C  Plan produit'!$I$39),SUM('Annexe C  Plan produit'!$K$39:$M$39),0)+IF(AND(F$4&gt;='Annexe C  Plan produit'!$H$40,F$4&lt;'Annexe C  Plan produit'!$I$40),SUM('Annexe C  Plan produit'!$K$40:$M$40),0)</f>
        <v>2.3000000000000003</v>
      </c>
      <c r="G10" s="547">
        <f>IF(AND(G$4&gt;='Annexe C  Plan produit'!$H$38,G$4&lt;'Annexe C  Plan produit'!$I$38),SUM('Annexe C  Plan produit'!$K$38:$M$38),0)+IF(AND(G$4&gt;='Annexe C  Plan produit'!$H$39,G$4&lt;'Annexe C  Plan produit'!$I$39),SUM('Annexe C  Plan produit'!$K$39:$M$39),0)+IF(AND(G$4&gt;='Annexe C  Plan produit'!$H$40,G$4&lt;'Annexe C  Plan produit'!$I$40),SUM('Annexe C  Plan produit'!$K$40:$M$40),0)</f>
        <v>2.3000000000000003</v>
      </c>
      <c r="H10" s="548">
        <f>IF(AND(H$4&gt;='Annexe C  Plan produit'!$H$38,H$4&lt;'Annexe C  Plan produit'!$I$38),SUM('Annexe C  Plan produit'!$K$38:$M$38),0)+IF(AND(H$4&gt;='Annexe C  Plan produit'!$H$39,H$4&lt;'Annexe C  Plan produit'!$I$39),SUM('Annexe C  Plan produit'!$K$39:$M$39),0)+IF(AND(H$4&gt;='Annexe C  Plan produit'!$H$40,H$4&lt;'Annexe C  Plan produit'!$I$40),SUM('Annexe C  Plan produit'!$K$40:$M$40),0)</f>
        <v>2.3000000000000003</v>
      </c>
      <c r="I10" s="546">
        <f>IF(AND(I$4&gt;='Annexe C  Plan produit'!$H$38,I$4&lt;'Annexe C  Plan produit'!$I$38),SUM('Annexe C  Plan produit'!$K$38:$M$38),0)+IF(AND(I$4&gt;='Annexe C  Plan produit'!$H$39,I$4&lt;'Annexe C  Plan produit'!$I$39),SUM('Annexe C  Plan produit'!$K$39:$M$39),0)+IF(AND(I$4&gt;='Annexe C  Plan produit'!$H$40,I$4&lt;'Annexe C  Plan produit'!$I$40),SUM('Annexe C  Plan produit'!$K$40:$M$40),0)</f>
        <v>2.3000000000000003</v>
      </c>
      <c r="J10" s="547">
        <f>IF(AND(J$4&gt;='Annexe C  Plan produit'!$H$38,J$4&lt;'Annexe C  Plan produit'!$I$38),SUM('Annexe C  Plan produit'!$K$38:$M$38),0)+IF(AND(J$4&gt;='Annexe C  Plan produit'!$H$39,J$4&lt;'Annexe C  Plan produit'!$I$39),SUM('Annexe C  Plan produit'!$K$39:$M$39),0)+IF(AND(J$4&gt;='Annexe C  Plan produit'!$H$40,J$4&lt;'Annexe C  Plan produit'!$I$40),SUM('Annexe C  Plan produit'!$K$40:$M$40),0)</f>
        <v>2.3000000000000003</v>
      </c>
      <c r="K10" s="547">
        <f>IF(AND(K$4&gt;='Annexe C  Plan produit'!$H$38,K$4&lt;'Annexe C  Plan produit'!$I$38),SUM('Annexe C  Plan produit'!$K$38:$M$38),0)+IF(AND(K$4&gt;='Annexe C  Plan produit'!$H$39,K$4&lt;'Annexe C  Plan produit'!$I$39),SUM('Annexe C  Plan produit'!$K$39:$M$39),0)+IF(AND(K$4&gt;='Annexe C  Plan produit'!$H$40,K$4&lt;'Annexe C  Plan produit'!$I$40),SUM('Annexe C  Plan produit'!$K$40:$M$40),0)</f>
        <v>2.3000000000000003</v>
      </c>
      <c r="L10" s="547">
        <f>IF(AND(L$4&gt;='Annexe C  Plan produit'!$H$38,L$4&lt;'Annexe C  Plan produit'!$I$38),SUM('Annexe C  Plan produit'!$K$38:$M$38),0)+IF(AND(L$4&gt;='Annexe C  Plan produit'!$H$39,L$4&lt;'Annexe C  Plan produit'!$I$39),SUM('Annexe C  Plan produit'!$K$39:$M$39),0)+IF(AND(L$4&gt;='Annexe C  Plan produit'!$H$40,L$4&lt;'Annexe C  Plan produit'!$I$40),SUM('Annexe C  Plan produit'!$K$40:$M$40),0)</f>
        <v>2.3000000000000003</v>
      </c>
      <c r="M10" s="547">
        <f>IF(AND(M$4&gt;='Annexe C  Plan produit'!$H$38,M$4&lt;'Annexe C  Plan produit'!$I$38),SUM('Annexe C  Plan produit'!$K$38:$M$38),0)+IF(AND(M$4&gt;='Annexe C  Plan produit'!$H$39,M$4&lt;'Annexe C  Plan produit'!$I$39),SUM('Annexe C  Plan produit'!$K$39:$M$39),0)+IF(AND(M$4&gt;='Annexe C  Plan produit'!$H$40,M$4&lt;'Annexe C  Plan produit'!$I$40),SUM('Annexe C  Plan produit'!$K$40:$M$40),0)</f>
        <v>2.3000000000000003</v>
      </c>
      <c r="N10" s="547">
        <f>IF(AND(N$4&gt;='Annexe C  Plan produit'!$H$38,N$4&lt;'Annexe C  Plan produit'!$I$38),SUM('Annexe C  Plan produit'!$K$38:$M$38),0)+IF(AND(N$4&gt;='Annexe C  Plan produit'!$H$39,N$4&lt;'Annexe C  Plan produit'!$I$39),SUM('Annexe C  Plan produit'!$K$39:$M$39),0)+IF(AND(N$4&gt;='Annexe C  Plan produit'!$H$40,N$4&lt;'Annexe C  Plan produit'!$I$40),SUM('Annexe C  Plan produit'!$K$40:$M$40),0)</f>
        <v>2.3000000000000003</v>
      </c>
      <c r="O10" s="547">
        <f>IF(AND(O$4&gt;='Annexe C  Plan produit'!$H$38,O$4&lt;'Annexe C  Plan produit'!$I$38),SUM('Annexe C  Plan produit'!$K$38:$M$38),0)+IF(AND(O$4&gt;='Annexe C  Plan produit'!$H$39,O$4&lt;'Annexe C  Plan produit'!$I$39),SUM('Annexe C  Plan produit'!$K$39:$M$39),0)+IF(AND(O$4&gt;='Annexe C  Plan produit'!$H$40,O$4&lt;'Annexe C  Plan produit'!$I$40),SUM('Annexe C  Plan produit'!$K$40:$M$40),0)</f>
        <v>2.3000000000000003</v>
      </c>
      <c r="P10" s="547">
        <f>IF(AND(P$4&gt;='Annexe C  Plan produit'!$H$38,P$4&lt;'Annexe C  Plan produit'!$I$38),SUM('Annexe C  Plan produit'!$K$38:$M$38),0)+IF(AND(P$4&gt;='Annexe C  Plan produit'!$H$39,P$4&lt;'Annexe C  Plan produit'!$I$39),SUM('Annexe C  Plan produit'!$K$39:$M$39),0)+IF(AND(P$4&gt;='Annexe C  Plan produit'!$H$40,P$4&lt;'Annexe C  Plan produit'!$I$40),SUM('Annexe C  Plan produit'!$K$40:$M$40),0)</f>
        <v>2.3000000000000003</v>
      </c>
      <c r="Q10" s="547">
        <f>IF(AND(Q$4&gt;='Annexe C  Plan produit'!$H$38,Q$4&lt;'Annexe C  Plan produit'!$I$38),SUM('Annexe C  Plan produit'!$K$38:$M$38),0)+IF(AND(Q$4&gt;='Annexe C  Plan produit'!$H$39,Q$4&lt;'Annexe C  Plan produit'!$I$39),SUM('Annexe C  Plan produit'!$K$39:$M$39),0)+IF(AND(Q$4&gt;='Annexe C  Plan produit'!$H$40,Q$4&lt;'Annexe C  Plan produit'!$I$40),SUM('Annexe C  Plan produit'!$K$40:$M$40),0)</f>
        <v>2.3000000000000003</v>
      </c>
      <c r="R10" s="547">
        <f>IF(AND(R$4&gt;='Annexe C  Plan produit'!$H$38,R$4&lt;'Annexe C  Plan produit'!$I$38),SUM('Annexe C  Plan produit'!$K$38:$M$38),0)+IF(AND(R$4&gt;='Annexe C  Plan produit'!$H$39,R$4&lt;'Annexe C  Plan produit'!$I$39),SUM('Annexe C  Plan produit'!$K$39:$M$39),0)+IF(AND(R$4&gt;='Annexe C  Plan produit'!$H$40,R$4&lt;'Annexe C  Plan produit'!$I$40),SUM('Annexe C  Plan produit'!$K$40:$M$40),0)</f>
        <v>2.3000000000000003</v>
      </c>
      <c r="S10" s="547">
        <f>IF(AND(S$4&gt;='Annexe C  Plan produit'!$H$38,S$4&lt;'Annexe C  Plan produit'!$I$38),SUM('Annexe C  Plan produit'!$K$38:$M$38),0)+IF(AND(S$4&gt;='Annexe C  Plan produit'!$H$39,S$4&lt;'Annexe C  Plan produit'!$I$39),SUM('Annexe C  Plan produit'!$K$39:$M$39),0)+IF(AND(S$4&gt;='Annexe C  Plan produit'!$H$40,S$4&lt;'Annexe C  Plan produit'!$I$40),SUM('Annexe C  Plan produit'!$K$40:$M$40),0)</f>
        <v>2.3000000000000003</v>
      </c>
      <c r="T10" s="548">
        <f>IF(AND(T$4&gt;='Annexe C  Plan produit'!$H$38,T$4&lt;'Annexe C  Plan produit'!$I$38),SUM('Annexe C  Plan produit'!$K$38:$M$38),0)+IF(AND(T$4&gt;='Annexe C  Plan produit'!$H$39,T$4&lt;'Annexe C  Plan produit'!$I$39),SUM('Annexe C  Plan produit'!$K$39:$M$39),0)+IF(AND(T$4&gt;='Annexe C  Plan produit'!$H$40,T$4&lt;'Annexe C  Plan produit'!$I$40),SUM('Annexe C  Plan produit'!$K$40:$M$40),0)</f>
        <v>2.3000000000000003</v>
      </c>
      <c r="U10" s="546">
        <f>IF(AND(U$4&gt;='Annexe C  Plan produit'!$H$38,U$4&lt;'Annexe C  Plan produit'!$I$38),SUM('Annexe C  Plan produit'!$K$38:$M$38),0)+IF(AND(U$4&gt;='Annexe C  Plan produit'!$H$39,U$4&lt;'Annexe C  Plan produit'!$I$39),SUM('Annexe C  Plan produit'!$K$39:$M$39),0)+IF(AND(U$4&gt;='Annexe C  Plan produit'!$H$40,U$4&lt;'Annexe C  Plan produit'!$I$40),SUM('Annexe C  Plan produit'!$K$40:$M$40),0)</f>
        <v>2.3000000000000003</v>
      </c>
      <c r="V10" s="547">
        <f>IF(AND(V$4&gt;='Annexe C  Plan produit'!$H$38,V$4&lt;'Annexe C  Plan produit'!$I$38),SUM('Annexe C  Plan produit'!$K$38:$M$38),0)+IF(AND(V$4&gt;='Annexe C  Plan produit'!$H$39,V$4&lt;'Annexe C  Plan produit'!$I$39),SUM('Annexe C  Plan produit'!$K$39:$M$39),0)+IF(AND(V$4&gt;='Annexe C  Plan produit'!$H$40,V$4&lt;'Annexe C  Plan produit'!$I$40),SUM('Annexe C  Plan produit'!$K$40:$M$40),0)</f>
        <v>2.3000000000000003</v>
      </c>
      <c r="W10" s="547">
        <f>IF(AND(W$4&gt;='Annexe C  Plan produit'!$H$38,W$4&lt;'Annexe C  Plan produit'!$I$38),SUM('Annexe C  Plan produit'!$K$38:$M$38),0)+IF(AND(W$4&gt;='Annexe C  Plan produit'!$H$39,W$4&lt;'Annexe C  Plan produit'!$I$39),SUM('Annexe C  Plan produit'!$K$39:$M$39),0)+IF(AND(W$4&gt;='Annexe C  Plan produit'!$H$40,W$4&lt;'Annexe C  Plan produit'!$I$40),SUM('Annexe C  Plan produit'!$K$40:$M$40),0)</f>
        <v>2.3000000000000003</v>
      </c>
      <c r="X10" s="547">
        <f>IF(AND(X$4&gt;='Annexe C  Plan produit'!$H$38,X$4&lt;'Annexe C  Plan produit'!$I$38),SUM('Annexe C  Plan produit'!$K$38:$M$38),0)+IF(AND(X$4&gt;='Annexe C  Plan produit'!$H$39,X$4&lt;'Annexe C  Plan produit'!$I$39),SUM('Annexe C  Plan produit'!$K$39:$M$39),0)+IF(AND(X$4&gt;='Annexe C  Plan produit'!$H$40,X$4&lt;'Annexe C  Plan produit'!$I$40),SUM('Annexe C  Plan produit'!$K$40:$M$40),0)</f>
        <v>2.3000000000000003</v>
      </c>
      <c r="Y10" s="547">
        <f>IF(AND(Y$4&gt;='Annexe C  Plan produit'!$H$38,Y$4&lt;'Annexe C  Plan produit'!$I$38),SUM('Annexe C  Plan produit'!$K$38:$M$38),0)+IF(AND(Y$4&gt;='Annexe C  Plan produit'!$H$39,Y$4&lt;'Annexe C  Plan produit'!$I$39),SUM('Annexe C  Plan produit'!$K$39:$M$39),0)+IF(AND(Y$4&gt;='Annexe C  Plan produit'!$H$40,Y$4&lt;'Annexe C  Plan produit'!$I$40),SUM('Annexe C  Plan produit'!$K$40:$M$40),0)</f>
        <v>2.3000000000000003</v>
      </c>
      <c r="Z10" s="547">
        <f>IF(AND(Z$4&gt;='Annexe C  Plan produit'!$H$38,Z$4&lt;'Annexe C  Plan produit'!$I$38),SUM('Annexe C  Plan produit'!$K$38:$M$38),0)+IF(AND(Z$4&gt;='Annexe C  Plan produit'!$H$39,Z$4&lt;'Annexe C  Plan produit'!$I$39),SUM('Annexe C  Plan produit'!$K$39:$M$39),0)+IF(AND(Z$4&gt;='Annexe C  Plan produit'!$H$40,Z$4&lt;'Annexe C  Plan produit'!$I$40),SUM('Annexe C  Plan produit'!$K$40:$M$40),0)</f>
        <v>2.3000000000000003</v>
      </c>
      <c r="AA10" s="547">
        <f>IF(AND(AA$4&gt;='Annexe C  Plan produit'!$H$38,AA$4&lt;'Annexe C  Plan produit'!$I$38),SUM('Annexe C  Plan produit'!$K$38:$M$38),0)+IF(AND(AA$4&gt;='Annexe C  Plan produit'!$H$39,AA$4&lt;'Annexe C  Plan produit'!$I$39),SUM('Annexe C  Plan produit'!$K$39:$M$39),0)+IF(AND(AA$4&gt;='Annexe C  Plan produit'!$H$40,AA$4&lt;'Annexe C  Plan produit'!$I$40),SUM('Annexe C  Plan produit'!$K$40:$M$40),0)</f>
        <v>2.3000000000000003</v>
      </c>
      <c r="AB10" s="547">
        <f>IF(AND(AB$4&gt;='Annexe C  Plan produit'!$H$38,AB$4&lt;'Annexe C  Plan produit'!$I$38),SUM('Annexe C  Plan produit'!$K$38:$M$38),0)+IF(AND(AB$4&gt;='Annexe C  Plan produit'!$H$39,AB$4&lt;'Annexe C  Plan produit'!$I$39),SUM('Annexe C  Plan produit'!$K$39:$M$39),0)+IF(AND(AB$4&gt;='Annexe C  Plan produit'!$H$40,AB$4&lt;'Annexe C  Plan produit'!$I$40),SUM('Annexe C  Plan produit'!$K$40:$M$40),0)</f>
        <v>2.3000000000000003</v>
      </c>
      <c r="AC10" s="547">
        <f>IF(AND(AC$4&gt;='Annexe C  Plan produit'!$H$38,AC$4&lt;'Annexe C  Plan produit'!$I$38),SUM('Annexe C  Plan produit'!$K$38:$M$38),0)+IF(AND(AC$4&gt;='Annexe C  Plan produit'!$H$39,AC$4&lt;'Annexe C  Plan produit'!$I$39),SUM('Annexe C  Plan produit'!$K$39:$M$39),0)+IF(AND(AC$4&gt;='Annexe C  Plan produit'!$H$40,AC$4&lt;'Annexe C  Plan produit'!$I$40),SUM('Annexe C  Plan produit'!$K$40:$M$40),0)</f>
        <v>2.3000000000000003</v>
      </c>
      <c r="AD10" s="547">
        <f>IF(AND(AD$4&gt;='Annexe C  Plan produit'!$H$38,AD$4&lt;'Annexe C  Plan produit'!$I$38),SUM('Annexe C  Plan produit'!$K$38:$M$38),0)+IF(AND(AD$4&gt;='Annexe C  Plan produit'!$H$39,AD$4&lt;'Annexe C  Plan produit'!$I$39),SUM('Annexe C  Plan produit'!$K$39:$M$39),0)+IF(AND(AD$4&gt;='Annexe C  Plan produit'!$H$40,AD$4&lt;'Annexe C  Plan produit'!$I$40),SUM('Annexe C  Plan produit'!$K$40:$M$40),0)</f>
        <v>2.3000000000000003</v>
      </c>
      <c r="AE10" s="547">
        <f>IF(AND(AE$4&gt;='Annexe C  Plan produit'!$H$38,AE$4&lt;'Annexe C  Plan produit'!$I$38),SUM('Annexe C  Plan produit'!$K$38:$M$38),0)+IF(AND(AE$4&gt;='Annexe C  Plan produit'!$H$39,AE$4&lt;'Annexe C  Plan produit'!$I$39),SUM('Annexe C  Plan produit'!$K$39:$M$39),0)+IF(AND(AE$4&gt;='Annexe C  Plan produit'!$H$40,AE$4&lt;'Annexe C  Plan produit'!$I$40),SUM('Annexe C  Plan produit'!$K$40:$M$40),0)</f>
        <v>2.3000000000000003</v>
      </c>
      <c r="AF10" s="548">
        <f>IF(AND(AF$4&gt;='Annexe C  Plan produit'!$H$38,AF$4&lt;'Annexe C  Plan produit'!$I$38),SUM('Annexe C  Plan produit'!$K$38:$M$38),0)+IF(AND(AF$4&gt;='Annexe C  Plan produit'!$H$39,AF$4&lt;'Annexe C  Plan produit'!$I$39),SUM('Annexe C  Plan produit'!$K$39:$M$39),0)+IF(AND(AF$4&gt;='Annexe C  Plan produit'!$H$40,AF$4&lt;'Annexe C  Plan produit'!$I$40),SUM('Annexe C  Plan produit'!$K$40:$M$40),0)</f>
        <v>2.3000000000000003</v>
      </c>
      <c r="AG10" s="546">
        <f>IF(AND(AG$4&gt;='Annexe C  Plan produit'!$H$38,AG$4&lt;'Annexe C  Plan produit'!$I$38),SUM('Annexe C  Plan produit'!$K$38:$M$38),0)+IF(AND(AG$4&gt;='Annexe C  Plan produit'!$H$39,AG$4&lt;'Annexe C  Plan produit'!$I$39),SUM('Annexe C  Plan produit'!$K$39:$M$39),0)+IF(AND(AG$4&gt;='Annexe C  Plan produit'!$H$40,AG$4&lt;'Annexe C  Plan produit'!$I$40),SUM('Annexe C  Plan produit'!$K$40:$M$40),0)</f>
        <v>2.3000000000000003</v>
      </c>
      <c r="AH10" s="547">
        <f>IF(AND(AH$4&gt;='Annexe C  Plan produit'!$H$38,AH$4&lt;'Annexe C  Plan produit'!$I$38),SUM('Annexe C  Plan produit'!$K$38:$M$38),0)+IF(AND(AH$4&gt;='Annexe C  Plan produit'!$H$39,AH$4&lt;'Annexe C  Plan produit'!$I$39),SUM('Annexe C  Plan produit'!$K$39:$M$39),0)+IF(AND(AH$4&gt;='Annexe C  Plan produit'!$H$40,AH$4&lt;'Annexe C  Plan produit'!$I$40),SUM('Annexe C  Plan produit'!$K$40:$M$40),0)</f>
        <v>2.3000000000000003</v>
      </c>
      <c r="AI10" s="547">
        <f>IF(AND(AI$4&gt;='Annexe C  Plan produit'!$H$38,AI$4&lt;'Annexe C  Plan produit'!$I$38),SUM('Annexe C  Plan produit'!$K$38:$M$38),0)+IF(AND(AI$4&gt;='Annexe C  Plan produit'!$H$39,AI$4&lt;'Annexe C  Plan produit'!$I$39),SUM('Annexe C  Plan produit'!$K$39:$M$39),0)+IF(AND(AI$4&gt;='Annexe C  Plan produit'!$H$40,AI$4&lt;'Annexe C  Plan produit'!$I$40),SUM('Annexe C  Plan produit'!$K$40:$M$40),0)</f>
        <v>2.3000000000000003</v>
      </c>
      <c r="AJ10" s="547">
        <f>IF(AND(AJ$4&gt;='Annexe C  Plan produit'!$H$38,AJ$4&lt;'Annexe C  Plan produit'!$I$38),SUM('Annexe C  Plan produit'!$K$38:$M$38),0)+IF(AND(AJ$4&gt;='Annexe C  Plan produit'!$H$39,AJ$4&lt;'Annexe C  Plan produit'!$I$39),SUM('Annexe C  Plan produit'!$K$39:$M$39),0)+IF(AND(AJ$4&gt;='Annexe C  Plan produit'!$H$40,AJ$4&lt;'Annexe C  Plan produit'!$I$40),SUM('Annexe C  Plan produit'!$K$40:$M$40),0)</f>
        <v>2.3000000000000003</v>
      </c>
      <c r="AK10" s="547">
        <f>IF(AND(AK$4&gt;='Annexe C  Plan produit'!$H$38,AK$4&lt;'Annexe C  Plan produit'!$I$38),SUM('Annexe C  Plan produit'!$K$38:$M$38),0)+IF(AND(AK$4&gt;='Annexe C  Plan produit'!$H$39,AK$4&lt;'Annexe C  Plan produit'!$I$39),SUM('Annexe C  Plan produit'!$K$39:$M$39),0)+IF(AND(AK$4&gt;='Annexe C  Plan produit'!$H$40,AK$4&lt;'Annexe C  Plan produit'!$I$40),SUM('Annexe C  Plan produit'!$K$40:$M$40),0)</f>
        <v>2.3000000000000003</v>
      </c>
      <c r="AL10" s="547">
        <f>IF(AND(AL$4&gt;='Annexe C  Plan produit'!$H$38,AL$4&lt;'Annexe C  Plan produit'!$I$38),SUM('Annexe C  Plan produit'!$K$38:$M$38),0)+IF(AND(AL$4&gt;='Annexe C  Plan produit'!$H$39,AL$4&lt;'Annexe C  Plan produit'!$I$39),SUM('Annexe C  Plan produit'!$K$39:$M$39),0)+IF(AND(AL$4&gt;='Annexe C  Plan produit'!$H$40,AL$4&lt;'Annexe C  Plan produit'!$I$40),SUM('Annexe C  Plan produit'!$K$40:$M$40),0)</f>
        <v>2.3000000000000003</v>
      </c>
      <c r="AM10" s="547">
        <f>IF(AND(AM$4&gt;='Annexe C  Plan produit'!$H$38,AM$4&lt;'Annexe C  Plan produit'!$I$38),SUM('Annexe C  Plan produit'!$K$38:$M$38),0)+IF(AND(AM$4&gt;='Annexe C  Plan produit'!$H$39,AM$4&lt;'Annexe C  Plan produit'!$I$39),SUM('Annexe C  Plan produit'!$K$39:$M$39),0)+IF(AND(AM$4&gt;='Annexe C  Plan produit'!$H$40,AM$4&lt;'Annexe C  Plan produit'!$I$40),SUM('Annexe C  Plan produit'!$K$40:$M$40),0)</f>
        <v>2.3000000000000003</v>
      </c>
      <c r="AN10" s="547">
        <f>IF(AND(AN$4&gt;='Annexe C  Plan produit'!$H$38,AN$4&lt;'Annexe C  Plan produit'!$I$38),SUM('Annexe C  Plan produit'!$K$38:$M$38),0)+IF(AND(AN$4&gt;='Annexe C  Plan produit'!$H$39,AN$4&lt;'Annexe C  Plan produit'!$I$39),SUM('Annexe C  Plan produit'!$K$39:$M$39),0)+IF(AND(AN$4&gt;='Annexe C  Plan produit'!$H$40,AN$4&lt;'Annexe C  Plan produit'!$I$40),SUM('Annexe C  Plan produit'!$K$40:$M$40),0)</f>
        <v>2.3000000000000003</v>
      </c>
      <c r="AO10" s="547">
        <f>IF(AND(AO$4&gt;='Annexe C  Plan produit'!$H$38,AO$4&lt;'Annexe C  Plan produit'!$I$38),SUM('Annexe C  Plan produit'!$K$38:$M$38),0)+IF(AND(AO$4&gt;='Annexe C  Plan produit'!$H$39,AO$4&lt;'Annexe C  Plan produit'!$I$39),SUM('Annexe C  Plan produit'!$K$39:$M$39),0)+IF(AND(AO$4&gt;='Annexe C  Plan produit'!$H$40,AO$4&lt;'Annexe C  Plan produit'!$I$40),SUM('Annexe C  Plan produit'!$K$40:$M$40),0)</f>
        <v>2.3000000000000003</v>
      </c>
      <c r="AP10" s="547">
        <f>IF(AND(AP$4&gt;='Annexe C  Plan produit'!$H$38,AP$4&lt;'Annexe C  Plan produit'!$I$38),SUM('Annexe C  Plan produit'!$K$38:$M$38),0)+IF(AND(AP$4&gt;='Annexe C  Plan produit'!$H$39,AP$4&lt;'Annexe C  Plan produit'!$I$39),SUM('Annexe C  Plan produit'!$K$39:$M$39),0)+IF(AND(AP$4&gt;='Annexe C  Plan produit'!$H$40,AP$4&lt;'Annexe C  Plan produit'!$I$40),SUM('Annexe C  Plan produit'!$K$40:$M$40),0)</f>
        <v>2.3000000000000003</v>
      </c>
      <c r="AQ10" s="547">
        <f>IF(AND(AQ$4&gt;='Annexe C  Plan produit'!$H$38,AQ$4&lt;'Annexe C  Plan produit'!$I$38),SUM('Annexe C  Plan produit'!$K$38:$M$38),0)+IF(AND(AQ$4&gt;='Annexe C  Plan produit'!$H$39,AQ$4&lt;'Annexe C  Plan produit'!$I$39),SUM('Annexe C  Plan produit'!$K$39:$M$39),0)+IF(AND(AQ$4&gt;='Annexe C  Plan produit'!$H$40,AQ$4&lt;'Annexe C  Plan produit'!$I$40),SUM('Annexe C  Plan produit'!$K$40:$M$40),0)</f>
        <v>2.3000000000000003</v>
      </c>
      <c r="AR10" s="548">
        <f>IF(AND(AR$4&gt;='Annexe C  Plan produit'!$H$38,AR$4&lt;'Annexe C  Plan produit'!$I$38),SUM('Annexe C  Plan produit'!$K$38:$M$38),0)+IF(AND(AR$4&gt;='Annexe C  Plan produit'!$H$39,AR$4&lt;'Annexe C  Plan produit'!$I$39),SUM('Annexe C  Plan produit'!$K$39:$M$39),0)+IF(AND(AR$4&gt;='Annexe C  Plan produit'!$H$40,AR$4&lt;'Annexe C  Plan produit'!$I$40),SUM('Annexe C  Plan produit'!$K$40:$M$40),0)</f>
        <v>2.3000000000000003</v>
      </c>
      <c r="AS10" s="546">
        <f>IF(AND(AS$4&gt;='Annexe C  Plan produit'!$H$38,AS$4&lt;'Annexe C  Plan produit'!$I$38),SUM('Annexe C  Plan produit'!$K$38:$M$38),0)+IF(AND(AS$4&gt;='Annexe C  Plan produit'!$H$39,AS$4&lt;'Annexe C  Plan produit'!$I$39),SUM('Annexe C  Plan produit'!$K$39:$M$39),0)+IF(AND(AS$4&gt;='Annexe C  Plan produit'!$H$40,AS$4&lt;'Annexe C  Plan produit'!$I$40),SUM('Annexe C  Plan produit'!$K$40:$M$40),0)</f>
        <v>2.3000000000000003</v>
      </c>
      <c r="AT10" s="547">
        <f>IF(AND(AT$4&gt;='Annexe C  Plan produit'!$H$38,AT$4&lt;'Annexe C  Plan produit'!$I$38),SUM('Annexe C  Plan produit'!$K$38:$M$38),0)+IF(AND(AT$4&gt;='Annexe C  Plan produit'!$H$39,AT$4&lt;'Annexe C  Plan produit'!$I$39),SUM('Annexe C  Plan produit'!$K$39:$M$39),0)+IF(AND(AT$4&gt;='Annexe C  Plan produit'!$H$40,AT$4&lt;'Annexe C  Plan produit'!$I$40),SUM('Annexe C  Plan produit'!$K$40:$M$40),0)</f>
        <v>2.3000000000000003</v>
      </c>
      <c r="AU10" s="547">
        <f>IF(AND(AU$4&gt;='Annexe C  Plan produit'!$H$38,AU$4&lt;'Annexe C  Plan produit'!$I$38),SUM('Annexe C  Plan produit'!$K$38:$M$38),0)+IF(AND(AU$4&gt;='Annexe C  Plan produit'!$H$39,AU$4&lt;'Annexe C  Plan produit'!$I$39),SUM('Annexe C  Plan produit'!$K$39:$M$39),0)+IF(AND(AU$4&gt;='Annexe C  Plan produit'!$H$40,AU$4&lt;'Annexe C  Plan produit'!$I$40),SUM('Annexe C  Plan produit'!$K$40:$M$40),0)</f>
        <v>2.3000000000000003</v>
      </c>
      <c r="AV10" s="547">
        <f>IF(AND(AV$4&gt;='Annexe C  Plan produit'!$H$38,AV$4&lt;'Annexe C  Plan produit'!$I$38),SUM('Annexe C  Plan produit'!$K$38:$M$38),0)+IF(AND(AV$4&gt;='Annexe C  Plan produit'!$H$39,AV$4&lt;'Annexe C  Plan produit'!$I$39),SUM('Annexe C  Plan produit'!$K$39:$M$39),0)+IF(AND(AV$4&gt;='Annexe C  Plan produit'!$H$40,AV$4&lt;'Annexe C  Plan produit'!$I$40),SUM('Annexe C  Plan produit'!$K$40:$M$40),0)</f>
        <v>2.3000000000000003</v>
      </c>
      <c r="AW10" s="547">
        <f>IF(AND(AW$4&gt;='Annexe C  Plan produit'!$H$38,AW$4&lt;'Annexe C  Plan produit'!$I$38),SUM('Annexe C  Plan produit'!$K$38:$M$38),0)+IF(AND(AW$4&gt;='Annexe C  Plan produit'!$H$39,AW$4&lt;'Annexe C  Plan produit'!$I$39),SUM('Annexe C  Plan produit'!$K$39:$M$39),0)+IF(AND(AW$4&gt;='Annexe C  Plan produit'!$H$40,AW$4&lt;'Annexe C  Plan produit'!$I$40),SUM('Annexe C  Plan produit'!$K$40:$M$40),0)</f>
        <v>2.3000000000000003</v>
      </c>
      <c r="AX10" s="547">
        <f>IF(AND(AX$4&gt;='Annexe C  Plan produit'!$H$38,AX$4&lt;'Annexe C  Plan produit'!$I$38),SUM('Annexe C  Plan produit'!$K$38:$M$38),0)+IF(AND(AX$4&gt;='Annexe C  Plan produit'!$H$39,AX$4&lt;'Annexe C  Plan produit'!$I$39),SUM('Annexe C  Plan produit'!$K$39:$M$39),0)+IF(AND(AX$4&gt;='Annexe C  Plan produit'!$H$40,AX$4&lt;'Annexe C  Plan produit'!$I$40),SUM('Annexe C  Plan produit'!$K$40:$M$40),0)</f>
        <v>2.3000000000000003</v>
      </c>
      <c r="AY10" s="547">
        <f>IF(AND(AY$4&gt;='Annexe C  Plan produit'!$H$38,AY$4&lt;'Annexe C  Plan produit'!$I$38),SUM('Annexe C  Plan produit'!$K$38:$M$38),0)+IF(AND(AY$4&gt;='Annexe C  Plan produit'!$H$39,AY$4&lt;'Annexe C  Plan produit'!$I$39),SUM('Annexe C  Plan produit'!$K$39:$M$39),0)+IF(AND(AY$4&gt;='Annexe C  Plan produit'!$H$40,AY$4&lt;'Annexe C  Plan produit'!$I$40),SUM('Annexe C  Plan produit'!$K$40:$M$40),0)</f>
        <v>2.3000000000000003</v>
      </c>
      <c r="AZ10" s="547">
        <f>IF(AND(AZ$4&gt;='Annexe C  Plan produit'!$H$38,AZ$4&lt;'Annexe C  Plan produit'!$I$38),SUM('Annexe C  Plan produit'!$K$38:$M$38),0)+IF(AND(AZ$4&gt;='Annexe C  Plan produit'!$H$39,AZ$4&lt;'Annexe C  Plan produit'!$I$39),SUM('Annexe C  Plan produit'!$K$39:$M$39),0)+IF(AND(AZ$4&gt;='Annexe C  Plan produit'!$H$40,AZ$4&lt;'Annexe C  Plan produit'!$I$40),SUM('Annexe C  Plan produit'!$K$40:$M$40),0)</f>
        <v>2.3000000000000003</v>
      </c>
      <c r="BA10" s="547">
        <f>IF(AND(BA$4&gt;='Annexe C  Plan produit'!$H$38,BA$4&lt;'Annexe C  Plan produit'!$I$38),SUM('Annexe C  Plan produit'!$K$38:$M$38),0)+IF(AND(BA$4&gt;='Annexe C  Plan produit'!$H$39,BA$4&lt;'Annexe C  Plan produit'!$I$39),SUM('Annexe C  Plan produit'!$K$39:$M$39),0)+IF(AND(BA$4&gt;='Annexe C  Plan produit'!$H$40,BA$4&lt;'Annexe C  Plan produit'!$I$40),SUM('Annexe C  Plan produit'!$K$40:$M$40),0)</f>
        <v>2.3000000000000003</v>
      </c>
      <c r="BB10" s="547">
        <f>IF(AND(BB$4&gt;='Annexe C  Plan produit'!$H$38,BB$4&lt;'Annexe C  Plan produit'!$I$38),SUM('Annexe C  Plan produit'!$K$38:$M$38),0)+IF(AND(BB$4&gt;='Annexe C  Plan produit'!$H$39,BB$4&lt;'Annexe C  Plan produit'!$I$39),SUM('Annexe C  Plan produit'!$K$39:$M$39),0)+IF(AND(BB$4&gt;='Annexe C  Plan produit'!$H$40,BB$4&lt;'Annexe C  Plan produit'!$I$40),SUM('Annexe C  Plan produit'!$K$40:$M$40),0)</f>
        <v>2.3000000000000003</v>
      </c>
      <c r="BC10" s="547">
        <f>IF(AND(BC$4&gt;='Annexe C  Plan produit'!$H$38,BC$4&lt;'Annexe C  Plan produit'!$I$38),SUM('Annexe C  Plan produit'!$K$38:$M$38),0)+IF(AND(BC$4&gt;='Annexe C  Plan produit'!$H$39,BC$4&lt;'Annexe C  Plan produit'!$I$39),SUM('Annexe C  Plan produit'!$K$39:$M$39),0)+IF(AND(BC$4&gt;='Annexe C  Plan produit'!$H$40,BC$4&lt;'Annexe C  Plan produit'!$I$40),SUM('Annexe C  Plan produit'!$K$40:$M$40),0)</f>
        <v>2.3000000000000003</v>
      </c>
      <c r="BD10" s="548">
        <f>IF(AND(BD$4&gt;='Annexe C  Plan produit'!$H$38,BD$4&lt;'Annexe C  Plan produit'!$I$38),SUM('Annexe C  Plan produit'!$K$38:$M$38),0)+IF(AND(BD$4&gt;='Annexe C  Plan produit'!$H$39,BD$4&lt;'Annexe C  Plan produit'!$I$39),SUM('Annexe C  Plan produit'!$K$39:$M$39),0)+IF(AND(BD$4&gt;='Annexe C  Plan produit'!$H$40,BD$4&lt;'Annexe C  Plan produit'!$I$40),SUM('Annexe C  Plan produit'!$K$40:$M$40),0)</f>
        <v>2.3000000000000003</v>
      </c>
      <c r="BE10" s="546">
        <f>IF(AND(BE$4&gt;='Annexe C  Plan produit'!$H$38,BE$4&lt;'Annexe C  Plan produit'!$I$38),SUM('Annexe C  Plan produit'!$K$38:$M$38),0)+IF(AND(BE$4&gt;='Annexe C  Plan produit'!$H$39,BE$4&lt;'Annexe C  Plan produit'!$I$39),SUM('Annexe C  Plan produit'!$K$39:$M$39),0)+IF(AND(BE$4&gt;='Annexe C  Plan produit'!$H$40,BE$4&lt;'Annexe C  Plan produit'!$I$40),SUM('Annexe C  Plan produit'!$K$40:$M$40),0)</f>
        <v>2.3000000000000003</v>
      </c>
      <c r="BF10" s="547">
        <f>IF(AND(BF$4&gt;='Annexe C  Plan produit'!$H$38,BF$4&lt;'Annexe C  Plan produit'!$I$38),SUM('Annexe C  Plan produit'!$K$38:$M$38),0)+IF(AND(BF$4&gt;='Annexe C  Plan produit'!$H$39,BF$4&lt;'Annexe C  Plan produit'!$I$39),SUM('Annexe C  Plan produit'!$K$39:$M$39),0)+IF(AND(BF$4&gt;='Annexe C  Plan produit'!$H$40,BF$4&lt;'Annexe C  Plan produit'!$I$40),SUM('Annexe C  Plan produit'!$K$40:$M$40),0)</f>
        <v>4.6000000000000005</v>
      </c>
      <c r="BG10" s="547">
        <f>IF(AND(BG$4&gt;='Annexe C  Plan produit'!$H$38,BG$4&lt;'Annexe C  Plan produit'!$I$38),SUM('Annexe C  Plan produit'!$K$38:$M$38),0)+IF(AND(BG$4&gt;='Annexe C  Plan produit'!$H$39,BG$4&lt;'Annexe C  Plan produit'!$I$39),SUM('Annexe C  Plan produit'!$K$39:$M$39),0)+IF(AND(BG$4&gt;='Annexe C  Plan produit'!$H$40,BG$4&lt;'Annexe C  Plan produit'!$I$40),SUM('Annexe C  Plan produit'!$K$40:$M$40),0)</f>
        <v>4.6000000000000005</v>
      </c>
      <c r="BH10" s="547">
        <f>IF(AND(BH$4&gt;='Annexe C  Plan produit'!$H$38,BH$4&lt;'Annexe C  Plan produit'!$I$38),SUM('Annexe C  Plan produit'!$K$38:$M$38),0)+IF(AND(BH$4&gt;='Annexe C  Plan produit'!$H$39,BH$4&lt;'Annexe C  Plan produit'!$I$39),SUM('Annexe C  Plan produit'!$K$39:$M$39),0)+IF(AND(BH$4&gt;='Annexe C  Plan produit'!$H$40,BH$4&lt;'Annexe C  Plan produit'!$I$40),SUM('Annexe C  Plan produit'!$K$40:$M$40),0)</f>
        <v>4.6000000000000005</v>
      </c>
      <c r="BI10" s="547">
        <f>IF(AND(BI$4&gt;='Annexe C  Plan produit'!$H$38,BI$4&lt;'Annexe C  Plan produit'!$I$38),SUM('Annexe C  Plan produit'!$K$38:$M$38),0)+IF(AND(BI$4&gt;='Annexe C  Plan produit'!$H$39,BI$4&lt;'Annexe C  Plan produit'!$I$39),SUM('Annexe C  Plan produit'!$K$39:$M$39),0)+IF(AND(BI$4&gt;='Annexe C  Plan produit'!$H$40,BI$4&lt;'Annexe C  Plan produit'!$I$40),SUM('Annexe C  Plan produit'!$K$40:$M$40),0)</f>
        <v>4.6000000000000005</v>
      </c>
      <c r="BJ10" s="547">
        <f>IF(AND(BJ$4&gt;='Annexe C  Plan produit'!$H$38,BJ$4&lt;'Annexe C  Plan produit'!$I$38),SUM('Annexe C  Plan produit'!$K$38:$M$38),0)+IF(AND(BJ$4&gt;='Annexe C  Plan produit'!$H$39,BJ$4&lt;'Annexe C  Plan produit'!$I$39),SUM('Annexe C  Plan produit'!$K$39:$M$39),0)+IF(AND(BJ$4&gt;='Annexe C  Plan produit'!$H$40,BJ$4&lt;'Annexe C  Plan produit'!$I$40),SUM('Annexe C  Plan produit'!$K$40:$M$40),0)</f>
        <v>4.6000000000000005</v>
      </c>
      <c r="BK10" s="547">
        <f>IF(AND(BK$4&gt;='Annexe C  Plan produit'!$H$38,BK$4&lt;'Annexe C  Plan produit'!$I$38),SUM('Annexe C  Plan produit'!$K$38:$M$38),0)+IF(AND(BK$4&gt;='Annexe C  Plan produit'!$H$39,BK$4&lt;'Annexe C  Plan produit'!$I$39),SUM('Annexe C  Plan produit'!$K$39:$M$39),0)+IF(AND(BK$4&gt;='Annexe C  Plan produit'!$H$40,BK$4&lt;'Annexe C  Plan produit'!$I$40),SUM('Annexe C  Plan produit'!$K$40:$M$40),0)</f>
        <v>4.6000000000000005</v>
      </c>
      <c r="BL10" s="547">
        <f>IF(AND(BL$4&gt;='Annexe C  Plan produit'!$H$38,BL$4&lt;'Annexe C  Plan produit'!$I$38),SUM('Annexe C  Plan produit'!$K$38:$M$38),0)+IF(AND(BL$4&gt;='Annexe C  Plan produit'!$H$39,BL$4&lt;'Annexe C  Plan produit'!$I$39),SUM('Annexe C  Plan produit'!$K$39:$M$39),0)+IF(AND(BL$4&gt;='Annexe C  Plan produit'!$H$40,BL$4&lt;'Annexe C  Plan produit'!$I$40),SUM('Annexe C  Plan produit'!$K$40:$M$40),0)</f>
        <v>4.6000000000000005</v>
      </c>
      <c r="BM10" s="547">
        <f>IF(AND(BM$4&gt;='Annexe C  Plan produit'!$H$38,BM$4&lt;'Annexe C  Plan produit'!$I$38),SUM('Annexe C  Plan produit'!$K$38:$M$38),0)+IF(AND(BM$4&gt;='Annexe C  Plan produit'!$H$39,BM$4&lt;'Annexe C  Plan produit'!$I$39),SUM('Annexe C  Plan produit'!$K$39:$M$39),0)+IF(AND(BM$4&gt;='Annexe C  Plan produit'!$H$40,BM$4&lt;'Annexe C  Plan produit'!$I$40),SUM('Annexe C  Plan produit'!$K$40:$M$40),0)</f>
        <v>4.6000000000000005</v>
      </c>
      <c r="BN10" s="547">
        <f>IF(AND(BN$4&gt;='Annexe C  Plan produit'!$H$38,BN$4&lt;'Annexe C  Plan produit'!$I$38),SUM('Annexe C  Plan produit'!$K$38:$M$38),0)+IF(AND(BN$4&gt;='Annexe C  Plan produit'!$H$39,BN$4&lt;'Annexe C  Plan produit'!$I$39),SUM('Annexe C  Plan produit'!$K$39:$M$39),0)+IF(AND(BN$4&gt;='Annexe C  Plan produit'!$H$40,BN$4&lt;'Annexe C  Plan produit'!$I$40),SUM('Annexe C  Plan produit'!$K$40:$M$40),0)</f>
        <v>4.6000000000000005</v>
      </c>
      <c r="BO10" s="547">
        <f>IF(AND(BO$4&gt;='Annexe C  Plan produit'!$H$38,BO$4&lt;'Annexe C  Plan produit'!$I$38),SUM('Annexe C  Plan produit'!$K$38:$M$38),0)+IF(AND(BO$4&gt;='Annexe C  Plan produit'!$H$39,BO$4&lt;'Annexe C  Plan produit'!$I$39),SUM('Annexe C  Plan produit'!$K$39:$M$39),0)+IF(AND(BO$4&gt;='Annexe C  Plan produit'!$H$40,BO$4&lt;'Annexe C  Plan produit'!$I$40),SUM('Annexe C  Plan produit'!$K$40:$M$40),0)</f>
        <v>4.6000000000000005</v>
      </c>
      <c r="BP10" s="548">
        <f>IF(AND(BP$4&gt;='Annexe C  Plan produit'!$H$38,BP$4&lt;'Annexe C  Plan produit'!$I$38),SUM('Annexe C  Plan produit'!$K$38:$M$38),0)+IF(AND(BP$4&gt;='Annexe C  Plan produit'!$H$39,BP$4&lt;'Annexe C  Plan produit'!$I$39),SUM('Annexe C  Plan produit'!$K$39:$M$39),0)+IF(AND(BP$4&gt;='Annexe C  Plan produit'!$H$40,BP$4&lt;'Annexe C  Plan produit'!$I$40),SUM('Annexe C  Plan produit'!$K$40:$M$40),0)</f>
        <v>4.6000000000000005</v>
      </c>
      <c r="BQ10" s="546">
        <f>IF(AND(BQ$4&gt;='Annexe C  Plan produit'!$H$38,BQ$4&lt;'Annexe C  Plan produit'!$I$38),SUM('Annexe C  Plan produit'!$K$38:$M$38),0)+IF(AND(BQ$4&gt;='Annexe C  Plan produit'!$H$39,BQ$4&lt;'Annexe C  Plan produit'!$I$39),SUM('Annexe C  Plan produit'!$K$39:$M$39),0)+IF(AND(BQ$4&gt;='Annexe C  Plan produit'!$H$40,BQ$4&lt;'Annexe C  Plan produit'!$I$40),SUM('Annexe C  Plan produit'!$K$40:$M$40),0)</f>
        <v>4.6000000000000005</v>
      </c>
      <c r="BR10" s="547">
        <f>IF(AND(BR$4&gt;='Annexe C  Plan produit'!$H$38,BR$4&lt;'Annexe C  Plan produit'!$I$38),SUM('Annexe C  Plan produit'!$K$38:$M$38),0)+IF(AND(BR$4&gt;='Annexe C  Plan produit'!$H$39,BR$4&lt;'Annexe C  Plan produit'!$I$39),SUM('Annexe C  Plan produit'!$K$39:$M$39),0)+IF(AND(BR$4&gt;='Annexe C  Plan produit'!$H$40,BR$4&lt;'Annexe C  Plan produit'!$I$40),SUM('Annexe C  Plan produit'!$K$40:$M$40),0)</f>
        <v>4.6000000000000005</v>
      </c>
      <c r="BS10" s="547">
        <f>IF(AND(BS$4&gt;='Annexe C  Plan produit'!$H$38,BS$4&lt;'Annexe C  Plan produit'!$I$38),SUM('Annexe C  Plan produit'!$K$38:$M$38),0)+IF(AND(BS$4&gt;='Annexe C  Plan produit'!$H$39,BS$4&lt;'Annexe C  Plan produit'!$I$39),SUM('Annexe C  Plan produit'!$K$39:$M$39),0)+IF(AND(BS$4&gt;='Annexe C  Plan produit'!$H$40,BS$4&lt;'Annexe C  Plan produit'!$I$40),SUM('Annexe C  Plan produit'!$K$40:$M$40),0)</f>
        <v>4.6000000000000005</v>
      </c>
      <c r="BT10" s="547">
        <f>IF(AND(BT$4&gt;='Annexe C  Plan produit'!$H$38,BT$4&lt;'Annexe C  Plan produit'!$I$38),SUM('Annexe C  Plan produit'!$K$38:$M$38),0)+IF(AND(BT$4&gt;='Annexe C  Plan produit'!$H$39,BT$4&lt;'Annexe C  Plan produit'!$I$39),SUM('Annexe C  Plan produit'!$K$39:$M$39),0)+IF(AND(BT$4&gt;='Annexe C  Plan produit'!$H$40,BT$4&lt;'Annexe C  Plan produit'!$I$40),SUM('Annexe C  Plan produit'!$K$40:$M$40),0)</f>
        <v>4.6000000000000005</v>
      </c>
      <c r="BU10" s="547">
        <f>IF(AND(BU$4&gt;='Annexe C  Plan produit'!$H$38,BU$4&lt;'Annexe C  Plan produit'!$I$38),SUM('Annexe C  Plan produit'!$K$38:$M$38),0)+IF(AND(BU$4&gt;='Annexe C  Plan produit'!$H$39,BU$4&lt;'Annexe C  Plan produit'!$I$39),SUM('Annexe C  Plan produit'!$K$39:$M$39),0)+IF(AND(BU$4&gt;='Annexe C  Plan produit'!$H$40,BU$4&lt;'Annexe C  Plan produit'!$I$40),SUM('Annexe C  Plan produit'!$K$40:$M$40),0)</f>
        <v>4.6000000000000005</v>
      </c>
      <c r="BV10" s="547">
        <f>IF(AND(BV$4&gt;='Annexe C  Plan produit'!$H$38,BV$4&lt;'Annexe C  Plan produit'!$I$38),SUM('Annexe C  Plan produit'!$K$38:$M$38),0)+IF(AND(BV$4&gt;='Annexe C  Plan produit'!$H$39,BV$4&lt;'Annexe C  Plan produit'!$I$39),SUM('Annexe C  Plan produit'!$K$39:$M$39),0)+IF(AND(BV$4&gt;='Annexe C  Plan produit'!$H$40,BV$4&lt;'Annexe C  Plan produit'!$I$40),SUM('Annexe C  Plan produit'!$K$40:$M$40),0)</f>
        <v>4.6000000000000005</v>
      </c>
      <c r="BW10" s="547">
        <f>IF(AND(BW$4&gt;='Annexe C  Plan produit'!$H$38,BW$4&lt;'Annexe C  Plan produit'!$I$38),SUM('Annexe C  Plan produit'!$K$38:$M$38),0)+IF(AND(BW$4&gt;='Annexe C  Plan produit'!$H$39,BW$4&lt;'Annexe C  Plan produit'!$I$39),SUM('Annexe C  Plan produit'!$K$39:$M$39),0)+IF(AND(BW$4&gt;='Annexe C  Plan produit'!$H$40,BW$4&lt;'Annexe C  Plan produit'!$I$40),SUM('Annexe C  Plan produit'!$K$40:$M$40),0)</f>
        <v>4.6000000000000005</v>
      </c>
      <c r="BX10" s="547">
        <f>IF(AND(BX$4&gt;='Annexe C  Plan produit'!$H$38,BX$4&lt;'Annexe C  Plan produit'!$I$38),SUM('Annexe C  Plan produit'!$K$38:$M$38),0)+IF(AND(BX$4&gt;='Annexe C  Plan produit'!$H$39,BX$4&lt;'Annexe C  Plan produit'!$I$39),SUM('Annexe C  Plan produit'!$K$39:$M$39),0)+IF(AND(BX$4&gt;='Annexe C  Plan produit'!$H$40,BX$4&lt;'Annexe C  Plan produit'!$I$40),SUM('Annexe C  Plan produit'!$K$40:$M$40),0)</f>
        <v>4.6000000000000005</v>
      </c>
      <c r="BY10" s="547">
        <f>IF(AND(BY$4&gt;='Annexe C  Plan produit'!$H$38,BY$4&lt;'Annexe C  Plan produit'!$I$38),SUM('Annexe C  Plan produit'!$K$38:$M$38),0)+IF(AND(BY$4&gt;='Annexe C  Plan produit'!$H$39,BY$4&lt;'Annexe C  Plan produit'!$I$39),SUM('Annexe C  Plan produit'!$K$39:$M$39),0)+IF(AND(BY$4&gt;='Annexe C  Plan produit'!$H$40,BY$4&lt;'Annexe C  Plan produit'!$I$40),SUM('Annexe C  Plan produit'!$K$40:$M$40),0)</f>
        <v>4.6000000000000005</v>
      </c>
      <c r="BZ10" s="547">
        <f>IF(AND(BZ$4&gt;='Annexe C  Plan produit'!$H$38,BZ$4&lt;'Annexe C  Plan produit'!$I$38),SUM('Annexe C  Plan produit'!$K$38:$M$38),0)+IF(AND(BZ$4&gt;='Annexe C  Plan produit'!$H$39,BZ$4&lt;'Annexe C  Plan produit'!$I$39),SUM('Annexe C  Plan produit'!$K$39:$M$39),0)+IF(AND(BZ$4&gt;='Annexe C  Plan produit'!$H$40,BZ$4&lt;'Annexe C  Plan produit'!$I$40),SUM('Annexe C  Plan produit'!$K$40:$M$40),0)</f>
        <v>4.6000000000000005</v>
      </c>
      <c r="CA10" s="547">
        <f>IF(AND(CA$4&gt;='Annexe C  Plan produit'!$H$38,CA$4&lt;'Annexe C  Plan produit'!$I$38),SUM('Annexe C  Plan produit'!$K$38:$M$38),0)+IF(AND(CA$4&gt;='Annexe C  Plan produit'!$H$39,CA$4&lt;'Annexe C  Plan produit'!$I$39),SUM('Annexe C  Plan produit'!$K$39:$M$39),0)+IF(AND(CA$4&gt;='Annexe C  Plan produit'!$H$40,CA$4&lt;'Annexe C  Plan produit'!$I$40),SUM('Annexe C  Plan produit'!$K$40:$M$40),0)</f>
        <v>4.6000000000000005</v>
      </c>
      <c r="CB10" s="548">
        <f>IF(AND(CB$4&gt;='Annexe C  Plan produit'!$H$38,CB$4&lt;'Annexe C  Plan produit'!$I$38),SUM('Annexe C  Plan produit'!$K$38:$M$38),0)+IF(AND(CB$4&gt;='Annexe C  Plan produit'!$H$39,CB$4&lt;'Annexe C  Plan produit'!$I$39),SUM('Annexe C  Plan produit'!$K$39:$M$39),0)+IF(AND(CB$4&gt;='Annexe C  Plan produit'!$H$40,CB$4&lt;'Annexe C  Plan produit'!$I$40),SUM('Annexe C  Plan produit'!$K$40:$M$40),0)</f>
        <v>4.6000000000000005</v>
      </c>
    </row>
    <row r="11" spans="1:80" ht="15.75" customHeight="1" outlineLevel="1">
      <c r="A11" s="549" t="s">
        <v>418</v>
      </c>
      <c r="B11" s="546">
        <f>IF(AND(B$4&gt;='Annexe C  Plan produit'!$H$52,B$4&lt;'Annexe C  Plan produit'!$I$52),SUM('Annexe C  Plan produit'!$K$52:$M$52),0)+IF(AND(B$4&gt;='Annexe C  Plan produit'!$H$53,B$4&lt;'Annexe C  Plan produit'!$I$53),SUM('Annexe C  Plan produit'!$K$53:$M$53),0)+IF(AND(B$4&gt;='Annexe C  Plan produit'!$H$54,B$4&lt;'Annexe C  Plan produit'!$I$54),SUM('Annexe C  Plan produit'!$K$54:$M$54),0)</f>
        <v>0</v>
      </c>
      <c r="C11" s="547">
        <f>IF(AND(C$4&gt;='Annexe C  Plan produit'!$H$52,C$4&lt;'Annexe C  Plan produit'!$I$52),SUM('Annexe C  Plan produit'!$K$52:$M$52),0)+IF(AND(C$4&gt;='Annexe C  Plan produit'!$H$53,C$4&lt;'Annexe C  Plan produit'!$I$53),SUM('Annexe C  Plan produit'!$K$53:$M$53),0)+IF(AND(C$4&gt;='Annexe C  Plan produit'!$H$54,C$4&lt;'Annexe C  Plan produit'!$I$54),SUM('Annexe C  Plan produit'!$K$54:$M$54),0)</f>
        <v>0</v>
      </c>
      <c r="D11" s="547">
        <f>IF(AND(D$4&gt;='Annexe C  Plan produit'!$H$52,D$4&lt;'Annexe C  Plan produit'!$I$52),SUM('Annexe C  Plan produit'!$K$52:$M$52),0)+IF(AND(D$4&gt;='Annexe C  Plan produit'!$H$53,D$4&lt;'Annexe C  Plan produit'!$I$53),SUM('Annexe C  Plan produit'!$K$53:$M$53),0)+IF(AND(D$4&gt;='Annexe C  Plan produit'!$H$54,D$4&lt;'Annexe C  Plan produit'!$I$54),SUM('Annexe C  Plan produit'!$K$54:$M$54),0)</f>
        <v>0</v>
      </c>
      <c r="E11" s="547">
        <f>IF(AND(E$4&gt;='Annexe C  Plan produit'!$H$52,E$4&lt;'Annexe C  Plan produit'!$I$52),SUM('Annexe C  Plan produit'!$K$52:$M$52),0)+IF(AND(E$4&gt;='Annexe C  Plan produit'!$H$53,E$4&lt;'Annexe C  Plan produit'!$I$53),SUM('Annexe C  Plan produit'!$K$53:$M$53),0)+IF(AND(E$4&gt;='Annexe C  Plan produit'!$H$54,E$4&lt;'Annexe C  Plan produit'!$I$54),SUM('Annexe C  Plan produit'!$K$54:$M$54),0)</f>
        <v>0</v>
      </c>
      <c r="F11" s="547">
        <f>IF(AND(F$4&gt;='Annexe C  Plan produit'!$H$52,F$4&lt;'Annexe C  Plan produit'!$I$52),SUM('Annexe C  Plan produit'!$K$52:$M$52),0)+IF(AND(F$4&gt;='Annexe C  Plan produit'!$H$53,F$4&lt;'Annexe C  Plan produit'!$I$53),SUM('Annexe C  Plan produit'!$K$53:$M$53),0)+IF(AND(F$4&gt;='Annexe C  Plan produit'!$H$54,F$4&lt;'Annexe C  Plan produit'!$I$54),SUM('Annexe C  Plan produit'!$K$54:$M$54),0)</f>
        <v>0</v>
      </c>
      <c r="G11" s="547">
        <f>IF(AND(G$4&gt;='Annexe C  Plan produit'!$H$52,G$4&lt;'Annexe C  Plan produit'!$I$52),SUM('Annexe C  Plan produit'!$K$52:$M$52),0)+IF(AND(G$4&gt;='Annexe C  Plan produit'!$H$53,G$4&lt;'Annexe C  Plan produit'!$I$53),SUM('Annexe C  Plan produit'!$K$53:$M$53),0)+IF(AND(G$4&gt;='Annexe C  Plan produit'!$H$54,G$4&lt;'Annexe C  Plan produit'!$I$54),SUM('Annexe C  Plan produit'!$K$54:$M$54),0)</f>
        <v>0</v>
      </c>
      <c r="H11" s="548">
        <f>IF(AND(H$4&gt;='Annexe C  Plan produit'!$H$52,H$4&lt;'Annexe C  Plan produit'!$I$52),SUM('Annexe C  Plan produit'!$K$52:$M$52),0)+IF(AND(H$4&gt;='Annexe C  Plan produit'!$H$53,H$4&lt;'Annexe C  Plan produit'!$I$53),SUM('Annexe C  Plan produit'!$K$53:$M$53),0)+IF(AND(H$4&gt;='Annexe C  Plan produit'!$H$54,H$4&lt;'Annexe C  Plan produit'!$I$54),SUM('Annexe C  Plan produit'!$K$54:$M$54),0)</f>
        <v>0</v>
      </c>
      <c r="I11" s="546">
        <f>IF(AND(I$4&gt;='Annexe C  Plan produit'!$H$52,I$4&lt;'Annexe C  Plan produit'!$I$52),SUM('Annexe C  Plan produit'!$K$52:$M$52),0)+IF(AND(I$4&gt;='Annexe C  Plan produit'!$H$53,I$4&lt;'Annexe C  Plan produit'!$I$53),SUM('Annexe C  Plan produit'!$K$53:$M$53),0)+IF(AND(I$4&gt;='Annexe C  Plan produit'!$H$54,I$4&lt;'Annexe C  Plan produit'!$I$54),SUM('Annexe C  Plan produit'!$K$54:$M$54),0)</f>
        <v>0</v>
      </c>
      <c r="J11" s="547">
        <f>IF(AND(J$4&gt;='Annexe C  Plan produit'!$H$52,J$4&lt;'Annexe C  Plan produit'!$I$52),SUM('Annexe C  Plan produit'!$K$52:$M$52),0)+IF(AND(J$4&gt;='Annexe C  Plan produit'!$H$53,J$4&lt;'Annexe C  Plan produit'!$I$53),SUM('Annexe C  Plan produit'!$K$53:$M$53),0)+IF(AND(J$4&gt;='Annexe C  Plan produit'!$H$54,J$4&lt;'Annexe C  Plan produit'!$I$54),SUM('Annexe C  Plan produit'!$K$54:$M$54),0)</f>
        <v>0</v>
      </c>
      <c r="K11" s="547">
        <f>IF(AND(K$4&gt;='Annexe C  Plan produit'!$H$52,K$4&lt;'Annexe C  Plan produit'!$I$52),SUM('Annexe C  Plan produit'!$K$52:$M$52),0)+IF(AND(K$4&gt;='Annexe C  Plan produit'!$H$53,K$4&lt;'Annexe C  Plan produit'!$I$53),SUM('Annexe C  Plan produit'!$K$53:$M$53),0)+IF(AND(K$4&gt;='Annexe C  Plan produit'!$H$54,K$4&lt;'Annexe C  Plan produit'!$I$54),SUM('Annexe C  Plan produit'!$K$54:$M$54),0)</f>
        <v>4.25</v>
      </c>
      <c r="L11" s="547">
        <f>IF(AND(L$4&gt;='Annexe C  Plan produit'!$H$52,L$4&lt;'Annexe C  Plan produit'!$I$52),SUM('Annexe C  Plan produit'!$K$52:$M$52),0)+IF(AND(L$4&gt;='Annexe C  Plan produit'!$H$53,L$4&lt;'Annexe C  Plan produit'!$I$53),SUM('Annexe C  Plan produit'!$K$53:$M$53),0)+IF(AND(L$4&gt;='Annexe C  Plan produit'!$H$54,L$4&lt;'Annexe C  Plan produit'!$I$54),SUM('Annexe C  Plan produit'!$K$54:$M$54),0)</f>
        <v>4.25</v>
      </c>
      <c r="M11" s="547">
        <f>IF(AND(M$4&gt;='Annexe C  Plan produit'!$H$52,M$4&lt;'Annexe C  Plan produit'!$I$52),SUM('Annexe C  Plan produit'!$K$52:$M$52),0)+IF(AND(M$4&gt;='Annexe C  Plan produit'!$H$53,M$4&lt;'Annexe C  Plan produit'!$I$53),SUM('Annexe C  Plan produit'!$K$53:$M$53),0)+IF(AND(M$4&gt;='Annexe C  Plan produit'!$H$54,M$4&lt;'Annexe C  Plan produit'!$I$54),SUM('Annexe C  Plan produit'!$K$54:$M$54),0)</f>
        <v>4.25</v>
      </c>
      <c r="N11" s="547">
        <f>IF(AND(N$4&gt;='Annexe C  Plan produit'!$H$52,N$4&lt;'Annexe C  Plan produit'!$I$52),SUM('Annexe C  Plan produit'!$K$52:$M$52),0)+IF(AND(N$4&gt;='Annexe C  Plan produit'!$H$53,N$4&lt;'Annexe C  Plan produit'!$I$53),SUM('Annexe C  Plan produit'!$K$53:$M$53),0)+IF(AND(N$4&gt;='Annexe C  Plan produit'!$H$54,N$4&lt;'Annexe C  Plan produit'!$I$54),SUM('Annexe C  Plan produit'!$K$54:$M$54),0)</f>
        <v>4.25</v>
      </c>
      <c r="O11" s="547">
        <f>IF(AND(O$4&gt;='Annexe C  Plan produit'!$H$52,O$4&lt;'Annexe C  Plan produit'!$I$52),SUM('Annexe C  Plan produit'!$K$52:$M$52),0)+IF(AND(O$4&gt;='Annexe C  Plan produit'!$H$53,O$4&lt;'Annexe C  Plan produit'!$I$53),SUM('Annexe C  Plan produit'!$K$53:$M$53),0)+IF(AND(O$4&gt;='Annexe C  Plan produit'!$H$54,O$4&lt;'Annexe C  Plan produit'!$I$54),SUM('Annexe C  Plan produit'!$K$54:$M$54),0)</f>
        <v>4.25</v>
      </c>
      <c r="P11" s="547">
        <f>IF(AND(P$4&gt;='Annexe C  Plan produit'!$H$52,P$4&lt;'Annexe C  Plan produit'!$I$52),SUM('Annexe C  Plan produit'!$K$52:$M$52),0)+IF(AND(P$4&gt;='Annexe C  Plan produit'!$H$53,P$4&lt;'Annexe C  Plan produit'!$I$53),SUM('Annexe C  Plan produit'!$K$53:$M$53),0)+IF(AND(P$4&gt;='Annexe C  Plan produit'!$H$54,P$4&lt;'Annexe C  Plan produit'!$I$54),SUM('Annexe C  Plan produit'!$K$54:$M$54),0)</f>
        <v>4.25</v>
      </c>
      <c r="Q11" s="547">
        <f>IF(AND(Q$4&gt;='Annexe C  Plan produit'!$H$52,Q$4&lt;'Annexe C  Plan produit'!$I$52),SUM('Annexe C  Plan produit'!$K$52:$M$52),0)+IF(AND(Q$4&gt;='Annexe C  Plan produit'!$H$53,Q$4&lt;'Annexe C  Plan produit'!$I$53),SUM('Annexe C  Plan produit'!$K$53:$M$53),0)+IF(AND(Q$4&gt;='Annexe C  Plan produit'!$H$54,Q$4&lt;'Annexe C  Plan produit'!$I$54),SUM('Annexe C  Plan produit'!$K$54:$M$54),0)</f>
        <v>4.25</v>
      </c>
      <c r="R11" s="547">
        <f>IF(AND(R$4&gt;='Annexe C  Plan produit'!$H$52,R$4&lt;'Annexe C  Plan produit'!$I$52),SUM('Annexe C  Plan produit'!$K$52:$M$52),0)+IF(AND(R$4&gt;='Annexe C  Plan produit'!$H$53,R$4&lt;'Annexe C  Plan produit'!$I$53),SUM('Annexe C  Plan produit'!$K$53:$M$53),0)+IF(AND(R$4&gt;='Annexe C  Plan produit'!$H$54,R$4&lt;'Annexe C  Plan produit'!$I$54),SUM('Annexe C  Plan produit'!$K$54:$M$54),0)</f>
        <v>4.25</v>
      </c>
      <c r="S11" s="547">
        <f>IF(AND(S$4&gt;='Annexe C  Plan produit'!$H$52,S$4&lt;'Annexe C  Plan produit'!$I$52),SUM('Annexe C  Plan produit'!$K$52:$M$52),0)+IF(AND(S$4&gt;='Annexe C  Plan produit'!$H$53,S$4&lt;'Annexe C  Plan produit'!$I$53),SUM('Annexe C  Plan produit'!$K$53:$M$53),0)+IF(AND(S$4&gt;='Annexe C  Plan produit'!$H$54,S$4&lt;'Annexe C  Plan produit'!$I$54),SUM('Annexe C  Plan produit'!$K$54:$M$54),0)</f>
        <v>4.25</v>
      </c>
      <c r="T11" s="548">
        <f>IF(AND(T$4&gt;='Annexe C  Plan produit'!$H$52,T$4&lt;'Annexe C  Plan produit'!$I$52),SUM('Annexe C  Plan produit'!$K$52:$M$52),0)+IF(AND(T$4&gt;='Annexe C  Plan produit'!$H$53,T$4&lt;'Annexe C  Plan produit'!$I$53),SUM('Annexe C  Plan produit'!$K$53:$M$53),0)+IF(AND(T$4&gt;='Annexe C  Plan produit'!$H$54,T$4&lt;'Annexe C  Plan produit'!$I$54),SUM('Annexe C  Plan produit'!$K$54:$M$54),0)</f>
        <v>0</v>
      </c>
      <c r="U11" s="546">
        <f>IF(AND(U$4&gt;='Annexe C  Plan produit'!$H$52,U$4&lt;'Annexe C  Plan produit'!$I$52),SUM('Annexe C  Plan produit'!$K$52:$M$52),0)+IF(AND(U$4&gt;='Annexe C  Plan produit'!$H$53,U$4&lt;'Annexe C  Plan produit'!$I$53),SUM('Annexe C  Plan produit'!$K$53:$M$53),0)+IF(AND(U$4&gt;='Annexe C  Plan produit'!$H$54,U$4&lt;'Annexe C  Plan produit'!$I$54),SUM('Annexe C  Plan produit'!$K$54:$M$54),0)</f>
        <v>4.25</v>
      </c>
      <c r="V11" s="547">
        <f>IF(AND(V$4&gt;='Annexe C  Plan produit'!$H$52,V$4&lt;'Annexe C  Plan produit'!$I$52),SUM('Annexe C  Plan produit'!$K$52:$M$52),0)+IF(AND(V$4&gt;='Annexe C  Plan produit'!$H$53,V$4&lt;'Annexe C  Plan produit'!$I$53),SUM('Annexe C  Plan produit'!$K$53:$M$53),0)+IF(AND(V$4&gt;='Annexe C  Plan produit'!$H$54,V$4&lt;'Annexe C  Plan produit'!$I$54),SUM('Annexe C  Plan produit'!$K$54:$M$54),0)</f>
        <v>4.25</v>
      </c>
      <c r="W11" s="547">
        <f>IF(AND(W$4&gt;='Annexe C  Plan produit'!$H$52,W$4&lt;'Annexe C  Plan produit'!$I$52),SUM('Annexe C  Plan produit'!$K$52:$M$52),0)+IF(AND(W$4&gt;='Annexe C  Plan produit'!$H$53,W$4&lt;'Annexe C  Plan produit'!$I$53),SUM('Annexe C  Plan produit'!$K$53:$M$53),0)+IF(AND(W$4&gt;='Annexe C  Plan produit'!$H$54,W$4&lt;'Annexe C  Plan produit'!$I$54),SUM('Annexe C  Plan produit'!$K$54:$M$54),0)</f>
        <v>4.25</v>
      </c>
      <c r="X11" s="547">
        <f>IF(AND(X$4&gt;='Annexe C  Plan produit'!$H$52,X$4&lt;'Annexe C  Plan produit'!$I$52),SUM('Annexe C  Plan produit'!$K$52:$M$52),0)+IF(AND(X$4&gt;='Annexe C  Plan produit'!$H$53,X$4&lt;'Annexe C  Plan produit'!$I$53),SUM('Annexe C  Plan produit'!$K$53:$M$53),0)+IF(AND(X$4&gt;='Annexe C  Plan produit'!$H$54,X$4&lt;'Annexe C  Plan produit'!$I$54),SUM('Annexe C  Plan produit'!$K$54:$M$54),0)</f>
        <v>4.25</v>
      </c>
      <c r="Y11" s="547">
        <f>IF(AND(Y$4&gt;='Annexe C  Plan produit'!$H$52,Y$4&lt;'Annexe C  Plan produit'!$I$52),SUM('Annexe C  Plan produit'!$K$52:$M$52),0)+IF(AND(Y$4&gt;='Annexe C  Plan produit'!$H$53,Y$4&lt;'Annexe C  Plan produit'!$I$53),SUM('Annexe C  Plan produit'!$K$53:$M$53),0)+IF(AND(Y$4&gt;='Annexe C  Plan produit'!$H$54,Y$4&lt;'Annexe C  Plan produit'!$I$54),SUM('Annexe C  Plan produit'!$K$54:$M$54),0)</f>
        <v>4.25</v>
      </c>
      <c r="Z11" s="547">
        <f>IF(AND(Z$4&gt;='Annexe C  Plan produit'!$H$52,Z$4&lt;'Annexe C  Plan produit'!$I$52),SUM('Annexe C  Plan produit'!$K$52:$M$52),0)+IF(AND(Z$4&gt;='Annexe C  Plan produit'!$H$53,Z$4&lt;'Annexe C  Plan produit'!$I$53),SUM('Annexe C  Plan produit'!$K$53:$M$53),0)+IF(AND(Z$4&gt;='Annexe C  Plan produit'!$H$54,Z$4&lt;'Annexe C  Plan produit'!$I$54),SUM('Annexe C  Plan produit'!$K$54:$M$54),0)</f>
        <v>4.25</v>
      </c>
      <c r="AA11" s="547">
        <f>IF(AND(AA$4&gt;='Annexe C  Plan produit'!$H$52,AA$4&lt;'Annexe C  Plan produit'!$I$52),SUM('Annexe C  Plan produit'!$K$52:$M$52),0)+IF(AND(AA$4&gt;='Annexe C  Plan produit'!$H$53,AA$4&lt;'Annexe C  Plan produit'!$I$53),SUM('Annexe C  Plan produit'!$K$53:$M$53),0)+IF(AND(AA$4&gt;='Annexe C  Plan produit'!$H$54,AA$4&lt;'Annexe C  Plan produit'!$I$54),SUM('Annexe C  Plan produit'!$K$54:$M$54),0)</f>
        <v>4.25</v>
      </c>
      <c r="AB11" s="547">
        <f>IF(AND(AB$4&gt;='Annexe C  Plan produit'!$H$52,AB$4&lt;'Annexe C  Plan produit'!$I$52),SUM('Annexe C  Plan produit'!$K$52:$M$52),0)+IF(AND(AB$4&gt;='Annexe C  Plan produit'!$H$53,AB$4&lt;'Annexe C  Plan produit'!$I$53),SUM('Annexe C  Plan produit'!$K$53:$M$53),0)+IF(AND(AB$4&gt;='Annexe C  Plan produit'!$H$54,AB$4&lt;'Annexe C  Plan produit'!$I$54),SUM('Annexe C  Plan produit'!$K$54:$M$54),0)</f>
        <v>4.25</v>
      </c>
      <c r="AC11" s="547">
        <f>IF(AND(AC$4&gt;='Annexe C  Plan produit'!$H$52,AC$4&lt;'Annexe C  Plan produit'!$I$52),SUM('Annexe C  Plan produit'!$K$52:$M$52),0)+IF(AND(AC$4&gt;='Annexe C  Plan produit'!$H$53,AC$4&lt;'Annexe C  Plan produit'!$I$53),SUM('Annexe C  Plan produit'!$K$53:$M$53),0)+IF(AND(AC$4&gt;='Annexe C  Plan produit'!$H$54,AC$4&lt;'Annexe C  Plan produit'!$I$54),SUM('Annexe C  Plan produit'!$K$54:$M$54),0)</f>
        <v>4.25</v>
      </c>
      <c r="AD11" s="547">
        <f>IF(AND(AD$4&gt;='Annexe C  Plan produit'!$H$52,AD$4&lt;'Annexe C  Plan produit'!$I$52),SUM('Annexe C  Plan produit'!$K$52:$M$52),0)+IF(AND(AD$4&gt;='Annexe C  Plan produit'!$H$53,AD$4&lt;'Annexe C  Plan produit'!$I$53),SUM('Annexe C  Plan produit'!$K$53:$M$53),0)+IF(AND(AD$4&gt;='Annexe C  Plan produit'!$H$54,AD$4&lt;'Annexe C  Plan produit'!$I$54),SUM('Annexe C  Plan produit'!$K$54:$M$54),0)</f>
        <v>4.25</v>
      </c>
      <c r="AE11" s="547">
        <f>IF(AND(AE$4&gt;='Annexe C  Plan produit'!$H$52,AE$4&lt;'Annexe C  Plan produit'!$I$52),SUM('Annexe C  Plan produit'!$K$52:$M$52),0)+IF(AND(AE$4&gt;='Annexe C  Plan produit'!$H$53,AE$4&lt;'Annexe C  Plan produit'!$I$53),SUM('Annexe C  Plan produit'!$K$53:$M$53),0)+IF(AND(AE$4&gt;='Annexe C  Plan produit'!$H$54,AE$4&lt;'Annexe C  Plan produit'!$I$54),SUM('Annexe C  Plan produit'!$K$54:$M$54),0)</f>
        <v>4.25</v>
      </c>
      <c r="AF11" s="548">
        <f>IF(AND(AF$4&gt;='Annexe C  Plan produit'!$H$52,AF$4&lt;'Annexe C  Plan produit'!$I$52),SUM('Annexe C  Plan produit'!$K$52:$M$52),0)+IF(AND(AF$4&gt;='Annexe C  Plan produit'!$H$53,AF$4&lt;'Annexe C  Plan produit'!$I$53),SUM('Annexe C  Plan produit'!$K$53:$M$53),0)+IF(AND(AF$4&gt;='Annexe C  Plan produit'!$H$54,AF$4&lt;'Annexe C  Plan produit'!$I$54),SUM('Annexe C  Plan produit'!$K$54:$M$54),0)</f>
        <v>4.25</v>
      </c>
      <c r="AG11" s="546">
        <f>IF(AND(AG$4&gt;='Annexe C  Plan produit'!$H$52,AG$4&lt;'Annexe C  Plan produit'!$I$52),SUM('Annexe C  Plan produit'!$K$52:$M$52),0)+IF(AND(AG$4&gt;='Annexe C  Plan produit'!$H$53,AG$4&lt;'Annexe C  Plan produit'!$I$53),SUM('Annexe C  Plan produit'!$K$53:$M$53),0)+IF(AND(AG$4&gt;='Annexe C  Plan produit'!$H$54,AG$4&lt;'Annexe C  Plan produit'!$I$54),SUM('Annexe C  Plan produit'!$K$54:$M$54),0)</f>
        <v>4.25</v>
      </c>
      <c r="AH11" s="547">
        <f>IF(AND(AH$4&gt;='Annexe C  Plan produit'!$H$52,AH$4&lt;'Annexe C  Plan produit'!$I$52),SUM('Annexe C  Plan produit'!$K$52:$M$52),0)+IF(AND(AH$4&gt;='Annexe C  Plan produit'!$H$53,AH$4&lt;'Annexe C  Plan produit'!$I$53),SUM('Annexe C  Plan produit'!$K$53:$M$53),0)+IF(AND(AH$4&gt;='Annexe C  Plan produit'!$H$54,AH$4&lt;'Annexe C  Plan produit'!$I$54),SUM('Annexe C  Plan produit'!$K$54:$M$54),0)</f>
        <v>4.25</v>
      </c>
      <c r="AI11" s="547">
        <f>IF(AND(AI$4&gt;='Annexe C  Plan produit'!$H$52,AI$4&lt;'Annexe C  Plan produit'!$I$52),SUM('Annexe C  Plan produit'!$K$52:$M$52),0)+IF(AND(AI$4&gt;='Annexe C  Plan produit'!$H$53,AI$4&lt;'Annexe C  Plan produit'!$I$53),SUM('Annexe C  Plan produit'!$K$53:$M$53),0)+IF(AND(AI$4&gt;='Annexe C  Plan produit'!$H$54,AI$4&lt;'Annexe C  Plan produit'!$I$54),SUM('Annexe C  Plan produit'!$K$54:$M$54),0)</f>
        <v>4.25</v>
      </c>
      <c r="AJ11" s="547">
        <f>IF(AND(AJ$4&gt;='Annexe C  Plan produit'!$H$52,AJ$4&lt;'Annexe C  Plan produit'!$I$52),SUM('Annexe C  Plan produit'!$K$52:$M$52),0)+IF(AND(AJ$4&gt;='Annexe C  Plan produit'!$H$53,AJ$4&lt;'Annexe C  Plan produit'!$I$53),SUM('Annexe C  Plan produit'!$K$53:$M$53),0)+IF(AND(AJ$4&gt;='Annexe C  Plan produit'!$H$54,AJ$4&lt;'Annexe C  Plan produit'!$I$54),SUM('Annexe C  Plan produit'!$K$54:$M$54),0)</f>
        <v>4.25</v>
      </c>
      <c r="AK11" s="547">
        <f>IF(AND(AK$4&gt;='Annexe C  Plan produit'!$H$52,AK$4&lt;'Annexe C  Plan produit'!$I$52),SUM('Annexe C  Plan produit'!$K$52:$M$52),0)+IF(AND(AK$4&gt;='Annexe C  Plan produit'!$H$53,AK$4&lt;'Annexe C  Plan produit'!$I$53),SUM('Annexe C  Plan produit'!$K$53:$M$53),0)+IF(AND(AK$4&gt;='Annexe C  Plan produit'!$H$54,AK$4&lt;'Annexe C  Plan produit'!$I$54),SUM('Annexe C  Plan produit'!$K$54:$M$54),0)</f>
        <v>4.25</v>
      </c>
      <c r="AL11" s="547">
        <f>IF(AND(AL$4&gt;='Annexe C  Plan produit'!$H$52,AL$4&lt;'Annexe C  Plan produit'!$I$52),SUM('Annexe C  Plan produit'!$K$52:$M$52),0)+IF(AND(AL$4&gt;='Annexe C  Plan produit'!$H$53,AL$4&lt;'Annexe C  Plan produit'!$I$53),SUM('Annexe C  Plan produit'!$K$53:$M$53),0)+IF(AND(AL$4&gt;='Annexe C  Plan produit'!$H$54,AL$4&lt;'Annexe C  Plan produit'!$I$54),SUM('Annexe C  Plan produit'!$K$54:$M$54),0)</f>
        <v>4.25</v>
      </c>
      <c r="AM11" s="547">
        <f>IF(AND(AM$4&gt;='Annexe C  Plan produit'!$H$52,AM$4&lt;'Annexe C  Plan produit'!$I$52),SUM('Annexe C  Plan produit'!$K$52:$M$52),0)+IF(AND(AM$4&gt;='Annexe C  Plan produit'!$H$53,AM$4&lt;'Annexe C  Plan produit'!$I$53),SUM('Annexe C  Plan produit'!$K$53:$M$53),0)+IF(AND(AM$4&gt;='Annexe C  Plan produit'!$H$54,AM$4&lt;'Annexe C  Plan produit'!$I$54),SUM('Annexe C  Plan produit'!$K$54:$M$54),0)</f>
        <v>4.25</v>
      </c>
      <c r="AN11" s="547">
        <f>IF(AND(AN$4&gt;='Annexe C  Plan produit'!$H$52,AN$4&lt;'Annexe C  Plan produit'!$I$52),SUM('Annexe C  Plan produit'!$K$52:$M$52),0)+IF(AND(AN$4&gt;='Annexe C  Plan produit'!$H$53,AN$4&lt;'Annexe C  Plan produit'!$I$53),SUM('Annexe C  Plan produit'!$K$53:$M$53),0)+IF(AND(AN$4&gt;='Annexe C  Plan produit'!$H$54,AN$4&lt;'Annexe C  Plan produit'!$I$54),SUM('Annexe C  Plan produit'!$K$54:$M$54),0)</f>
        <v>4.25</v>
      </c>
      <c r="AO11" s="547">
        <f>IF(AND(AO$4&gt;='Annexe C  Plan produit'!$H$52,AO$4&lt;'Annexe C  Plan produit'!$I$52),SUM('Annexe C  Plan produit'!$K$52:$M$52),0)+IF(AND(AO$4&gt;='Annexe C  Plan produit'!$H$53,AO$4&lt;'Annexe C  Plan produit'!$I$53),SUM('Annexe C  Plan produit'!$K$53:$M$53),0)+IF(AND(AO$4&gt;='Annexe C  Plan produit'!$H$54,AO$4&lt;'Annexe C  Plan produit'!$I$54),SUM('Annexe C  Plan produit'!$K$54:$M$54),0)</f>
        <v>4.25</v>
      </c>
      <c r="AP11" s="547">
        <f>IF(AND(AP$4&gt;='Annexe C  Plan produit'!$H$52,AP$4&lt;'Annexe C  Plan produit'!$I$52),SUM('Annexe C  Plan produit'!$K$52:$M$52),0)+IF(AND(AP$4&gt;='Annexe C  Plan produit'!$H$53,AP$4&lt;'Annexe C  Plan produit'!$I$53),SUM('Annexe C  Plan produit'!$K$53:$M$53),0)+IF(AND(AP$4&gt;='Annexe C  Plan produit'!$H$54,AP$4&lt;'Annexe C  Plan produit'!$I$54),SUM('Annexe C  Plan produit'!$K$54:$M$54),0)</f>
        <v>4.25</v>
      </c>
      <c r="AQ11" s="547">
        <f>IF(AND(AQ$4&gt;='Annexe C  Plan produit'!$H$52,AQ$4&lt;'Annexe C  Plan produit'!$I$52),SUM('Annexe C  Plan produit'!$K$52:$M$52),0)+IF(AND(AQ$4&gt;='Annexe C  Plan produit'!$H$53,AQ$4&lt;'Annexe C  Plan produit'!$I$53),SUM('Annexe C  Plan produit'!$K$53:$M$53),0)+IF(AND(AQ$4&gt;='Annexe C  Plan produit'!$H$54,AQ$4&lt;'Annexe C  Plan produit'!$I$54),SUM('Annexe C  Plan produit'!$K$54:$M$54),0)</f>
        <v>4.25</v>
      </c>
      <c r="AR11" s="548">
        <f>IF(AND(AR$4&gt;='Annexe C  Plan produit'!$H$52,AR$4&lt;'Annexe C  Plan produit'!$I$52),SUM('Annexe C  Plan produit'!$K$52:$M$52),0)+IF(AND(AR$4&gt;='Annexe C  Plan produit'!$H$53,AR$4&lt;'Annexe C  Plan produit'!$I$53),SUM('Annexe C  Plan produit'!$K$53:$M$53),0)+IF(AND(AR$4&gt;='Annexe C  Plan produit'!$H$54,AR$4&lt;'Annexe C  Plan produit'!$I$54),SUM('Annexe C  Plan produit'!$K$54:$M$54),0)</f>
        <v>4.25</v>
      </c>
      <c r="AS11" s="546">
        <f>IF(AND(AS$4&gt;='Annexe C  Plan produit'!$H$52,AS$4&lt;'Annexe C  Plan produit'!$I$52),SUM('Annexe C  Plan produit'!$K$52:$M$52),0)+IF(AND(AS$4&gt;='Annexe C  Plan produit'!$H$53,AS$4&lt;'Annexe C  Plan produit'!$I$53),SUM('Annexe C  Plan produit'!$K$53:$M$53),0)+IF(AND(AS$4&gt;='Annexe C  Plan produit'!$H$54,AS$4&lt;'Annexe C  Plan produit'!$I$54),SUM('Annexe C  Plan produit'!$K$54:$M$54),0)</f>
        <v>0</v>
      </c>
      <c r="AT11" s="547">
        <f>IF(AND(AT$4&gt;='Annexe C  Plan produit'!$H$52,AT$4&lt;'Annexe C  Plan produit'!$I$52),SUM('Annexe C  Plan produit'!$K$52:$M$52),0)+IF(AND(AT$4&gt;='Annexe C  Plan produit'!$H$53,AT$4&lt;'Annexe C  Plan produit'!$I$53),SUM('Annexe C  Plan produit'!$K$53:$M$53),0)+IF(AND(AT$4&gt;='Annexe C  Plan produit'!$H$54,AT$4&lt;'Annexe C  Plan produit'!$I$54),SUM('Annexe C  Plan produit'!$K$54:$M$54),0)</f>
        <v>0</v>
      </c>
      <c r="AU11" s="547">
        <f>IF(AND(AU$4&gt;='Annexe C  Plan produit'!$H$52,AU$4&lt;'Annexe C  Plan produit'!$I$52),SUM('Annexe C  Plan produit'!$K$52:$M$52),0)+IF(AND(AU$4&gt;='Annexe C  Plan produit'!$H$53,AU$4&lt;'Annexe C  Plan produit'!$I$53),SUM('Annexe C  Plan produit'!$K$53:$M$53),0)+IF(AND(AU$4&gt;='Annexe C  Plan produit'!$H$54,AU$4&lt;'Annexe C  Plan produit'!$I$54),SUM('Annexe C  Plan produit'!$K$54:$M$54),0)</f>
        <v>0</v>
      </c>
      <c r="AV11" s="547">
        <f>IF(AND(AV$4&gt;='Annexe C  Plan produit'!$H$52,AV$4&lt;'Annexe C  Plan produit'!$I$52),SUM('Annexe C  Plan produit'!$K$52:$M$52),0)+IF(AND(AV$4&gt;='Annexe C  Plan produit'!$H$53,AV$4&lt;'Annexe C  Plan produit'!$I$53),SUM('Annexe C  Plan produit'!$K$53:$M$53),0)+IF(AND(AV$4&gt;='Annexe C  Plan produit'!$H$54,AV$4&lt;'Annexe C  Plan produit'!$I$54),SUM('Annexe C  Plan produit'!$K$54:$M$54),0)</f>
        <v>0</v>
      </c>
      <c r="AW11" s="547">
        <f>IF(AND(AW$4&gt;='Annexe C  Plan produit'!$H$52,AW$4&lt;'Annexe C  Plan produit'!$I$52),SUM('Annexe C  Plan produit'!$K$52:$M$52),0)+IF(AND(AW$4&gt;='Annexe C  Plan produit'!$H$53,AW$4&lt;'Annexe C  Plan produit'!$I$53),SUM('Annexe C  Plan produit'!$K$53:$M$53),0)+IF(AND(AW$4&gt;='Annexe C  Plan produit'!$H$54,AW$4&lt;'Annexe C  Plan produit'!$I$54),SUM('Annexe C  Plan produit'!$K$54:$M$54),0)</f>
        <v>0</v>
      </c>
      <c r="AX11" s="547">
        <f>IF(AND(AX$4&gt;='Annexe C  Plan produit'!$H$52,AX$4&lt;'Annexe C  Plan produit'!$I$52),SUM('Annexe C  Plan produit'!$K$52:$M$52),0)+IF(AND(AX$4&gt;='Annexe C  Plan produit'!$H$53,AX$4&lt;'Annexe C  Plan produit'!$I$53),SUM('Annexe C  Plan produit'!$K$53:$M$53),0)+IF(AND(AX$4&gt;='Annexe C  Plan produit'!$H$54,AX$4&lt;'Annexe C  Plan produit'!$I$54),SUM('Annexe C  Plan produit'!$K$54:$M$54),0)</f>
        <v>0</v>
      </c>
      <c r="AY11" s="547">
        <f>IF(AND(AY$4&gt;='Annexe C  Plan produit'!$H$52,AY$4&lt;'Annexe C  Plan produit'!$I$52),SUM('Annexe C  Plan produit'!$K$52:$M$52),0)+IF(AND(AY$4&gt;='Annexe C  Plan produit'!$H$53,AY$4&lt;'Annexe C  Plan produit'!$I$53),SUM('Annexe C  Plan produit'!$K$53:$M$53),0)+IF(AND(AY$4&gt;='Annexe C  Plan produit'!$H$54,AY$4&lt;'Annexe C  Plan produit'!$I$54),SUM('Annexe C  Plan produit'!$K$54:$M$54),0)</f>
        <v>0</v>
      </c>
      <c r="AZ11" s="547">
        <f>IF(AND(AZ$4&gt;='Annexe C  Plan produit'!$H$52,AZ$4&lt;'Annexe C  Plan produit'!$I$52),SUM('Annexe C  Plan produit'!$K$52:$M$52),0)+IF(AND(AZ$4&gt;='Annexe C  Plan produit'!$H$53,AZ$4&lt;'Annexe C  Plan produit'!$I$53),SUM('Annexe C  Plan produit'!$K$53:$M$53),0)+IF(AND(AZ$4&gt;='Annexe C  Plan produit'!$H$54,AZ$4&lt;'Annexe C  Plan produit'!$I$54),SUM('Annexe C  Plan produit'!$K$54:$M$54),0)</f>
        <v>0</v>
      </c>
      <c r="BA11" s="547">
        <f>IF(AND(BA$4&gt;='Annexe C  Plan produit'!$H$52,BA$4&lt;'Annexe C  Plan produit'!$I$52),SUM('Annexe C  Plan produit'!$K$52:$M$52),0)+IF(AND(BA$4&gt;='Annexe C  Plan produit'!$H$53,BA$4&lt;'Annexe C  Plan produit'!$I$53),SUM('Annexe C  Plan produit'!$K$53:$M$53),0)+IF(AND(BA$4&gt;='Annexe C  Plan produit'!$H$54,BA$4&lt;'Annexe C  Plan produit'!$I$54),SUM('Annexe C  Plan produit'!$K$54:$M$54),0)</f>
        <v>0</v>
      </c>
      <c r="BB11" s="547">
        <f>IF(AND(BB$4&gt;='Annexe C  Plan produit'!$H$52,BB$4&lt;'Annexe C  Plan produit'!$I$52),SUM('Annexe C  Plan produit'!$K$52:$M$52),0)+IF(AND(BB$4&gt;='Annexe C  Plan produit'!$H$53,BB$4&lt;'Annexe C  Plan produit'!$I$53),SUM('Annexe C  Plan produit'!$K$53:$M$53),0)+IF(AND(BB$4&gt;='Annexe C  Plan produit'!$H$54,BB$4&lt;'Annexe C  Plan produit'!$I$54),SUM('Annexe C  Plan produit'!$K$54:$M$54),0)</f>
        <v>0</v>
      </c>
      <c r="BC11" s="547">
        <f>IF(AND(BC$4&gt;='Annexe C  Plan produit'!$H$52,BC$4&lt;'Annexe C  Plan produit'!$I$52),SUM('Annexe C  Plan produit'!$K$52:$M$52),0)+IF(AND(BC$4&gt;='Annexe C  Plan produit'!$H$53,BC$4&lt;'Annexe C  Plan produit'!$I$53),SUM('Annexe C  Plan produit'!$K$53:$M$53),0)+IF(AND(BC$4&gt;='Annexe C  Plan produit'!$H$54,BC$4&lt;'Annexe C  Plan produit'!$I$54),SUM('Annexe C  Plan produit'!$K$54:$M$54),0)</f>
        <v>0</v>
      </c>
      <c r="BD11" s="548">
        <f>IF(AND(BD$4&gt;='Annexe C  Plan produit'!$H$52,BD$4&lt;'Annexe C  Plan produit'!$I$52),SUM('Annexe C  Plan produit'!$K$52:$M$52),0)+IF(AND(BD$4&gt;='Annexe C  Plan produit'!$H$53,BD$4&lt;'Annexe C  Plan produit'!$I$53),SUM('Annexe C  Plan produit'!$K$53:$M$53),0)+IF(AND(BD$4&gt;='Annexe C  Plan produit'!$H$54,BD$4&lt;'Annexe C  Plan produit'!$I$54),SUM('Annexe C  Plan produit'!$K$54:$M$54),0)</f>
        <v>0</v>
      </c>
      <c r="BE11" s="546">
        <f>IF(AND(BE$4&gt;='Annexe C  Plan produit'!$H$52,BE$4&lt;'Annexe C  Plan produit'!$I$52),SUM('Annexe C  Plan produit'!$K$52:$M$52),0)+IF(AND(BE$4&gt;='Annexe C  Plan produit'!$H$53,BE$4&lt;'Annexe C  Plan produit'!$I$53),SUM('Annexe C  Plan produit'!$K$53:$M$53),0)+IF(AND(BE$4&gt;='Annexe C  Plan produit'!$H$54,BE$4&lt;'Annexe C  Plan produit'!$I$54),SUM('Annexe C  Plan produit'!$K$54:$M$54),0)</f>
        <v>0</v>
      </c>
      <c r="BF11" s="547">
        <f>IF(AND(BF$4&gt;='Annexe C  Plan produit'!$H$52,BF$4&lt;'Annexe C  Plan produit'!$I$52),SUM('Annexe C  Plan produit'!$K$52:$M$52),0)+IF(AND(BF$4&gt;='Annexe C  Plan produit'!$H$53,BF$4&lt;'Annexe C  Plan produit'!$I$53),SUM('Annexe C  Plan produit'!$K$53:$M$53),0)+IF(AND(BF$4&gt;='Annexe C  Plan produit'!$H$54,BF$4&lt;'Annexe C  Plan produit'!$I$54),SUM('Annexe C  Plan produit'!$K$54:$M$54),0)</f>
        <v>0</v>
      </c>
      <c r="BG11" s="547">
        <f>IF(AND(BG$4&gt;='Annexe C  Plan produit'!$H$52,BG$4&lt;'Annexe C  Plan produit'!$I$52),SUM('Annexe C  Plan produit'!$K$52:$M$52),0)+IF(AND(BG$4&gt;='Annexe C  Plan produit'!$H$53,BG$4&lt;'Annexe C  Plan produit'!$I$53),SUM('Annexe C  Plan produit'!$K$53:$M$53),0)+IF(AND(BG$4&gt;='Annexe C  Plan produit'!$H$54,BG$4&lt;'Annexe C  Plan produit'!$I$54),SUM('Annexe C  Plan produit'!$K$54:$M$54),0)</f>
        <v>0</v>
      </c>
      <c r="BH11" s="547">
        <f>IF(AND(BH$4&gt;='Annexe C  Plan produit'!$H$52,BH$4&lt;'Annexe C  Plan produit'!$I$52),SUM('Annexe C  Plan produit'!$K$52:$M$52),0)+IF(AND(BH$4&gt;='Annexe C  Plan produit'!$H$53,BH$4&lt;'Annexe C  Plan produit'!$I$53),SUM('Annexe C  Plan produit'!$K$53:$M$53),0)+IF(AND(BH$4&gt;='Annexe C  Plan produit'!$H$54,BH$4&lt;'Annexe C  Plan produit'!$I$54),SUM('Annexe C  Plan produit'!$K$54:$M$54),0)</f>
        <v>0</v>
      </c>
      <c r="BI11" s="547">
        <f>IF(AND(BI$4&gt;='Annexe C  Plan produit'!$H$52,BI$4&lt;'Annexe C  Plan produit'!$I$52),SUM('Annexe C  Plan produit'!$K$52:$M$52),0)+IF(AND(BI$4&gt;='Annexe C  Plan produit'!$H$53,BI$4&lt;'Annexe C  Plan produit'!$I$53),SUM('Annexe C  Plan produit'!$K$53:$M$53),0)+IF(AND(BI$4&gt;='Annexe C  Plan produit'!$H$54,BI$4&lt;'Annexe C  Plan produit'!$I$54),SUM('Annexe C  Plan produit'!$K$54:$M$54),0)</f>
        <v>0</v>
      </c>
      <c r="BJ11" s="547">
        <f>IF(AND(BJ$4&gt;='Annexe C  Plan produit'!$H$52,BJ$4&lt;'Annexe C  Plan produit'!$I$52),SUM('Annexe C  Plan produit'!$K$52:$M$52),0)+IF(AND(BJ$4&gt;='Annexe C  Plan produit'!$H$53,BJ$4&lt;'Annexe C  Plan produit'!$I$53),SUM('Annexe C  Plan produit'!$K$53:$M$53),0)+IF(AND(BJ$4&gt;='Annexe C  Plan produit'!$H$54,BJ$4&lt;'Annexe C  Plan produit'!$I$54),SUM('Annexe C  Plan produit'!$K$54:$M$54),0)</f>
        <v>0</v>
      </c>
      <c r="BK11" s="547">
        <f>IF(AND(BK$4&gt;='Annexe C  Plan produit'!$H$52,BK$4&lt;'Annexe C  Plan produit'!$I$52),SUM('Annexe C  Plan produit'!$K$52:$M$52),0)+IF(AND(BK$4&gt;='Annexe C  Plan produit'!$H$53,BK$4&lt;'Annexe C  Plan produit'!$I$53),SUM('Annexe C  Plan produit'!$K$53:$M$53),0)+IF(AND(BK$4&gt;='Annexe C  Plan produit'!$H$54,BK$4&lt;'Annexe C  Plan produit'!$I$54),SUM('Annexe C  Plan produit'!$K$54:$M$54),0)</f>
        <v>0</v>
      </c>
      <c r="BL11" s="547">
        <f>IF(AND(BL$4&gt;='Annexe C  Plan produit'!$H$52,BL$4&lt;'Annexe C  Plan produit'!$I$52),SUM('Annexe C  Plan produit'!$K$52:$M$52),0)+IF(AND(BL$4&gt;='Annexe C  Plan produit'!$H$53,BL$4&lt;'Annexe C  Plan produit'!$I$53),SUM('Annexe C  Plan produit'!$K$53:$M$53),0)+IF(AND(BL$4&gt;='Annexe C  Plan produit'!$H$54,BL$4&lt;'Annexe C  Plan produit'!$I$54),SUM('Annexe C  Plan produit'!$K$54:$M$54),0)</f>
        <v>0</v>
      </c>
      <c r="BM11" s="547">
        <f>IF(AND(BM$4&gt;='Annexe C  Plan produit'!$H$52,BM$4&lt;'Annexe C  Plan produit'!$I$52),SUM('Annexe C  Plan produit'!$K$52:$M$52),0)+IF(AND(BM$4&gt;='Annexe C  Plan produit'!$H$53,BM$4&lt;'Annexe C  Plan produit'!$I$53),SUM('Annexe C  Plan produit'!$K$53:$M$53),0)+IF(AND(BM$4&gt;='Annexe C  Plan produit'!$H$54,BM$4&lt;'Annexe C  Plan produit'!$I$54),SUM('Annexe C  Plan produit'!$K$54:$M$54),0)</f>
        <v>0</v>
      </c>
      <c r="BN11" s="547">
        <f>IF(AND(BN$4&gt;='Annexe C  Plan produit'!$H$52,BN$4&lt;'Annexe C  Plan produit'!$I$52),SUM('Annexe C  Plan produit'!$K$52:$M$52),0)+IF(AND(BN$4&gt;='Annexe C  Plan produit'!$H$53,BN$4&lt;'Annexe C  Plan produit'!$I$53),SUM('Annexe C  Plan produit'!$K$53:$M$53),0)+IF(AND(BN$4&gt;='Annexe C  Plan produit'!$H$54,BN$4&lt;'Annexe C  Plan produit'!$I$54),SUM('Annexe C  Plan produit'!$K$54:$M$54),0)</f>
        <v>0</v>
      </c>
      <c r="BO11" s="547">
        <f>IF(AND(BO$4&gt;='Annexe C  Plan produit'!$H$52,BO$4&lt;'Annexe C  Plan produit'!$I$52),SUM('Annexe C  Plan produit'!$K$52:$M$52),0)+IF(AND(BO$4&gt;='Annexe C  Plan produit'!$H$53,BO$4&lt;'Annexe C  Plan produit'!$I$53),SUM('Annexe C  Plan produit'!$K$53:$M$53),0)+IF(AND(BO$4&gt;='Annexe C  Plan produit'!$H$54,BO$4&lt;'Annexe C  Plan produit'!$I$54),SUM('Annexe C  Plan produit'!$K$54:$M$54),0)</f>
        <v>0</v>
      </c>
      <c r="BP11" s="548">
        <f>IF(AND(BP$4&gt;='Annexe C  Plan produit'!$H$52,BP$4&lt;'Annexe C  Plan produit'!$I$52),SUM('Annexe C  Plan produit'!$K$52:$M$52),0)+IF(AND(BP$4&gt;='Annexe C  Plan produit'!$H$53,BP$4&lt;'Annexe C  Plan produit'!$I$53),SUM('Annexe C  Plan produit'!$K$53:$M$53),0)+IF(AND(BP$4&gt;='Annexe C  Plan produit'!$H$54,BP$4&lt;'Annexe C  Plan produit'!$I$54),SUM('Annexe C  Plan produit'!$K$54:$M$54),0)</f>
        <v>0</v>
      </c>
      <c r="BQ11" s="546">
        <f>IF(AND(BQ$4&gt;='Annexe C  Plan produit'!$H$52,BQ$4&lt;'Annexe C  Plan produit'!$I$52),SUM('Annexe C  Plan produit'!$K$52:$M$52),0)+IF(AND(BQ$4&gt;='Annexe C  Plan produit'!$H$53,BQ$4&lt;'Annexe C  Plan produit'!$I$53),SUM('Annexe C  Plan produit'!$K$53:$M$53),0)+IF(AND(BQ$4&gt;='Annexe C  Plan produit'!$H$54,BQ$4&lt;'Annexe C  Plan produit'!$I$54),SUM('Annexe C  Plan produit'!$K$54:$M$54),0)</f>
        <v>0</v>
      </c>
      <c r="BR11" s="547">
        <f>IF(AND(BR$4&gt;='Annexe C  Plan produit'!$H$52,BR$4&lt;'Annexe C  Plan produit'!$I$52),SUM('Annexe C  Plan produit'!$K$52:$M$52),0)+IF(AND(BR$4&gt;='Annexe C  Plan produit'!$H$53,BR$4&lt;'Annexe C  Plan produit'!$I$53),SUM('Annexe C  Plan produit'!$K$53:$M$53),0)+IF(AND(BR$4&gt;='Annexe C  Plan produit'!$H$54,BR$4&lt;'Annexe C  Plan produit'!$I$54),SUM('Annexe C  Plan produit'!$K$54:$M$54),0)</f>
        <v>0</v>
      </c>
      <c r="BS11" s="547">
        <f>IF(AND(BS$4&gt;='Annexe C  Plan produit'!$H$52,BS$4&lt;'Annexe C  Plan produit'!$I$52),SUM('Annexe C  Plan produit'!$K$52:$M$52),0)+IF(AND(BS$4&gt;='Annexe C  Plan produit'!$H$53,BS$4&lt;'Annexe C  Plan produit'!$I$53),SUM('Annexe C  Plan produit'!$K$53:$M$53),0)+IF(AND(BS$4&gt;='Annexe C  Plan produit'!$H$54,BS$4&lt;'Annexe C  Plan produit'!$I$54),SUM('Annexe C  Plan produit'!$K$54:$M$54),0)</f>
        <v>0</v>
      </c>
      <c r="BT11" s="547">
        <f>IF(AND(BT$4&gt;='Annexe C  Plan produit'!$H$52,BT$4&lt;'Annexe C  Plan produit'!$I$52),SUM('Annexe C  Plan produit'!$K$52:$M$52),0)+IF(AND(BT$4&gt;='Annexe C  Plan produit'!$H$53,BT$4&lt;'Annexe C  Plan produit'!$I$53),SUM('Annexe C  Plan produit'!$K$53:$M$53),0)+IF(AND(BT$4&gt;='Annexe C  Plan produit'!$H$54,BT$4&lt;'Annexe C  Plan produit'!$I$54),SUM('Annexe C  Plan produit'!$K$54:$M$54),0)</f>
        <v>0</v>
      </c>
      <c r="BU11" s="547">
        <f>IF(AND(BU$4&gt;='Annexe C  Plan produit'!$H$52,BU$4&lt;'Annexe C  Plan produit'!$I$52),SUM('Annexe C  Plan produit'!$K$52:$M$52),0)+IF(AND(BU$4&gt;='Annexe C  Plan produit'!$H$53,BU$4&lt;'Annexe C  Plan produit'!$I$53),SUM('Annexe C  Plan produit'!$K$53:$M$53),0)+IF(AND(BU$4&gt;='Annexe C  Plan produit'!$H$54,BU$4&lt;'Annexe C  Plan produit'!$I$54),SUM('Annexe C  Plan produit'!$K$54:$M$54),0)</f>
        <v>0</v>
      </c>
      <c r="BV11" s="547">
        <f>IF(AND(BV$4&gt;='Annexe C  Plan produit'!$H$52,BV$4&lt;'Annexe C  Plan produit'!$I$52),SUM('Annexe C  Plan produit'!$K$52:$M$52),0)+IF(AND(BV$4&gt;='Annexe C  Plan produit'!$H$53,BV$4&lt;'Annexe C  Plan produit'!$I$53),SUM('Annexe C  Plan produit'!$K$53:$M$53),0)+IF(AND(BV$4&gt;='Annexe C  Plan produit'!$H$54,BV$4&lt;'Annexe C  Plan produit'!$I$54),SUM('Annexe C  Plan produit'!$K$54:$M$54),0)</f>
        <v>0</v>
      </c>
      <c r="BW11" s="547">
        <f>IF(AND(BW$4&gt;='Annexe C  Plan produit'!$H$52,BW$4&lt;'Annexe C  Plan produit'!$I$52),SUM('Annexe C  Plan produit'!$K$52:$M$52),0)+IF(AND(BW$4&gt;='Annexe C  Plan produit'!$H$53,BW$4&lt;'Annexe C  Plan produit'!$I$53),SUM('Annexe C  Plan produit'!$K$53:$M$53),0)+IF(AND(BW$4&gt;='Annexe C  Plan produit'!$H$54,BW$4&lt;'Annexe C  Plan produit'!$I$54),SUM('Annexe C  Plan produit'!$K$54:$M$54),0)</f>
        <v>0</v>
      </c>
      <c r="BX11" s="547">
        <f>IF(AND(BX$4&gt;='Annexe C  Plan produit'!$H$52,BX$4&lt;'Annexe C  Plan produit'!$I$52),SUM('Annexe C  Plan produit'!$K$52:$M$52),0)+IF(AND(BX$4&gt;='Annexe C  Plan produit'!$H$53,BX$4&lt;'Annexe C  Plan produit'!$I$53),SUM('Annexe C  Plan produit'!$K$53:$M$53),0)+IF(AND(BX$4&gt;='Annexe C  Plan produit'!$H$54,BX$4&lt;'Annexe C  Plan produit'!$I$54),SUM('Annexe C  Plan produit'!$K$54:$M$54),0)</f>
        <v>0</v>
      </c>
      <c r="BY11" s="547">
        <f>IF(AND(BY$4&gt;='Annexe C  Plan produit'!$H$52,BY$4&lt;'Annexe C  Plan produit'!$I$52),SUM('Annexe C  Plan produit'!$K$52:$M$52),0)+IF(AND(BY$4&gt;='Annexe C  Plan produit'!$H$53,BY$4&lt;'Annexe C  Plan produit'!$I$53),SUM('Annexe C  Plan produit'!$K$53:$M$53),0)+IF(AND(BY$4&gt;='Annexe C  Plan produit'!$H$54,BY$4&lt;'Annexe C  Plan produit'!$I$54),SUM('Annexe C  Plan produit'!$K$54:$M$54),0)</f>
        <v>0</v>
      </c>
      <c r="BZ11" s="547">
        <f>IF(AND(BZ$4&gt;='Annexe C  Plan produit'!$H$52,BZ$4&lt;'Annexe C  Plan produit'!$I$52),SUM('Annexe C  Plan produit'!$K$52:$M$52),0)+IF(AND(BZ$4&gt;='Annexe C  Plan produit'!$H$53,BZ$4&lt;'Annexe C  Plan produit'!$I$53),SUM('Annexe C  Plan produit'!$K$53:$M$53),0)+IF(AND(BZ$4&gt;='Annexe C  Plan produit'!$H$54,BZ$4&lt;'Annexe C  Plan produit'!$I$54),SUM('Annexe C  Plan produit'!$K$54:$M$54),0)</f>
        <v>0</v>
      </c>
      <c r="CA11" s="547">
        <f>IF(AND(CA$4&gt;='Annexe C  Plan produit'!$H$52,CA$4&lt;'Annexe C  Plan produit'!$I$52),SUM('Annexe C  Plan produit'!$K$52:$M$52),0)+IF(AND(CA$4&gt;='Annexe C  Plan produit'!$H$53,CA$4&lt;'Annexe C  Plan produit'!$I$53),SUM('Annexe C  Plan produit'!$K$53:$M$53),0)+IF(AND(CA$4&gt;='Annexe C  Plan produit'!$H$54,CA$4&lt;'Annexe C  Plan produit'!$I$54),SUM('Annexe C  Plan produit'!$K$54:$M$54),0)</f>
        <v>0</v>
      </c>
      <c r="CB11" s="548">
        <f>IF(AND(CB$4&gt;='Annexe C  Plan produit'!$H$52,CB$4&lt;'Annexe C  Plan produit'!$I$52),SUM('Annexe C  Plan produit'!$K$52:$M$52),0)+IF(AND(CB$4&gt;='Annexe C  Plan produit'!$H$53,CB$4&lt;'Annexe C  Plan produit'!$I$53),SUM('Annexe C  Plan produit'!$K$53:$M$53),0)+IF(AND(CB$4&gt;='Annexe C  Plan produit'!$H$54,CB$4&lt;'Annexe C  Plan produit'!$I$54),SUM('Annexe C  Plan produit'!$K$54:$M$54),0)</f>
        <v>0</v>
      </c>
    </row>
    <row r="12" spans="1:80" ht="15.75" customHeight="1">
      <c r="A12" s="549" t="s">
        <v>419</v>
      </c>
      <c r="B12" s="550">
        <v>0.5</v>
      </c>
      <c r="C12" s="555">
        <f>ROUNDUP((Ventes!C19*Hypothèses!$B$85)/160,0)</f>
        <v>1</v>
      </c>
      <c r="D12" s="555">
        <f>ROUNDUP((Ventes!D19*Hypothèses!$B$85)/160,0)</f>
        <v>1</v>
      </c>
      <c r="E12" s="555">
        <f>ROUNDUP((Ventes!E19*Hypothèses!$B$85)/160,0)</f>
        <v>1</v>
      </c>
      <c r="F12" s="555">
        <f>ROUNDUP((Ventes!F19*Hypothèses!$B$85)/160,0)</f>
        <v>1</v>
      </c>
      <c r="G12" s="555">
        <f>ROUNDUP((Ventes!G19*Hypothèses!$B$85)/160,0)</f>
        <v>1</v>
      </c>
      <c r="H12" s="556">
        <f>ROUNDUP((Ventes!H19*Hypothèses!$B$85)/160,0)</f>
        <v>1</v>
      </c>
      <c r="I12" s="550">
        <f>ROUNDUP((Ventes!I19*Hypothèses!$B$85)/160,0)</f>
        <v>1</v>
      </c>
      <c r="J12" s="555">
        <f>ROUNDUP((Ventes!J19*Hypothèses!$B$85)/160,0)</f>
        <v>1</v>
      </c>
      <c r="K12" s="555">
        <f ca="1">ROUNDUP((Ventes!K19*Hypothèses!$B$85)/160,0)</f>
        <v>1</v>
      </c>
      <c r="L12" s="555">
        <f ca="1">ROUNDUP((Ventes!L19*Hypothèses!$B$85)/160,0)</f>
        <v>1</v>
      </c>
      <c r="M12" s="555">
        <f ca="1">ROUNDUP((Ventes!M19*Hypothèses!$B$85)/160,0)</f>
        <v>1</v>
      </c>
      <c r="N12" s="555">
        <f ca="1">ROUNDUP((Ventes!N19*Hypothèses!$B$85)/160,0)</f>
        <v>1</v>
      </c>
      <c r="O12" s="555">
        <f ca="1">ROUNDUP((Ventes!O19*Hypothèses!$B$85)/160,0)</f>
        <v>1</v>
      </c>
      <c r="P12" s="555">
        <f ca="1">ROUNDUP((Ventes!P19*Hypothèses!$B$85)/160,0)</f>
        <v>1</v>
      </c>
      <c r="Q12" s="555">
        <f ca="1">ROUNDUP((Ventes!Q19*Hypothèses!$B$85)/160,0)</f>
        <v>1</v>
      </c>
      <c r="R12" s="555">
        <f ca="1">ROUNDUP((Ventes!R19*Hypothèses!$B$85)/160,0)</f>
        <v>1</v>
      </c>
      <c r="S12" s="555">
        <f ca="1">ROUNDUP((Ventes!S19*Hypothèses!$B$85)/160,0)</f>
        <v>1</v>
      </c>
      <c r="T12" s="556">
        <f ca="1">ROUNDUP((Ventes!T19*Hypothèses!$B$85)/160,0)</f>
        <v>1</v>
      </c>
      <c r="U12" s="550">
        <f ca="1">ROUNDUP((Ventes!U19*Hypothèses!$B$85)/160,0)</f>
        <v>1</v>
      </c>
      <c r="V12" s="555">
        <f ca="1">ROUNDUP((Ventes!V19*Hypothèses!$B$85)/160,0)</f>
        <v>1</v>
      </c>
      <c r="W12" s="555">
        <f ca="1">ROUNDUP((Ventes!W19*Hypothèses!$B$85)/160,0)</f>
        <v>1</v>
      </c>
      <c r="X12" s="555">
        <f ca="1">ROUNDUP((Ventes!X19*Hypothèses!$B$85)/160,0)</f>
        <v>1</v>
      </c>
      <c r="Y12" s="555">
        <f ca="1">ROUNDUP((Ventes!Y19*Hypothèses!$B$85)/160,0)</f>
        <v>1</v>
      </c>
      <c r="Z12" s="555">
        <f ca="1">ROUNDUP((Ventes!Z19*Hypothèses!$B$85)/160,0)</f>
        <v>1</v>
      </c>
      <c r="AA12" s="555">
        <f ca="1">ROUNDUP((Ventes!AA19*Hypothèses!$B$85)/160,0)</f>
        <v>1</v>
      </c>
      <c r="AB12" s="555">
        <f ca="1">ROUNDUP((Ventes!AB19*Hypothèses!$B$85)/160,0)</f>
        <v>1</v>
      </c>
      <c r="AC12" s="555">
        <f ca="1">ROUNDUP((Ventes!AC19*Hypothèses!$B$85)/160,0)</f>
        <v>1</v>
      </c>
      <c r="AD12" s="555">
        <f ca="1">ROUNDUP((Ventes!AD19*Hypothèses!$B$85)/160,0)</f>
        <v>1</v>
      </c>
      <c r="AE12" s="555">
        <f ca="1">ROUNDUP((Ventes!AE19*Hypothèses!$B$85)/160,0)</f>
        <v>1</v>
      </c>
      <c r="AF12" s="556">
        <f ca="1">ROUNDUP((Ventes!AF19*Hypothèses!$B$85)/160,0)</f>
        <v>1</v>
      </c>
      <c r="AG12" s="550">
        <f ca="1">ROUNDUP((Ventes!AG19*Hypothèses!$B$85)/160,0)</f>
        <v>1</v>
      </c>
      <c r="AH12" s="555">
        <f ca="1">ROUNDUP((Ventes!AH19*Hypothèses!$B$85)/160,0)</f>
        <v>1</v>
      </c>
      <c r="AI12" s="555">
        <f ca="1">ROUNDUP((Ventes!AI19*Hypothèses!$B$85)/160,0)</f>
        <v>1</v>
      </c>
      <c r="AJ12" s="555">
        <f ca="1">ROUNDUP((Ventes!AJ19*Hypothèses!$B$85)/160,0)</f>
        <v>1</v>
      </c>
      <c r="AK12" s="555">
        <f ca="1">ROUNDUP((Ventes!AK19*Hypothèses!$B$85)/160,0)</f>
        <v>1</v>
      </c>
      <c r="AL12" s="555">
        <f ca="1">ROUNDUP((Ventes!AL19*Hypothèses!$B$85)/160,0)</f>
        <v>1</v>
      </c>
      <c r="AM12" s="555">
        <f ca="1">ROUNDUP((Ventes!AM19*Hypothèses!$B$85)/160,0)</f>
        <v>1</v>
      </c>
      <c r="AN12" s="555">
        <f ca="1">ROUNDUP((Ventes!AN19*Hypothèses!$B$85)/160,0)</f>
        <v>1</v>
      </c>
      <c r="AO12" s="555">
        <f ca="1">ROUNDUP((Ventes!AO19*Hypothèses!$B$85)/160,0)</f>
        <v>1</v>
      </c>
      <c r="AP12" s="555">
        <f ca="1">ROUNDUP((Ventes!AP19*Hypothèses!$B$85)/160,0)</f>
        <v>1</v>
      </c>
      <c r="AQ12" s="555">
        <f ca="1">ROUNDUP((Ventes!AQ19*Hypothèses!$B$85)/160,0)</f>
        <v>1</v>
      </c>
      <c r="AR12" s="556">
        <f ca="1">ROUNDUP((Ventes!AR19*Hypothèses!$B$85)/160,0)</f>
        <v>1</v>
      </c>
      <c r="AS12" s="550">
        <f ca="1">ROUNDUP((Ventes!AS19*Hypothèses!$B$85)/160,0)</f>
        <v>1</v>
      </c>
      <c r="AT12" s="555">
        <f ca="1">ROUNDUP((Ventes!AT19*Hypothèses!$B$85)/160,0)</f>
        <v>1</v>
      </c>
      <c r="AU12" s="555">
        <f ca="1">ROUNDUP((Ventes!AU19*Hypothèses!$B$85)/160,0)</f>
        <v>1</v>
      </c>
      <c r="AV12" s="555">
        <f ca="1">ROUNDUP((Ventes!AV19*Hypothèses!$B$85)/160,0)</f>
        <v>1</v>
      </c>
      <c r="AW12" s="555">
        <f ca="1">ROUNDUP((Ventes!AW19*Hypothèses!$B$85)/160,0)</f>
        <v>1</v>
      </c>
      <c r="AX12" s="555">
        <f ca="1">ROUNDUP((Ventes!AX19*Hypothèses!$B$85)/160,0)</f>
        <v>1</v>
      </c>
      <c r="AY12" s="555">
        <f ca="1">ROUNDUP((Ventes!AY19*Hypothèses!$B$85)/160,0)</f>
        <v>1</v>
      </c>
      <c r="AZ12" s="555">
        <f ca="1">ROUNDUP((Ventes!AZ19*Hypothèses!$B$85)/160,0)</f>
        <v>1</v>
      </c>
      <c r="BA12" s="555">
        <f ca="1">ROUNDUP((Ventes!BA19*Hypothèses!$B$85)/160,0)</f>
        <v>1</v>
      </c>
      <c r="BB12" s="555">
        <f ca="1">ROUNDUP((Ventes!BB19*Hypothèses!$B$85)/160,0)</f>
        <v>1</v>
      </c>
      <c r="BC12" s="555">
        <f ca="1">ROUNDUP((Ventes!BC19*Hypothèses!$B$85)/160,0)</f>
        <v>1</v>
      </c>
      <c r="BD12" s="556">
        <f ca="1">ROUNDUP((Ventes!BD19*Hypothèses!$B$85)/160,0)</f>
        <v>1</v>
      </c>
      <c r="BE12" s="550">
        <f ca="1">ROUNDUP((Ventes!BE19*Hypothèses!$B$85)/160,0)</f>
        <v>1</v>
      </c>
      <c r="BF12" s="555">
        <f ca="1">ROUNDUP((Ventes!BF19*Hypothèses!$B$85)/160,0)</f>
        <v>1</v>
      </c>
      <c r="BG12" s="555">
        <f ca="1">ROUNDUP((Ventes!BG19*Hypothèses!$B$85)/160,0)</f>
        <v>1</v>
      </c>
      <c r="BH12" s="555">
        <f ca="1">ROUNDUP((Ventes!BH19*Hypothèses!$B$85)/160,0)</f>
        <v>1</v>
      </c>
      <c r="BI12" s="555">
        <f ca="1">ROUNDUP((Ventes!BI19*Hypothèses!$B$85)/160,0)</f>
        <v>1</v>
      </c>
      <c r="BJ12" s="555">
        <f ca="1">ROUNDUP((Ventes!BJ19*Hypothèses!$B$85)/160,0)</f>
        <v>1</v>
      </c>
      <c r="BK12" s="555">
        <f ca="1">ROUNDUP((Ventes!BK19*Hypothèses!$B$85)/160,0)</f>
        <v>1</v>
      </c>
      <c r="BL12" s="555">
        <f ca="1">ROUNDUP((Ventes!BL19*Hypothèses!$B$85)/160,0)</f>
        <v>1</v>
      </c>
      <c r="BM12" s="555">
        <f ca="1">ROUNDUP((Ventes!BM19*Hypothèses!$B$85)/160,0)</f>
        <v>1</v>
      </c>
      <c r="BN12" s="555">
        <f ca="1">ROUNDUP((Ventes!BN19*Hypothèses!$B$85)/160,0)</f>
        <v>1</v>
      </c>
      <c r="BO12" s="555">
        <f ca="1">ROUNDUP((Ventes!BO19*Hypothèses!$B$85)/160,0)</f>
        <v>1</v>
      </c>
      <c r="BP12" s="556">
        <f ca="1">ROUNDUP((Ventes!BP19*Hypothèses!$B$85)/160,0)</f>
        <v>1</v>
      </c>
      <c r="BQ12" s="550">
        <f ca="1">ROUNDUP((Ventes!BQ19*Hypothèses!$B$85)/160,0)</f>
        <v>1</v>
      </c>
      <c r="BR12" s="555">
        <f ca="1">ROUNDUP((Ventes!BR19*Hypothèses!$B$85)/160,0)</f>
        <v>1</v>
      </c>
      <c r="BS12" s="555">
        <f ca="1">ROUNDUP((Ventes!BS19*Hypothèses!$B$85)/160,0)</f>
        <v>1</v>
      </c>
      <c r="BT12" s="555">
        <f ca="1">ROUNDUP((Ventes!BT19*Hypothèses!$B$85)/160,0)</f>
        <v>1</v>
      </c>
      <c r="BU12" s="555">
        <f ca="1">ROUNDUP((Ventes!BU19*Hypothèses!$B$85)/160,0)</f>
        <v>1</v>
      </c>
      <c r="BV12" s="555">
        <f ca="1">ROUNDUP((Ventes!BV19*Hypothèses!$B$85)/160,0)</f>
        <v>1</v>
      </c>
      <c r="BW12" s="555">
        <f ca="1">ROUNDUP((Ventes!BW19*Hypothèses!$B$85)/160,0)</f>
        <v>1</v>
      </c>
      <c r="BX12" s="555">
        <f ca="1">ROUNDUP((Ventes!BX19*Hypothèses!$B$85)/160,0)</f>
        <v>1</v>
      </c>
      <c r="BY12" s="555">
        <f ca="1">ROUNDUP((Ventes!BY19*Hypothèses!$B$85)/160,0)</f>
        <v>1</v>
      </c>
      <c r="BZ12" s="555">
        <f ca="1">ROUNDUP((Ventes!BZ19*Hypothèses!$B$85)/160,0)</f>
        <v>2</v>
      </c>
      <c r="CA12" s="555">
        <f ca="1">ROUNDUP((Ventes!CA19*Hypothèses!$B$85)/160,0)</f>
        <v>2</v>
      </c>
      <c r="CB12" s="556">
        <f ca="1">ROUNDUP((Ventes!CB19*Hypothèses!$B$85)/160,0)</f>
        <v>2</v>
      </c>
    </row>
    <row r="13" spans="1:80" ht="15.75" customHeight="1">
      <c r="A13" s="551" t="s">
        <v>420</v>
      </c>
      <c r="B13" s="552">
        <f t="shared" ref="B13:CB13" ca="1" si="3">(B14+B8+B5)/7</f>
        <v>1.3642857142857143</v>
      </c>
      <c r="C13" s="553">
        <f t="shared" ca="1" si="3"/>
        <v>1.7237304784394867</v>
      </c>
      <c r="D13" s="553">
        <f t="shared" ca="1" si="3"/>
        <v>1.7237853060003601</v>
      </c>
      <c r="E13" s="553">
        <f t="shared" ca="1" si="3"/>
        <v>1.7238384851985915</v>
      </c>
      <c r="F13" s="553">
        <f t="shared" ca="1" si="3"/>
        <v>1.7238900680135774</v>
      </c>
      <c r="G13" s="553">
        <f t="shared" ca="1" si="3"/>
        <v>1.7239401046077718</v>
      </c>
      <c r="H13" s="554">
        <f t="shared" ca="1" si="3"/>
        <v>1.723988643396797</v>
      </c>
      <c r="I13" s="552">
        <f t="shared" ca="1" si="3"/>
        <v>1.7279335312022841</v>
      </c>
      <c r="J13" s="553">
        <f t="shared" ca="1" si="3"/>
        <v>1.7282972358377877</v>
      </c>
      <c r="K13" s="553">
        <f t="shared" ca="1" si="3"/>
        <v>2.3346309074661318</v>
      </c>
      <c r="L13" s="553">
        <f t="shared" ca="1" si="3"/>
        <v>2.3358075969435519</v>
      </c>
      <c r="M13" s="553">
        <f t="shared" ca="1" si="3"/>
        <v>2.3360226991407518</v>
      </c>
      <c r="N13" s="553">
        <f t="shared" ca="1" si="3"/>
        <v>2.336232830788652</v>
      </c>
      <c r="O13" s="553">
        <f t="shared" ca="1" si="3"/>
        <v>2.3364381132706185</v>
      </c>
      <c r="P13" s="553">
        <f t="shared" ca="1" si="3"/>
        <v>2.3373072205129972</v>
      </c>
      <c r="Q13" s="553">
        <f t="shared" ca="1" si="3"/>
        <v>2.3375726959970331</v>
      </c>
      <c r="R13" s="553">
        <f t="shared" ca="1" si="3"/>
        <v>2.3378315622553942</v>
      </c>
      <c r="S13" s="553">
        <f t="shared" ca="1" si="3"/>
        <v>2.3380839990227673</v>
      </c>
      <c r="T13" s="554">
        <f t="shared" ca="1" si="3"/>
        <v>1.7311873233483404</v>
      </c>
      <c r="U13" s="552">
        <f t="shared" ca="1" si="3"/>
        <v>2.3412904480629773</v>
      </c>
      <c r="V13" s="553">
        <f t="shared" ca="1" si="3"/>
        <v>2.3416697727291154</v>
      </c>
      <c r="W13" s="553">
        <f t="shared" ca="1" si="3"/>
        <v>2.3420424533132822</v>
      </c>
      <c r="X13" s="553">
        <f t="shared" ca="1" si="3"/>
        <v>2.3424086152338051</v>
      </c>
      <c r="Y13" s="553">
        <f t="shared" ca="1" si="3"/>
        <v>2.3427683812770854</v>
      </c>
      <c r="Z13" s="553">
        <f t="shared" ca="1" si="3"/>
        <v>2.3431218716607218</v>
      </c>
      <c r="AA13" s="553">
        <f t="shared" ca="1" si="3"/>
        <v>2.3434692040948693</v>
      </c>
      <c r="AB13" s="553">
        <f t="shared" ca="1" si="3"/>
        <v>2.3444511931841845</v>
      </c>
      <c r="AC13" s="553">
        <f t="shared" ca="1" si="3"/>
        <v>2.3448315023540083</v>
      </c>
      <c r="AD13" s="553">
        <f t="shared" ca="1" si="3"/>
        <v>2.3452048936580487</v>
      </c>
      <c r="AE13" s="553">
        <f t="shared" ca="1" si="3"/>
        <v>2.3455715078950239</v>
      </c>
      <c r="AF13" s="554">
        <f t="shared" ca="1" si="3"/>
        <v>2.3459314825198949</v>
      </c>
      <c r="AG13" s="552">
        <f t="shared" ca="1" si="3"/>
        <v>2.3438691380431251</v>
      </c>
      <c r="AH13" s="553">
        <f t="shared" ca="1" si="3"/>
        <v>2.3441590991712067</v>
      </c>
      <c r="AI13" s="553">
        <f t="shared" ca="1" si="3"/>
        <v>2.34444514863362</v>
      </c>
      <c r="AJ13" s="553">
        <f t="shared" ca="1" si="3"/>
        <v>2.4875844792269288</v>
      </c>
      <c r="AK13" s="553">
        <f t="shared" ca="1" si="3"/>
        <v>2.4878628547212509</v>
      </c>
      <c r="AL13" s="553">
        <f t="shared" ca="1" si="3"/>
        <v>2.4881374669985443</v>
      </c>
      <c r="AM13" s="553">
        <f t="shared" ca="1" si="3"/>
        <v>2.488408364619954</v>
      </c>
      <c r="AN13" s="553">
        <f t="shared" ca="1" si="3"/>
        <v>2.4886755956793465</v>
      </c>
      <c r="AO13" s="553">
        <f t="shared" ca="1" si="3"/>
        <v>2.4889392078001431</v>
      </c>
      <c r="AP13" s="553">
        <f t="shared" ca="1" si="3"/>
        <v>2.4891992481325893</v>
      </c>
      <c r="AQ13" s="553">
        <f t="shared" ca="1" si="3"/>
        <v>2.4894557633514225</v>
      </c>
      <c r="AR13" s="554">
        <f t="shared" ca="1" si="3"/>
        <v>2.4897087996539322</v>
      </c>
      <c r="AS13" s="552">
        <f t="shared" ca="1" si="3"/>
        <v>2.0186446861886931</v>
      </c>
      <c r="AT13" s="553">
        <f t="shared" ca="1" si="3"/>
        <v>2.0187050558513788</v>
      </c>
      <c r="AU13" s="553">
        <f t="shared" ca="1" si="3"/>
        <v>2.0187644260023561</v>
      </c>
      <c r="AV13" s="553">
        <f t="shared" ca="1" si="3"/>
        <v>2.0188228102155743</v>
      </c>
      <c r="AW13" s="553">
        <f t="shared" ca="1" si="3"/>
        <v>2.0188802219715631</v>
      </c>
      <c r="AX13" s="553">
        <f t="shared" ca="1" si="3"/>
        <v>2.0189366746534225</v>
      </c>
      <c r="AY13" s="553">
        <f t="shared" ca="1" si="3"/>
        <v>2.0189921815431009</v>
      </c>
      <c r="AZ13" s="553">
        <f t="shared" ca="1" si="3"/>
        <v>2.021693122666528</v>
      </c>
      <c r="BA13" s="553">
        <f t="shared" ca="1" si="3"/>
        <v>2.4860380107495001</v>
      </c>
      <c r="BB13" s="553">
        <f t="shared" ca="1" si="3"/>
        <v>2.6289533074415021</v>
      </c>
      <c r="BC13" s="553">
        <f t="shared" ca="1" si="3"/>
        <v>2.6290104563848957</v>
      </c>
      <c r="BD13" s="554">
        <f t="shared" ca="1" si="3"/>
        <v>2.6290666153260687</v>
      </c>
      <c r="BE13" s="552">
        <f t="shared" ca="1" si="3"/>
        <v>3.1967565021822892</v>
      </c>
      <c r="BF13" s="553">
        <f t="shared" ca="1" si="3"/>
        <v>3.5252474175225181</v>
      </c>
      <c r="BG13" s="553">
        <f t="shared" ca="1" si="3"/>
        <v>3.6777747083903338</v>
      </c>
      <c r="BH13" s="553">
        <f t="shared" ca="1" si="3"/>
        <v>3.6775984995020821</v>
      </c>
      <c r="BI13" s="553">
        <f t="shared" ca="1" si="3"/>
        <v>3.6871742636897116</v>
      </c>
      <c r="BJ13" s="553">
        <f t="shared" ca="1" si="3"/>
        <v>3.6966564215748754</v>
      </c>
      <c r="BK13" s="553">
        <f t="shared" ca="1" si="3"/>
        <v>3.8391533868679177</v>
      </c>
      <c r="BL13" s="553">
        <f t="shared" ca="1" si="3"/>
        <v>4.0263249184885739</v>
      </c>
      <c r="BM13" s="553">
        <f t="shared" ca="1" si="3"/>
        <v>4.6326657611747395</v>
      </c>
      <c r="BN13" s="553">
        <f t="shared" ca="1" si="3"/>
        <v>4.6318742233612751</v>
      </c>
      <c r="BO13" s="553">
        <f t="shared" ca="1" si="3"/>
        <v>4.6310929805619123</v>
      </c>
      <c r="BP13" s="554">
        <f t="shared" ca="1" si="3"/>
        <v>4.9160361407026159</v>
      </c>
      <c r="BQ13" s="552">
        <f t="shared" ca="1" si="3"/>
        <v>6.3437065200850071</v>
      </c>
      <c r="BR13" s="553">
        <f t="shared" ca="1" si="3"/>
        <v>6.4906720905699036</v>
      </c>
      <c r="BS13" s="553">
        <f t="shared" ca="1" si="3"/>
        <v>6.4898651945393331</v>
      </c>
      <c r="BT13" s="553">
        <f t="shared" ca="1" si="3"/>
        <v>6.6368003396122015</v>
      </c>
      <c r="BU13" s="553">
        <f t="shared" ca="1" si="3"/>
        <v>6.7788205118340503</v>
      </c>
      <c r="BV13" s="553">
        <f t="shared" ca="1" si="3"/>
        <v>6.7779937854174799</v>
      </c>
      <c r="BW13" s="553">
        <f t="shared" ca="1" si="3"/>
        <v>6.9346592952210528</v>
      </c>
      <c r="BX13" s="553">
        <f t="shared" ca="1" si="3"/>
        <v>7.4963077040456723</v>
      </c>
      <c r="BY13" s="553">
        <f t="shared" ca="1" si="3"/>
        <v>8.5703151934450741</v>
      </c>
      <c r="BZ13" s="553">
        <f t="shared" ca="1" si="3"/>
        <v>8.8537141317201176</v>
      </c>
      <c r="CA13" s="553">
        <f t="shared" ca="1" si="3"/>
        <v>9.0040348560220114</v>
      </c>
      <c r="CB13" s="554">
        <f t="shared" ca="1" si="3"/>
        <v>9.1445346261690155</v>
      </c>
    </row>
    <row r="14" spans="1:80" ht="15">
      <c r="A14" s="557" t="s">
        <v>421</v>
      </c>
      <c r="B14" s="558">
        <v>1</v>
      </c>
      <c r="C14" s="559">
        <f>ROUNDUP(((Ventes!D19-Ventes!C19)*Hypothèses!$B$86+Ventes!C19*Hypothèses!$B$84)/160,0)</f>
        <v>2</v>
      </c>
      <c r="D14" s="559">
        <f>ROUNDUP(((Ventes!E19-Ventes!D19)*Hypothèses!$B$86+Ventes!D19*Hypothèses!$B$84)/160,0)</f>
        <v>2</v>
      </c>
      <c r="E14" s="559">
        <f>ROUNDUP(((Ventes!F19-Ventes!E19)*Hypothèses!$B$86+Ventes!E19*Hypothèses!$B$84)/160,0)</f>
        <v>2</v>
      </c>
      <c r="F14" s="559">
        <f>ROUNDUP(((Ventes!G19-Ventes!F19)*Hypothèses!$B$86+Ventes!F19*Hypothèses!$B$84)/160,0)</f>
        <v>2</v>
      </c>
      <c r="G14" s="559">
        <f>ROUNDUP(((Ventes!H19-Ventes!G19)*Hypothèses!$B$86+Ventes!G19*Hypothèses!$B$84)/160,0)</f>
        <v>2</v>
      </c>
      <c r="H14" s="560">
        <f>ROUNDUP(((Ventes!I19-Ventes!H19)*Hypothèses!$B$86+Ventes!H19*Hypothèses!$B$84)/160,0)</f>
        <v>2</v>
      </c>
      <c r="I14" s="561">
        <f>ROUNDUP(((Ventes!J19-Ventes!I19)*Hypothèses!$B$86+Ventes!I19*Hypothèses!$B$84)/160,0)</f>
        <v>2</v>
      </c>
      <c r="J14" s="562">
        <f ca="1">ROUNDUP(((Ventes!K19-Ventes!J19)*Hypothèses!$B$86+Ventes!J19*Hypothèses!$B$84)/160,0)</f>
        <v>2</v>
      </c>
      <c r="K14" s="562">
        <f ca="1">ROUNDUP(((Ventes!L19-Ventes!K19)*Hypothèses!$B$86+Ventes!K19*Hypothèses!$B$84)/160,0)</f>
        <v>2</v>
      </c>
      <c r="L14" s="562">
        <f ca="1">ROUNDUP(((Ventes!M19-Ventes!L19)*Hypothèses!$B$86+Ventes!L19*Hypothèses!$B$84)/160,0)</f>
        <v>2</v>
      </c>
      <c r="M14" s="562">
        <f ca="1">ROUNDUP(((Ventes!N19-Ventes!M19)*Hypothèses!$B$86+Ventes!M19*Hypothèses!$B$84)/160,0)</f>
        <v>2</v>
      </c>
      <c r="N14" s="562">
        <f ca="1">ROUNDUP(((Ventes!O19-Ventes!N19)*Hypothèses!$B$86+Ventes!N19*Hypothèses!$B$84)/160,0)</f>
        <v>2</v>
      </c>
      <c r="O14" s="562">
        <f ca="1">ROUNDUP(((Ventes!P19-Ventes!O19)*Hypothèses!$B$86+Ventes!O19*Hypothèses!$B$84)/160,0)</f>
        <v>2</v>
      </c>
      <c r="P14" s="562">
        <f ca="1">ROUNDUP(((Ventes!Q19-Ventes!P19)*Hypothèses!$B$86+Ventes!P19*Hypothèses!$B$84)/160,0)</f>
        <v>2</v>
      </c>
      <c r="Q14" s="562">
        <f ca="1">ROUNDUP(((Ventes!R19-Ventes!Q19)*Hypothèses!$B$86+Ventes!Q19*Hypothèses!$B$84)/160,0)</f>
        <v>2</v>
      </c>
      <c r="R14" s="562">
        <f ca="1">ROUNDUP(((Ventes!S19-Ventes!R19)*Hypothèses!$B$86+Ventes!R19*Hypothèses!$B$84)/160,0)</f>
        <v>2</v>
      </c>
      <c r="S14" s="562">
        <f ca="1">ROUNDUP(((Ventes!T19-Ventes!S19)*Hypothèses!$B$86+Ventes!S19*Hypothèses!$B$84)/160,0)</f>
        <v>2</v>
      </c>
      <c r="T14" s="563">
        <f ca="1">ROUNDUP(((Ventes!U19-Ventes!T19)*Hypothèses!$B$86+Ventes!T19*Hypothèses!$B$84)/160,0)</f>
        <v>2</v>
      </c>
      <c r="U14" s="561">
        <f ca="1">ROUNDUP(((Ventes!V19-Ventes!U19)*Hypothèses!$B$86+Ventes!U19*Hypothèses!$B$84)/160,0)</f>
        <v>2</v>
      </c>
      <c r="V14" s="562">
        <f ca="1">ROUNDUP(((Ventes!W19-Ventes!V19)*Hypothèses!$B$86+Ventes!V19*Hypothèses!$B$84)/160,0)</f>
        <v>2</v>
      </c>
      <c r="W14" s="562">
        <f ca="1">ROUNDUP(((Ventes!X19-Ventes!W19)*Hypothèses!$B$86+Ventes!W19*Hypothèses!$B$84)/160,0)</f>
        <v>2</v>
      </c>
      <c r="X14" s="562">
        <f ca="1">ROUNDUP(((Ventes!Y19-Ventes!X19)*Hypothèses!$B$86+Ventes!X19*Hypothèses!$B$84)/160,0)</f>
        <v>2</v>
      </c>
      <c r="Y14" s="562">
        <f ca="1">ROUNDUP(((Ventes!Z19-Ventes!Y19)*Hypothèses!$B$86+Ventes!Y19*Hypothèses!$B$84)/160,0)</f>
        <v>2</v>
      </c>
      <c r="Z14" s="562">
        <f ca="1">ROUNDUP(((Ventes!AA19-Ventes!Z19)*Hypothèses!$B$86+Ventes!Z19*Hypothèses!$B$84)/160,0)</f>
        <v>2</v>
      </c>
      <c r="AA14" s="562">
        <f ca="1">ROUNDUP(((Ventes!AB19-Ventes!AA19)*Hypothèses!$B$86+Ventes!AA19*Hypothèses!$B$84)/160,0)</f>
        <v>2</v>
      </c>
      <c r="AB14" s="562">
        <f ca="1">ROUNDUP(((Ventes!AC19-Ventes!AB19)*Hypothèses!$B$86+Ventes!AB19*Hypothèses!$B$84)/160,0)</f>
        <v>2</v>
      </c>
      <c r="AC14" s="562">
        <f ca="1">ROUNDUP(((Ventes!AD19-Ventes!AC19)*Hypothèses!$B$86+Ventes!AC19*Hypothèses!$B$84)/160,0)</f>
        <v>2</v>
      </c>
      <c r="AD14" s="562">
        <f ca="1">ROUNDUP(((Ventes!AE19-Ventes!AD19)*Hypothèses!$B$86+Ventes!AD19*Hypothèses!$B$84)/160,0)</f>
        <v>2</v>
      </c>
      <c r="AE14" s="562">
        <f ca="1">ROUNDUP(((Ventes!AF19-Ventes!AE19)*Hypothèses!$B$86+Ventes!AE19*Hypothèses!$B$84)/160,0)</f>
        <v>2</v>
      </c>
      <c r="AF14" s="563">
        <f ca="1">ROUNDUP(((Ventes!AG19-Ventes!AF19)*Hypothèses!$B$86+Ventes!AF19*Hypothèses!$B$84)/160,0)</f>
        <v>2</v>
      </c>
      <c r="AG14" s="561">
        <f ca="1">ROUNDUP(((Ventes!AH19-Ventes!AG19)*Hypothèses!$B$86+Ventes!AG19*Hypothèses!$B$84)/160,0)</f>
        <v>2</v>
      </c>
      <c r="AH14" s="562">
        <f ca="1">ROUNDUP(((Ventes!AI19-Ventes!AH19)*Hypothèses!$B$86+Ventes!AH19*Hypothèses!$B$84)/160,0)</f>
        <v>2</v>
      </c>
      <c r="AI14" s="562">
        <f ca="1">ROUNDUP(((Ventes!AJ19-Ventes!AI19)*Hypothèses!$B$86+Ventes!AI19*Hypothèses!$B$84)/160,0)</f>
        <v>2</v>
      </c>
      <c r="AJ14" s="562">
        <f ca="1">ROUNDUP(((Ventes!AK19-Ventes!AJ19)*Hypothèses!$B$86+Ventes!AJ19*Hypothèses!$B$84)/160,0)</f>
        <v>3</v>
      </c>
      <c r="AK14" s="562">
        <f ca="1">ROUNDUP(((Ventes!AL19-Ventes!AK19)*Hypothèses!$B$86+Ventes!AK19*Hypothèses!$B$84)/160,0)</f>
        <v>3</v>
      </c>
      <c r="AL14" s="562">
        <f ca="1">ROUNDUP(((Ventes!AM19-Ventes!AL19)*Hypothèses!$B$86+Ventes!AL19*Hypothèses!$B$84)/160,0)</f>
        <v>3</v>
      </c>
      <c r="AM14" s="562">
        <f ca="1">ROUNDUP(((Ventes!AN19-Ventes!AM19)*Hypothèses!$B$86+Ventes!AM19*Hypothèses!$B$84)/160,0)</f>
        <v>3</v>
      </c>
      <c r="AN14" s="562">
        <f ca="1">ROUNDUP(((Ventes!AO19-Ventes!AN19)*Hypothèses!$B$86+Ventes!AN19*Hypothèses!$B$84)/160,0)</f>
        <v>3</v>
      </c>
      <c r="AO14" s="562">
        <f ca="1">ROUNDUP(((Ventes!AP19-Ventes!AO19)*Hypothèses!$B$86+Ventes!AO19*Hypothèses!$B$84)/160,0)</f>
        <v>3</v>
      </c>
      <c r="AP14" s="562">
        <f ca="1">ROUNDUP(((Ventes!AQ19-Ventes!AP19)*Hypothèses!$B$86+Ventes!AP19*Hypothèses!$B$84)/160,0)</f>
        <v>3</v>
      </c>
      <c r="AQ14" s="562">
        <f ca="1">ROUNDUP(((Ventes!AR19-Ventes!AQ19)*Hypothèses!$B$86+Ventes!AQ19*Hypothèses!$B$84)/160,0)</f>
        <v>3</v>
      </c>
      <c r="AR14" s="563">
        <f ca="1">ROUNDUP(((Ventes!AS19-Ventes!AR19)*Hypothèses!$B$86+Ventes!AR19*Hypothèses!$B$84)/160,0)</f>
        <v>3</v>
      </c>
      <c r="AS14" s="561">
        <f ca="1">ROUNDUP(((Ventes!AT19-Ventes!AS19)*Hypothèses!$B$86+Ventes!AS19*Hypothèses!$B$84)/160,0)</f>
        <v>3</v>
      </c>
      <c r="AT14" s="562">
        <f ca="1">ROUNDUP(((Ventes!AU19-Ventes!AT19)*Hypothèses!$B$86+Ventes!AT19*Hypothèses!$B$84)/160,0)</f>
        <v>3</v>
      </c>
      <c r="AU14" s="562">
        <f ca="1">ROUNDUP(((Ventes!AV19-Ventes!AU19)*Hypothèses!$B$86+Ventes!AU19*Hypothèses!$B$84)/160,0)</f>
        <v>3</v>
      </c>
      <c r="AV14" s="562">
        <f ca="1">ROUNDUP(((Ventes!AW19-Ventes!AV19)*Hypothèses!$B$86+Ventes!AV19*Hypothèses!$B$84)/160,0)</f>
        <v>3</v>
      </c>
      <c r="AW14" s="562">
        <f ca="1">ROUNDUP(((Ventes!AX19-Ventes!AW19)*Hypothèses!$B$86+Ventes!AW19*Hypothèses!$B$84)/160,0)</f>
        <v>3</v>
      </c>
      <c r="AX14" s="562">
        <f ca="1">ROUNDUP(((Ventes!AY19-Ventes!AX19)*Hypothèses!$B$86+Ventes!AX19*Hypothèses!$B$84)/160,0)</f>
        <v>3</v>
      </c>
      <c r="AY14" s="562">
        <f ca="1">ROUNDUP(((Ventes!AZ19-Ventes!AY19)*Hypothèses!$B$86+Ventes!AY19*Hypothèses!$B$84)/160,0)</f>
        <v>3</v>
      </c>
      <c r="AZ14" s="562">
        <f ca="1">ROUNDUP(((Ventes!BA19-Ventes!AZ19)*Hypothèses!$B$86+Ventes!AZ19*Hypothèses!$B$84)/160,0)</f>
        <v>3</v>
      </c>
      <c r="BA14" s="562">
        <f ca="1">ROUNDUP(((Ventes!BB19-Ventes!BA19)*Hypothèses!$B$86+Ventes!BA19*Hypothèses!$B$84)/160,0)</f>
        <v>3</v>
      </c>
      <c r="BB14" s="562">
        <f ca="1">ROUNDUP(((Ventes!BC19-Ventes!BB19)*Hypothèses!$B$86+Ventes!BB19*Hypothèses!$B$84)/160,0)</f>
        <v>3</v>
      </c>
      <c r="BC14" s="562">
        <f ca="1">ROUNDUP(((Ventes!BD19-Ventes!BC19)*Hypothèses!$B$86+Ventes!BC19*Hypothèses!$B$84)/160,0)</f>
        <v>3</v>
      </c>
      <c r="BD14" s="563">
        <f ca="1">ROUNDUP(((Ventes!BE19-Ventes!BD19)*Hypothèses!$B$86+Ventes!BD19*Hypothèses!$B$84)/160,0)</f>
        <v>3</v>
      </c>
      <c r="BE14" s="561">
        <f ca="1">ROUNDUP(((Ventes!BF19-Ventes!BE19)*Hypothèses!$B$86+Ventes!BE19*Hypothèses!$B$84)/160,0)</f>
        <v>3</v>
      </c>
      <c r="BF14" s="562">
        <f ca="1">ROUNDUP(((Ventes!BG19-Ventes!BF19)*Hypothèses!$B$86+Ventes!BF19*Hypothèses!$B$84)/160,0)</f>
        <v>3</v>
      </c>
      <c r="BG14" s="562">
        <f ca="1">ROUNDUP(((Ventes!BH19-Ventes!BG19)*Hypothèses!$B$86+Ventes!BG19*Hypothèses!$B$84)/160,0)</f>
        <v>4</v>
      </c>
      <c r="BH14" s="562">
        <f ca="1">ROUNDUP(((Ventes!BI19-Ventes!BH19)*Hypothèses!$B$86+Ventes!BH19*Hypothèses!$B$84)/160,0)</f>
        <v>4</v>
      </c>
      <c r="BI14" s="562">
        <f ca="1">ROUNDUP(((Ventes!BJ19-Ventes!BI19)*Hypothèses!$B$86+Ventes!BI19*Hypothèses!$B$84)/160,0)</f>
        <v>4</v>
      </c>
      <c r="BJ14" s="562">
        <f ca="1">ROUNDUP(((Ventes!BK19-Ventes!BJ19)*Hypothèses!$B$86+Ventes!BJ19*Hypothèses!$B$84)/160,0)</f>
        <v>4</v>
      </c>
      <c r="BK14" s="562">
        <f ca="1">ROUNDUP(((Ventes!BL19-Ventes!BK19)*Hypothèses!$B$86+Ventes!BK19*Hypothèses!$B$84)/160,0)</f>
        <v>4</v>
      </c>
      <c r="BL14" s="562">
        <f ca="1">ROUNDUP(((Ventes!BM19-Ventes!BL19)*Hypothèses!$B$86+Ventes!BL19*Hypothèses!$B$84)/160,0)</f>
        <v>5</v>
      </c>
      <c r="BM14" s="562">
        <f ca="1">ROUNDUP(((Ventes!BN19-Ventes!BM19)*Hypothèses!$B$86+Ventes!BM19*Hypothèses!$B$84)/160,0)</f>
        <v>6</v>
      </c>
      <c r="BN14" s="562">
        <f ca="1">ROUNDUP(((Ventes!BO19-Ventes!BN19)*Hypothèses!$B$86+Ventes!BN19*Hypothèses!$B$84)/160,0)</f>
        <v>6</v>
      </c>
      <c r="BO14" s="562">
        <f ca="1">ROUNDUP(((Ventes!BP19-Ventes!BO19)*Hypothèses!$B$86+Ventes!BO19*Hypothèses!$B$84)/160,0)</f>
        <v>6</v>
      </c>
      <c r="BP14" s="563">
        <f ca="1">ROUNDUP(((Ventes!BQ19-Ventes!BP19)*Hypothèses!$B$86+Ventes!BP19*Hypothèses!$B$84)/160,0)</f>
        <v>7</v>
      </c>
      <c r="BQ14" s="561">
        <f ca="1">ROUNDUP(((Ventes!BR19-Ventes!BQ19)*Hypothèses!$B$86+Ventes!BQ19*Hypothèses!$B$84)/160,0)</f>
        <v>7</v>
      </c>
      <c r="BR14" s="562">
        <f ca="1">ROUNDUP(((Ventes!BS19-Ventes!BR19)*Hypothèses!$B$86+Ventes!BR19*Hypothèses!$B$84)/160,0)</f>
        <v>8</v>
      </c>
      <c r="BS14" s="562">
        <f ca="1">ROUNDUP(((Ventes!BT19-Ventes!BS19)*Hypothèses!$B$86+Ventes!BS19*Hypothèses!$B$84)/160,0)</f>
        <v>8</v>
      </c>
      <c r="BT14" s="562">
        <f ca="1">ROUNDUP(((Ventes!BU19-Ventes!BT19)*Hypothèses!$B$86+Ventes!BT19*Hypothèses!$B$84)/160,0)</f>
        <v>8</v>
      </c>
      <c r="BU14" s="562">
        <f ca="1">ROUNDUP(((Ventes!BV19-Ventes!BU19)*Hypothèses!$B$86+Ventes!BU19*Hypothèses!$B$84)/160,0)</f>
        <v>9</v>
      </c>
      <c r="BV14" s="562">
        <f ca="1">ROUNDUP(((Ventes!BW19-Ventes!BV19)*Hypothèses!$B$86+Ventes!BV19*Hypothèses!$B$84)/160,0)</f>
        <v>9</v>
      </c>
      <c r="BW14" s="562">
        <f ca="1">ROUNDUP(((Ventes!BX19-Ventes!BW19)*Hypothèses!$B$86+Ventes!BW19*Hypothèses!$B$84)/160,0)</f>
        <v>10</v>
      </c>
      <c r="BX14" s="562">
        <f ca="1">ROUNDUP(((Ventes!BY19-Ventes!BX19)*Hypothèses!$B$86+Ventes!BX19*Hypothèses!$B$84)/160,0)</f>
        <v>13</v>
      </c>
      <c r="BY14" s="562">
        <f ca="1">ROUNDUP(((Ventes!BZ19-Ventes!BY19)*Hypothèses!$B$86+Ventes!BY19*Hypothèses!$B$84)/160,0)</f>
        <v>14</v>
      </c>
      <c r="BZ14" s="562">
        <f ca="1">ROUNDUP(((Ventes!CA19-Ventes!BZ19)*Hypothèses!$B$86+Ventes!BZ19*Hypothèses!$B$84)/160,0)</f>
        <v>15</v>
      </c>
      <c r="CA14" s="562">
        <f ca="1">ROUNDUP(((Ventes!CB19-Ventes!CA19)*Hypothèses!$B$86+Ventes!CA19*Hypothèses!$B$84)/160,0)</f>
        <v>16</v>
      </c>
      <c r="CB14" s="563">
        <f ca="1">ROUNDUP(((Ventes!CC19-Ventes!CB19)*Hypothèses!$B$86+Ventes!CB19*Hypothèses!$B$84)/160,0)</f>
        <v>17</v>
      </c>
    </row>
    <row r="15" spans="1:80" ht="15">
      <c r="A15" s="564" t="s">
        <v>422</v>
      </c>
      <c r="B15" s="565">
        <f t="shared" ref="B15:CB15" ca="1" si="4">B5+B8+B13+B14</f>
        <v>10.914285714285715</v>
      </c>
      <c r="C15" s="565">
        <f t="shared" ca="1" si="4"/>
        <v>13.789843827515893</v>
      </c>
      <c r="D15" s="565">
        <f t="shared" ca="1" si="4"/>
        <v>13.79028244800288</v>
      </c>
      <c r="E15" s="565">
        <f t="shared" ca="1" si="4"/>
        <v>13.790707881588732</v>
      </c>
      <c r="F15" s="565">
        <f t="shared" ca="1" si="4"/>
        <v>13.791120544108619</v>
      </c>
      <c r="G15" s="565">
        <f t="shared" ca="1" si="4"/>
        <v>13.791520836862174</v>
      </c>
      <c r="H15" s="565">
        <f t="shared" ca="1" si="4"/>
        <v>13.791909147174376</v>
      </c>
      <c r="I15" s="565">
        <f t="shared" ca="1" si="4"/>
        <v>13.823468249618273</v>
      </c>
      <c r="J15" s="565">
        <f t="shared" ca="1" si="4"/>
        <v>13.826377886702302</v>
      </c>
      <c r="K15" s="565">
        <f t="shared" ca="1" si="4"/>
        <v>18.677047259729054</v>
      </c>
      <c r="L15" s="565">
        <f t="shared" ca="1" si="4"/>
        <v>18.686460775548412</v>
      </c>
      <c r="M15" s="565">
        <f t="shared" ca="1" si="4"/>
        <v>18.688181593126014</v>
      </c>
      <c r="N15" s="565">
        <f t="shared" ca="1" si="4"/>
        <v>18.689862646309216</v>
      </c>
      <c r="O15" s="565">
        <f t="shared" ca="1" si="4"/>
        <v>18.691504906164948</v>
      </c>
      <c r="P15" s="565">
        <f t="shared" ca="1" si="4"/>
        <v>18.698457764103978</v>
      </c>
      <c r="Q15" s="565">
        <f t="shared" ca="1" si="4"/>
        <v>18.700581567976265</v>
      </c>
      <c r="R15" s="565">
        <f t="shared" ca="1" si="4"/>
        <v>18.702652498043154</v>
      </c>
      <c r="S15" s="565">
        <f t="shared" ca="1" si="4"/>
        <v>18.704671992182138</v>
      </c>
      <c r="T15" s="565">
        <f t="shared" ca="1" si="4"/>
        <v>13.849498586786723</v>
      </c>
      <c r="U15" s="565">
        <f t="shared" ca="1" si="4"/>
        <v>18.730323584503818</v>
      </c>
      <c r="V15" s="565">
        <f t="shared" ca="1" si="4"/>
        <v>18.733358181832923</v>
      </c>
      <c r="W15" s="565">
        <f t="shared" ca="1" si="4"/>
        <v>18.736339626506258</v>
      </c>
      <c r="X15" s="565">
        <f t="shared" ca="1" si="4"/>
        <v>18.73926892187044</v>
      </c>
      <c r="Y15" s="565">
        <f t="shared" ca="1" si="4"/>
        <v>18.742147050216683</v>
      </c>
      <c r="Z15" s="565">
        <f t="shared" ca="1" si="4"/>
        <v>18.744974973285775</v>
      </c>
      <c r="AA15" s="565">
        <f t="shared" ca="1" si="4"/>
        <v>18.747753632758954</v>
      </c>
      <c r="AB15" s="565">
        <f t="shared" ca="1" si="4"/>
        <v>18.755609545473476</v>
      </c>
      <c r="AC15" s="565">
        <f t="shared" ca="1" si="4"/>
        <v>18.758652018832066</v>
      </c>
      <c r="AD15" s="565">
        <f t="shared" ca="1" si="4"/>
        <v>18.76163914926439</v>
      </c>
      <c r="AE15" s="565">
        <f t="shared" ca="1" si="4"/>
        <v>18.764572063160191</v>
      </c>
      <c r="AF15" s="565">
        <f t="shared" ca="1" si="4"/>
        <v>18.767451860159159</v>
      </c>
      <c r="AG15" s="565">
        <f t="shared" ca="1" si="4"/>
        <v>18.750953104345001</v>
      </c>
      <c r="AH15" s="565">
        <f t="shared" ca="1" si="4"/>
        <v>18.75327279336965</v>
      </c>
      <c r="AI15" s="565">
        <f t="shared" ca="1" si="4"/>
        <v>18.75556118906896</v>
      </c>
      <c r="AJ15" s="565">
        <f t="shared" ca="1" si="4"/>
        <v>19.900675833815431</v>
      </c>
      <c r="AK15" s="565">
        <f t="shared" ca="1" si="4"/>
        <v>19.902902837770007</v>
      </c>
      <c r="AL15" s="565">
        <f t="shared" ca="1" si="4"/>
        <v>19.905099735988355</v>
      </c>
      <c r="AM15" s="565">
        <f t="shared" ca="1" si="4"/>
        <v>19.907266916959632</v>
      </c>
      <c r="AN15" s="565">
        <f t="shared" ca="1" si="4"/>
        <v>19.909404765434772</v>
      </c>
      <c r="AO15" s="565">
        <f t="shared" ca="1" si="4"/>
        <v>19.911513662401145</v>
      </c>
      <c r="AP15" s="565">
        <f t="shared" ca="1" si="4"/>
        <v>19.913593985060714</v>
      </c>
      <c r="AQ15" s="565">
        <f t="shared" ca="1" si="4"/>
        <v>19.91564610681138</v>
      </c>
      <c r="AR15" s="565">
        <f t="shared" ca="1" si="4"/>
        <v>19.917670397231458</v>
      </c>
      <c r="AS15" s="565">
        <f t="shared" ca="1" si="4"/>
        <v>16.149157489509545</v>
      </c>
      <c r="AT15" s="565">
        <f t="shared" ca="1" si="4"/>
        <v>16.149640446811031</v>
      </c>
      <c r="AU15" s="565">
        <f t="shared" ca="1" si="4"/>
        <v>16.150115408018848</v>
      </c>
      <c r="AV15" s="565">
        <f t="shared" ca="1" si="4"/>
        <v>16.150582481724594</v>
      </c>
      <c r="AW15" s="565">
        <f t="shared" ca="1" si="4"/>
        <v>16.151041775772505</v>
      </c>
      <c r="AX15" s="565">
        <f t="shared" ca="1" si="4"/>
        <v>16.151493397227384</v>
      </c>
      <c r="AY15" s="565">
        <f t="shared" ca="1" si="4"/>
        <v>16.151937452344807</v>
      </c>
      <c r="AZ15" s="565">
        <f t="shared" ca="1" si="4"/>
        <v>16.173544981332224</v>
      </c>
      <c r="BA15" s="565">
        <f t="shared" ca="1" si="4"/>
        <v>19.888304085996001</v>
      </c>
      <c r="BB15" s="565">
        <f t="shared" ca="1" si="4"/>
        <v>21.031626459532017</v>
      </c>
      <c r="BC15" s="565">
        <f t="shared" ca="1" si="4"/>
        <v>21.032083651079166</v>
      </c>
      <c r="BD15" s="565">
        <f t="shared" ca="1" si="4"/>
        <v>21.032532922608549</v>
      </c>
      <c r="BE15" s="565">
        <f t="shared" ca="1" si="4"/>
        <v>25.574052017458314</v>
      </c>
      <c r="BF15" s="565">
        <f t="shared" ca="1" si="4"/>
        <v>28.201979340180145</v>
      </c>
      <c r="BG15" s="565">
        <f t="shared" ca="1" si="4"/>
        <v>29.422197667122671</v>
      </c>
      <c r="BH15" s="565">
        <f t="shared" ca="1" si="4"/>
        <v>29.420787996016657</v>
      </c>
      <c r="BI15" s="565">
        <f t="shared" ca="1" si="4"/>
        <v>29.497394109517693</v>
      </c>
      <c r="BJ15" s="565">
        <f t="shared" ca="1" si="4"/>
        <v>29.573251372599003</v>
      </c>
      <c r="BK15" s="565">
        <f t="shared" ca="1" si="4"/>
        <v>30.713227094943342</v>
      </c>
      <c r="BL15" s="565">
        <f t="shared" ca="1" si="4"/>
        <v>32.210599347908584</v>
      </c>
      <c r="BM15" s="565">
        <f t="shared" ca="1" si="4"/>
        <v>37.061326089397916</v>
      </c>
      <c r="BN15" s="565">
        <f t="shared" ca="1" si="4"/>
        <v>37.054993786890208</v>
      </c>
      <c r="BO15" s="565">
        <f t="shared" ca="1" si="4"/>
        <v>37.048743844495306</v>
      </c>
      <c r="BP15" s="565">
        <f t="shared" ca="1" si="4"/>
        <v>39.328289125620927</v>
      </c>
      <c r="BQ15" s="565">
        <f t="shared" ca="1" si="4"/>
        <v>50.749652160680057</v>
      </c>
      <c r="BR15" s="565">
        <f t="shared" ca="1" si="4"/>
        <v>51.925376724559229</v>
      </c>
      <c r="BS15" s="565">
        <f t="shared" ca="1" si="4"/>
        <v>51.918921556314665</v>
      </c>
      <c r="BT15" s="565">
        <f t="shared" ca="1" si="4"/>
        <v>53.094402716897612</v>
      </c>
      <c r="BU15" s="565">
        <f t="shared" ca="1" si="4"/>
        <v>54.230564094672403</v>
      </c>
      <c r="BV15" s="565">
        <f t="shared" ca="1" si="4"/>
        <v>54.223950283339839</v>
      </c>
      <c r="BW15" s="565">
        <f t="shared" ca="1" si="4"/>
        <v>55.477274361768423</v>
      </c>
      <c r="BX15" s="565">
        <f t="shared" ca="1" si="4"/>
        <v>59.970461632365378</v>
      </c>
      <c r="BY15" s="565">
        <f t="shared" ca="1" si="4"/>
        <v>68.562521547560607</v>
      </c>
      <c r="BZ15" s="565">
        <f t="shared" ca="1" si="4"/>
        <v>70.829713053760941</v>
      </c>
      <c r="CA15" s="565">
        <f t="shared" ca="1" si="4"/>
        <v>72.032278848176077</v>
      </c>
      <c r="CB15" s="565">
        <f t="shared" ca="1" si="4"/>
        <v>73.15627700935211</v>
      </c>
    </row>
    <row r="16" spans="1:80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</row>
    <row r="17" spans="1:80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</row>
    <row r="18" spans="1:80" ht="15.75" customHeight="1">
      <c r="A18" s="4"/>
      <c r="B18" s="4"/>
      <c r="C18" s="566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</row>
    <row r="19" spans="1:80" ht="15.75" customHeight="1">
      <c r="A19" s="4"/>
      <c r="B19" s="567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</row>
    <row r="20" spans="1:80" ht="15.75" customHeight="1">
      <c r="A20" s="2" t="s">
        <v>423</v>
      </c>
      <c r="B20" s="4"/>
      <c r="C20" s="4"/>
      <c r="D20" s="4"/>
      <c r="E20" s="4"/>
      <c r="F20" s="4"/>
      <c r="G20" s="4"/>
      <c r="H20" s="4"/>
      <c r="I20" s="4"/>
      <c r="J20" s="2" t="s">
        <v>424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</row>
    <row r="21" spans="1:80" ht="15.75" customHeight="1">
      <c r="A21" s="568"/>
      <c r="B21" s="568">
        <v>2025</v>
      </c>
      <c r="C21" s="569">
        <v>2026</v>
      </c>
      <c r="D21" s="570">
        <v>2027</v>
      </c>
      <c r="E21" s="569">
        <v>2028</v>
      </c>
      <c r="F21" s="571">
        <v>2029</v>
      </c>
      <c r="G21" s="572">
        <v>2030</v>
      </c>
      <c r="H21" s="572">
        <v>2031</v>
      </c>
      <c r="I21" s="4"/>
      <c r="J21" s="568"/>
      <c r="K21" s="573">
        <v>2025</v>
      </c>
      <c r="L21" s="570">
        <v>2026</v>
      </c>
      <c r="M21" s="569">
        <v>2027</v>
      </c>
      <c r="N21" s="571">
        <v>2028</v>
      </c>
      <c r="O21" s="572">
        <v>2029</v>
      </c>
      <c r="P21" s="572">
        <v>2030</v>
      </c>
      <c r="Q21" s="572">
        <v>2031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</row>
    <row r="22" spans="1:80" ht="15.75" customHeight="1">
      <c r="A22" s="440" t="s">
        <v>425</v>
      </c>
      <c r="B22" s="574">
        <f ca="1">SUM(B5:H5)/7</f>
        <v>3.3717445142280122</v>
      </c>
      <c r="C22" s="441">
        <f ca="1">SUM(I5:T5)/12</f>
        <v>3.5559516675420131</v>
      </c>
      <c r="D22" s="575">
        <f ca="1">SUM(U5:AF5)/12</f>
        <v>3.6049441068234263</v>
      </c>
      <c r="E22" s="441">
        <f ca="1">SUM(AG5:AR5)/12</f>
        <v>3.6177596801853689</v>
      </c>
      <c r="F22" s="575">
        <f ca="1">SUM(AS5:BD5)/12</f>
        <v>4.8404627485801726</v>
      </c>
      <c r="G22" s="575">
        <f ca="1">SUM(BE5:BP5)/12</f>
        <v>10.422373880677659</v>
      </c>
      <c r="H22" s="576">
        <f ca="1">SUM(BQ5:CB5)/12</f>
        <v>23.287497478397203</v>
      </c>
      <c r="I22" s="4"/>
      <c r="J22" s="577" t="s">
        <v>425</v>
      </c>
      <c r="K22" s="574">
        <f>SUM('Annexe A  Plan RH'!B107:H107)/7</f>
        <v>3.2857142857142856</v>
      </c>
      <c r="L22" s="441">
        <f>SUM('Annexe A  Plan RH'!I107:T107)/12</f>
        <v>2.9166666666666665</v>
      </c>
      <c r="M22" s="575">
        <f>SUM('Annexe A  Plan RH'!U107:AF107)/12</f>
        <v>3</v>
      </c>
      <c r="N22" s="441">
        <f>SUM('Annexe A  Plan RH'!AG107:AR107)/12</f>
        <v>3</v>
      </c>
      <c r="O22" s="575">
        <f>SUM('Annexe A  Plan RH'!AS107:BD107)/12</f>
        <v>3</v>
      </c>
      <c r="P22" s="575">
        <f>SUM('Annexe A  Plan RH'!BE107:BP107)/12</f>
        <v>9.4166666666666661</v>
      </c>
      <c r="Q22" s="442">
        <f>SUM('Annexe A  Plan RH'!BQ107:CB107)/12</f>
        <v>17.416666666666668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</row>
    <row r="23" spans="1:80" ht="15.75" customHeight="1">
      <c r="A23" s="578" t="s">
        <v>426</v>
      </c>
      <c r="B23" s="579">
        <f>SUM(B8:H8)/7</f>
        <v>6.4785714285714278</v>
      </c>
      <c r="C23" s="547">
        <f ca="1">SUM(I8:T8)/12</f>
        <v>9.7374999999999989</v>
      </c>
      <c r="D23" s="580">
        <f ca="1">SUM(U8:AF8)/12</f>
        <v>10.799999999999999</v>
      </c>
      <c r="E23" s="547">
        <f ca="1">SUM(AG8:AR8)/12</f>
        <v>10.799999999999999</v>
      </c>
      <c r="F23" s="580">
        <f ca="1">SUM(AS8:BD8)/12</f>
        <v>7.633333333333332</v>
      </c>
      <c r="G23" s="580">
        <f ca="1">SUM(BE8:BP8)/12</f>
        <v>12.991666666666665</v>
      </c>
      <c r="H23" s="581">
        <f ca="1">SUM(BQ8:CB8)/12</f>
        <v>17.766666666666662</v>
      </c>
      <c r="I23" s="4"/>
      <c r="J23" s="582" t="s">
        <v>267</v>
      </c>
      <c r="K23" s="579">
        <f>SUM('Annexe A  Plan RH'!B109:H109)/7</f>
        <v>6.2857142857142856</v>
      </c>
      <c r="L23" s="583">
        <f>SUM('Annexe A  Plan RH'!I109:T109)/12</f>
        <v>7.5</v>
      </c>
      <c r="M23" s="584">
        <f>SUM('Annexe A  Plan RH'!U109:AF109)/12</f>
        <v>9</v>
      </c>
      <c r="N23" s="583">
        <f>SUM('Annexe A  Plan RH'!AG109:AR109)/12</f>
        <v>9</v>
      </c>
      <c r="O23" s="584">
        <f>SUM('Annexe A  Plan RH'!AS109:BD109)/12</f>
        <v>9.75</v>
      </c>
      <c r="P23" s="584">
        <f>SUM('Annexe A  Plan RH'!BE109:BP109)/12</f>
        <v>14.75</v>
      </c>
      <c r="Q23" s="585">
        <f>SUM('Annexe A  Plan RH'!BQ109:CB109)/12</f>
        <v>18</v>
      </c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</row>
    <row r="24" spans="1:80" ht="15.75" customHeight="1">
      <c r="A24" s="582" t="s">
        <v>279</v>
      </c>
      <c r="B24" s="579">
        <f t="shared" ref="B24:B25" ca="1" si="5">SUM(B13:H13)/7</f>
        <v>1.6724941142774714</v>
      </c>
      <c r="C24" s="583">
        <f t="shared" ref="C24:C25" ca="1" si="6">SUM(I13:T13)/12</f>
        <v>2.1847788096488592</v>
      </c>
      <c r="D24" s="584">
        <f t="shared" ref="D24:D25" ca="1" si="7">SUM(U13:AF13)/12</f>
        <v>2.3435634438319179</v>
      </c>
      <c r="E24" s="583">
        <f t="shared" ref="E24:E25" ca="1" si="8">SUM(AG13:AR13)/12</f>
        <v>2.4525370971693388</v>
      </c>
      <c r="F24" s="584">
        <f t="shared" ref="F24:F25" ca="1" si="9">SUM(AS13:BD13)/12</f>
        <v>2.2105422974162154</v>
      </c>
      <c r="G24" s="584">
        <f t="shared" ref="G24:G25" ca="1" si="10">SUM(BE13:BP13)/12</f>
        <v>4.0115296020015698</v>
      </c>
      <c r="H24" s="586">
        <f t="shared" ref="H24:H25" ca="1" si="11">SUM(BQ13:CB13)/12</f>
        <v>7.4601186873900778</v>
      </c>
      <c r="I24" s="4"/>
      <c r="J24" s="582" t="s">
        <v>279</v>
      </c>
      <c r="K24" s="579">
        <f>SUM('Annexe A  Plan RH'!B113:H113)/7</f>
        <v>1.7142857142857142</v>
      </c>
      <c r="L24" s="583">
        <f>SUM('Annexe A  Plan RH'!I113:T113)/12</f>
        <v>1</v>
      </c>
      <c r="M24" s="584">
        <f>SUM('Annexe A  Plan RH'!U113:AF113)/12</f>
        <v>1</v>
      </c>
      <c r="N24" s="583">
        <f>SUM('Annexe A  Plan RH'!AG113:AR113)/12</f>
        <v>1</v>
      </c>
      <c r="O24" s="584">
        <f>SUM('Annexe A  Plan RH'!AS113:BD113)/12</f>
        <v>1</v>
      </c>
      <c r="P24" s="584">
        <f>SUM('Annexe A  Plan RH'!BE113:BP113)/12</f>
        <v>2.0833333333333335</v>
      </c>
      <c r="Q24" s="585">
        <f>SUM('Annexe A  Plan RH'!BQ113:CB113)/12</f>
        <v>4.5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</row>
    <row r="25" spans="1:80" ht="15.75" customHeight="1">
      <c r="A25" s="587" t="s">
        <v>276</v>
      </c>
      <c r="B25" s="588">
        <f t="shared" si="5"/>
        <v>1.8571428571428572</v>
      </c>
      <c r="C25" s="589">
        <f t="shared" ca="1" si="6"/>
        <v>2</v>
      </c>
      <c r="D25" s="590">
        <f t="shared" ca="1" si="7"/>
        <v>2</v>
      </c>
      <c r="E25" s="589">
        <f t="shared" ca="1" si="8"/>
        <v>2.75</v>
      </c>
      <c r="F25" s="590">
        <f t="shared" ca="1" si="9"/>
        <v>3</v>
      </c>
      <c r="G25" s="590">
        <f t="shared" ca="1" si="10"/>
        <v>4.666666666666667</v>
      </c>
      <c r="H25" s="591">
        <f t="shared" ca="1" si="11"/>
        <v>11.166666666666666</v>
      </c>
      <c r="I25" s="4"/>
      <c r="J25" s="587" t="s">
        <v>276</v>
      </c>
      <c r="K25" s="588">
        <f>SUM('Annexe A  Plan RH'!B111:H111)/7</f>
        <v>1</v>
      </c>
      <c r="L25" s="589">
        <f>SUM('Annexe A  Plan RH'!I111:T111)/12</f>
        <v>2</v>
      </c>
      <c r="M25" s="590">
        <f>SUM('Annexe A  Plan RH'!U111:AF111)/12</f>
        <v>2</v>
      </c>
      <c r="N25" s="589">
        <f>SUM('Annexe A  Plan RH'!AG111:AR111)/12</f>
        <v>2</v>
      </c>
      <c r="O25" s="590">
        <f>SUM('Annexe A  Plan RH'!AS111:BD111)/12</f>
        <v>2</v>
      </c>
      <c r="P25" s="590">
        <f>SUM('Annexe A  Plan RH'!BE111:BP111)/12</f>
        <v>5.5</v>
      </c>
      <c r="Q25" s="592">
        <f>SUM('Annexe A  Plan RH'!BQ111:CB111)/12</f>
        <v>9.75</v>
      </c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</row>
    <row r="26" spans="1:80" ht="15">
      <c r="A26" s="593" t="s">
        <v>427</v>
      </c>
      <c r="B26" s="594">
        <f t="shared" ref="B26:H26" ca="1" si="12">SUM(B22:B25)</f>
        <v>13.37995291421977</v>
      </c>
      <c r="C26" s="595">
        <f t="shared" ca="1" si="12"/>
        <v>17.47823047719087</v>
      </c>
      <c r="D26" s="596">
        <f t="shared" ca="1" si="12"/>
        <v>18.748507550655344</v>
      </c>
      <c r="E26" s="595">
        <f t="shared" ca="1" si="12"/>
        <v>19.620296777354707</v>
      </c>
      <c r="F26" s="596">
        <f t="shared" ca="1" si="12"/>
        <v>17.68433837932972</v>
      </c>
      <c r="G26" s="596">
        <f t="shared" ca="1" si="12"/>
        <v>32.092236816012559</v>
      </c>
      <c r="H26" s="597">
        <f t="shared" ca="1" si="12"/>
        <v>59.680949499120608</v>
      </c>
      <c r="I26" s="4"/>
      <c r="J26" s="593"/>
      <c r="K26" s="594">
        <f t="shared" ref="K26:Q26" si="13">SUM(K22:K25)</f>
        <v>12.285714285714285</v>
      </c>
      <c r="L26" s="595">
        <f t="shared" si="13"/>
        <v>13.416666666666666</v>
      </c>
      <c r="M26" s="596">
        <f t="shared" si="13"/>
        <v>15</v>
      </c>
      <c r="N26" s="595">
        <f t="shared" si="13"/>
        <v>15</v>
      </c>
      <c r="O26" s="596">
        <f t="shared" si="13"/>
        <v>15.75</v>
      </c>
      <c r="P26" s="596">
        <f t="shared" si="13"/>
        <v>31.749999999999996</v>
      </c>
      <c r="Q26" s="598">
        <f t="shared" si="13"/>
        <v>49.666666666666671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</row>
    <row r="27" spans="1:80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</row>
    <row r="28" spans="1:80" ht="15.75" customHeight="1">
      <c r="A28" s="4"/>
      <c r="B28" s="99"/>
      <c r="C28" s="4"/>
      <c r="D28" s="4"/>
      <c r="E28" s="59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</row>
    <row r="29" spans="1:80" ht="15.75" customHeight="1">
      <c r="A29" s="4"/>
      <c r="B29" s="4"/>
      <c r="C29" s="4"/>
      <c r="D29" s="4"/>
      <c r="E29" s="59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</row>
    <row r="30" spans="1:80" ht="15.75" customHeight="1">
      <c r="A30" s="3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</row>
    <row r="31" spans="1:80" ht="15.75" customHeight="1">
      <c r="A31" s="3"/>
      <c r="B31" s="600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</row>
    <row r="32" spans="1:80" ht="15.75" customHeight="1">
      <c r="A32" s="3"/>
      <c r="B32" s="600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</row>
    <row r="33" spans="1:80" ht="15.75" customHeight="1">
      <c r="A33" s="3"/>
      <c r="B33" s="600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</row>
    <row r="34" spans="1:80" ht="15.75" customHeight="1">
      <c r="A34" s="3"/>
      <c r="B34" s="600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</row>
    <row r="35" spans="1:80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</row>
    <row r="36" spans="1:80" ht="15.75" customHeight="1">
      <c r="A36" s="4"/>
      <c r="B36" s="4"/>
      <c r="C36" s="4"/>
      <c r="D36" s="4"/>
      <c r="E36" s="4"/>
      <c r="F36" s="4"/>
      <c r="G36" s="426"/>
      <c r="H36" s="426"/>
      <c r="I36" s="426"/>
      <c r="J36" s="426"/>
      <c r="K36" s="426"/>
      <c r="L36" s="426"/>
      <c r="M36" s="426"/>
      <c r="N36" s="426"/>
      <c r="O36" s="426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</row>
    <row r="37" spans="1:80" ht="15.75" customHeight="1">
      <c r="A37" s="99"/>
      <c r="B37" s="6"/>
      <c r="C37" s="426"/>
      <c r="D37" s="99"/>
      <c r="E37" s="426"/>
      <c r="F37" s="426"/>
      <c r="G37" s="426"/>
      <c r="H37" s="426"/>
      <c r="I37" s="426"/>
      <c r="J37" s="426"/>
      <c r="K37" s="426"/>
      <c r="L37" s="426"/>
      <c r="M37" s="426"/>
      <c r="N37" s="426"/>
      <c r="O37" s="426"/>
      <c r="P37" s="426"/>
      <c r="Q37" s="426"/>
      <c r="R37" s="426"/>
      <c r="S37" s="426"/>
      <c r="T37" s="426"/>
      <c r="U37" s="426"/>
      <c r="V37" s="426"/>
      <c r="W37" s="426"/>
      <c r="X37" s="426"/>
      <c r="Y37" s="426"/>
      <c r="Z37" s="426"/>
      <c r="AA37" s="426"/>
      <c r="AB37" s="426"/>
      <c r="AC37" s="426"/>
      <c r="AD37" s="426"/>
      <c r="AE37" s="426"/>
      <c r="AF37" s="426"/>
      <c r="AG37" s="426"/>
      <c r="AH37" s="426"/>
      <c r="AI37" s="426"/>
      <c r="AJ37" s="426"/>
      <c r="AK37" s="426"/>
      <c r="AL37" s="426"/>
      <c r="AM37" s="426"/>
      <c r="AN37" s="426"/>
      <c r="AO37" s="426"/>
      <c r="AP37" s="426"/>
      <c r="AQ37" s="426"/>
      <c r="AR37" s="426"/>
      <c r="AS37" s="426"/>
      <c r="AT37" s="426"/>
      <c r="AU37" s="426"/>
      <c r="AV37" s="426"/>
      <c r="AW37" s="426"/>
      <c r="AX37" s="426"/>
      <c r="AY37" s="426"/>
      <c r="AZ37" s="426"/>
      <c r="BA37" s="426"/>
      <c r="BB37" s="426"/>
      <c r="BC37" s="426"/>
      <c r="BD37" s="426"/>
      <c r="BE37" s="426"/>
      <c r="BF37" s="426"/>
      <c r="BG37" s="426"/>
      <c r="BH37" s="426"/>
      <c r="BI37" s="426"/>
      <c r="BJ37" s="426"/>
      <c r="BK37" s="426"/>
      <c r="BL37" s="426"/>
      <c r="BM37" s="426"/>
      <c r="BN37" s="426"/>
      <c r="BO37" s="426"/>
      <c r="BP37" s="426"/>
      <c r="BQ37" s="426"/>
      <c r="BR37" s="426"/>
      <c r="BS37" s="426"/>
      <c r="BT37" s="426"/>
      <c r="BU37" s="426"/>
      <c r="BV37" s="426"/>
      <c r="BW37" s="426"/>
      <c r="BX37" s="426"/>
      <c r="BY37" s="426"/>
      <c r="BZ37" s="426"/>
      <c r="CA37" s="426"/>
      <c r="CB37" s="426"/>
    </row>
    <row r="38" spans="1:80" ht="15.75" customHeight="1">
      <c r="A38" s="99"/>
      <c r="B38" s="601"/>
      <c r="C38" s="426"/>
      <c r="D38" s="99"/>
      <c r="E38" s="426"/>
      <c r="F38" s="426"/>
      <c r="G38" s="426"/>
      <c r="H38" s="426"/>
      <c r="I38" s="426"/>
      <c r="J38" s="426"/>
      <c r="K38" s="426"/>
      <c r="L38" s="426"/>
      <c r="M38" s="426"/>
      <c r="N38" s="426"/>
      <c r="O38" s="426"/>
      <c r="P38" s="426"/>
      <c r="Q38" s="426"/>
      <c r="R38" s="426"/>
      <c r="S38" s="426"/>
      <c r="T38" s="426"/>
      <c r="U38" s="426"/>
      <c r="V38" s="426"/>
      <c r="W38" s="426"/>
      <c r="X38" s="426"/>
      <c r="Y38" s="426"/>
      <c r="Z38" s="426"/>
      <c r="AA38" s="426"/>
      <c r="AB38" s="426"/>
      <c r="AC38" s="426"/>
      <c r="AD38" s="426"/>
      <c r="AE38" s="426"/>
      <c r="AF38" s="426"/>
      <c r="AG38" s="426"/>
      <c r="AH38" s="426"/>
      <c r="AI38" s="426"/>
      <c r="AJ38" s="426"/>
      <c r="AK38" s="426"/>
      <c r="AL38" s="426"/>
      <c r="AM38" s="426"/>
      <c r="AN38" s="426"/>
      <c r="AO38" s="426"/>
      <c r="AP38" s="426"/>
      <c r="AQ38" s="426"/>
      <c r="AR38" s="426"/>
      <c r="AS38" s="426"/>
      <c r="AT38" s="426"/>
      <c r="AU38" s="426"/>
      <c r="AV38" s="426"/>
      <c r="AW38" s="426"/>
      <c r="AX38" s="426"/>
      <c r="AY38" s="426"/>
      <c r="AZ38" s="426"/>
      <c r="BA38" s="426"/>
      <c r="BB38" s="426"/>
      <c r="BC38" s="426"/>
      <c r="BD38" s="426"/>
      <c r="BE38" s="426"/>
      <c r="BF38" s="426"/>
      <c r="BG38" s="426"/>
      <c r="BH38" s="426"/>
      <c r="BI38" s="426"/>
      <c r="BJ38" s="426"/>
      <c r="BK38" s="426"/>
      <c r="BL38" s="426"/>
      <c r="BM38" s="426"/>
      <c r="BN38" s="426"/>
      <c r="BO38" s="426"/>
      <c r="BP38" s="426"/>
      <c r="BQ38" s="426"/>
      <c r="BR38" s="426"/>
      <c r="BS38" s="426"/>
      <c r="BT38" s="426"/>
      <c r="BU38" s="426"/>
      <c r="BV38" s="426"/>
      <c r="BW38" s="426"/>
      <c r="BX38" s="426"/>
      <c r="BY38" s="426"/>
      <c r="BZ38" s="426"/>
      <c r="CA38" s="426"/>
      <c r="CB38" s="426"/>
    </row>
    <row r="39" spans="1:80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</row>
    <row r="40" spans="1:8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</row>
    <row r="41" spans="1:80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</row>
    <row r="42" spans="1:80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</row>
    <row r="43" spans="1:80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</row>
    <row r="44" spans="1:80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</row>
    <row r="45" spans="1:80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</row>
    <row r="46" spans="1:80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</row>
    <row r="47" spans="1:80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</row>
    <row r="48" spans="1:80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</row>
    <row r="49" spans="1:80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</row>
    <row r="50" spans="1:8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</row>
    <row r="51" spans="1:80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</row>
    <row r="52" spans="1:80" ht="1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</row>
    <row r="53" spans="1:80" ht="1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</row>
    <row r="54" spans="1:80" ht="1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</row>
    <row r="55" spans="1:80" ht="1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</row>
  </sheetData>
  <mergeCells count="7">
    <mergeCell ref="BE3:BP3"/>
    <mergeCell ref="BQ3:CB3"/>
    <mergeCell ref="B3:H3"/>
    <mergeCell ref="I3:T3"/>
    <mergeCell ref="U3:AF3"/>
    <mergeCell ref="AG3:AR3"/>
    <mergeCell ref="AS3:BD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CD41"/>
  <sheetViews>
    <sheetView topLeftCell="A10" zoomScaleNormal="100" workbookViewId="0">
      <selection activeCell="B44" sqref="B44"/>
    </sheetView>
  </sheetViews>
  <sheetFormatPr baseColWidth="10" defaultColWidth="12.6640625" defaultRowHeight="15.75" customHeight="1"/>
  <cols>
    <col min="1" max="1" width="25.33203125" customWidth="1"/>
    <col min="2" max="2" width="22.5" customWidth="1"/>
  </cols>
  <sheetData>
    <row r="1" spans="1:82" ht="15.75" customHeight="1">
      <c r="A1" s="24" t="s">
        <v>428</v>
      </c>
    </row>
    <row r="4" spans="1:82" ht="15">
      <c r="A4" s="61"/>
      <c r="B4" s="61"/>
      <c r="C4" s="703">
        <v>2025</v>
      </c>
      <c r="D4" s="709"/>
      <c r="E4" s="709"/>
      <c r="F4" s="709"/>
      <c r="G4" s="709"/>
      <c r="H4" s="709"/>
      <c r="I4" s="704"/>
      <c r="J4" s="710">
        <v>2026</v>
      </c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4"/>
      <c r="V4" s="710">
        <v>2027</v>
      </c>
      <c r="W4" s="709"/>
      <c r="X4" s="709"/>
      <c r="Y4" s="709"/>
      <c r="Z4" s="709"/>
      <c r="AA4" s="709"/>
      <c r="AB4" s="709"/>
      <c r="AC4" s="709"/>
      <c r="AD4" s="709"/>
      <c r="AE4" s="709"/>
      <c r="AF4" s="709"/>
      <c r="AG4" s="704"/>
      <c r="AH4" s="710">
        <v>2028</v>
      </c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4"/>
      <c r="AT4" s="710">
        <v>2029</v>
      </c>
      <c r="AU4" s="709"/>
      <c r="AV4" s="709"/>
      <c r="AW4" s="709"/>
      <c r="AX4" s="709"/>
      <c r="AY4" s="709"/>
      <c r="AZ4" s="709"/>
      <c r="BA4" s="709"/>
      <c r="BB4" s="709"/>
      <c r="BC4" s="709"/>
      <c r="BD4" s="709"/>
      <c r="BE4" s="704"/>
      <c r="BF4" s="711">
        <v>2030</v>
      </c>
      <c r="BG4" s="709"/>
      <c r="BH4" s="709"/>
      <c r="BI4" s="709"/>
      <c r="BJ4" s="709"/>
      <c r="BK4" s="709"/>
      <c r="BL4" s="709"/>
      <c r="BM4" s="709"/>
      <c r="BN4" s="709"/>
      <c r="BO4" s="709"/>
      <c r="BP4" s="709"/>
      <c r="BQ4" s="704"/>
      <c r="BR4" s="713">
        <v>2031</v>
      </c>
      <c r="BS4" s="714"/>
      <c r="BT4" s="714"/>
      <c r="BU4" s="714"/>
      <c r="BV4" s="714"/>
      <c r="BW4" s="714"/>
      <c r="BX4" s="714"/>
      <c r="BY4" s="714"/>
      <c r="BZ4" s="714"/>
      <c r="CA4" s="714"/>
      <c r="CB4" s="714"/>
      <c r="CC4" s="715"/>
      <c r="CD4" s="166"/>
    </row>
    <row r="5" spans="1:82" ht="15.75" customHeight="1">
      <c r="A5" s="61"/>
      <c r="B5" s="62"/>
      <c r="C5" s="602">
        <v>45809</v>
      </c>
      <c r="D5" s="174">
        <v>45839</v>
      </c>
      <c r="E5" s="174">
        <v>45870</v>
      </c>
      <c r="F5" s="174">
        <v>45901</v>
      </c>
      <c r="G5" s="174">
        <v>45931</v>
      </c>
      <c r="H5" s="174">
        <v>45962</v>
      </c>
      <c r="I5" s="603">
        <v>45992</v>
      </c>
      <c r="J5" s="172">
        <v>46023</v>
      </c>
      <c r="K5" s="171">
        <v>46054</v>
      </c>
      <c r="L5" s="171">
        <v>46082</v>
      </c>
      <c r="M5" s="171">
        <v>46113</v>
      </c>
      <c r="N5" s="171">
        <v>46143</v>
      </c>
      <c r="O5" s="171">
        <v>46174</v>
      </c>
      <c r="P5" s="171">
        <v>46204</v>
      </c>
      <c r="Q5" s="171">
        <v>46235</v>
      </c>
      <c r="R5" s="171">
        <v>46266</v>
      </c>
      <c r="S5" s="171">
        <v>46296</v>
      </c>
      <c r="T5" s="171">
        <v>46327</v>
      </c>
      <c r="U5" s="173">
        <v>46357</v>
      </c>
      <c r="V5" s="172">
        <v>46388</v>
      </c>
      <c r="W5" s="171">
        <v>46419</v>
      </c>
      <c r="X5" s="171">
        <v>46447</v>
      </c>
      <c r="Y5" s="171">
        <v>46478</v>
      </c>
      <c r="Z5" s="171">
        <v>46508</v>
      </c>
      <c r="AA5" s="171">
        <v>46539</v>
      </c>
      <c r="AB5" s="171">
        <v>46569</v>
      </c>
      <c r="AC5" s="171">
        <v>46600</v>
      </c>
      <c r="AD5" s="171">
        <v>46631</v>
      </c>
      <c r="AE5" s="171">
        <v>46661</v>
      </c>
      <c r="AF5" s="171">
        <v>46692</v>
      </c>
      <c r="AG5" s="173">
        <v>46722</v>
      </c>
      <c r="AH5" s="172">
        <v>46753</v>
      </c>
      <c r="AI5" s="171">
        <v>46784</v>
      </c>
      <c r="AJ5" s="171">
        <v>46813</v>
      </c>
      <c r="AK5" s="171">
        <v>46844</v>
      </c>
      <c r="AL5" s="171">
        <v>46874</v>
      </c>
      <c r="AM5" s="171">
        <v>46905</v>
      </c>
      <c r="AN5" s="171">
        <v>46935</v>
      </c>
      <c r="AO5" s="171">
        <v>46966</v>
      </c>
      <c r="AP5" s="171">
        <v>46997</v>
      </c>
      <c r="AQ5" s="171">
        <v>47027</v>
      </c>
      <c r="AR5" s="171">
        <v>47058</v>
      </c>
      <c r="AS5" s="173">
        <v>47088</v>
      </c>
      <c r="AT5" s="172">
        <v>47119</v>
      </c>
      <c r="AU5" s="171">
        <v>47150</v>
      </c>
      <c r="AV5" s="171">
        <v>47178</v>
      </c>
      <c r="AW5" s="171">
        <v>47209</v>
      </c>
      <c r="AX5" s="171">
        <v>47239</v>
      </c>
      <c r="AY5" s="171">
        <v>47270</v>
      </c>
      <c r="AZ5" s="171">
        <v>47300</v>
      </c>
      <c r="BA5" s="171">
        <v>47331</v>
      </c>
      <c r="BB5" s="171">
        <v>47362</v>
      </c>
      <c r="BC5" s="171">
        <v>47392</v>
      </c>
      <c r="BD5" s="171">
        <v>47423</v>
      </c>
      <c r="BE5" s="173">
        <v>47453</v>
      </c>
      <c r="BF5" s="172">
        <v>47484</v>
      </c>
      <c r="BG5" s="171">
        <v>47515</v>
      </c>
      <c r="BH5" s="171">
        <v>47543</v>
      </c>
      <c r="BI5" s="171">
        <v>47574</v>
      </c>
      <c r="BJ5" s="171">
        <v>47604</v>
      </c>
      <c r="BK5" s="171">
        <v>47635</v>
      </c>
      <c r="BL5" s="171">
        <v>47665</v>
      </c>
      <c r="BM5" s="171">
        <v>47696</v>
      </c>
      <c r="BN5" s="171">
        <v>47727</v>
      </c>
      <c r="BO5" s="171">
        <v>47757</v>
      </c>
      <c r="BP5" s="171">
        <v>47788</v>
      </c>
      <c r="BQ5" s="173">
        <v>47818</v>
      </c>
      <c r="BR5" s="172">
        <v>47849</v>
      </c>
      <c r="BS5" s="171">
        <v>47880</v>
      </c>
      <c r="BT5" s="171">
        <v>47908</v>
      </c>
      <c r="BU5" s="171">
        <v>47939</v>
      </c>
      <c r="BV5" s="171">
        <v>47969</v>
      </c>
      <c r="BW5" s="171">
        <v>48000</v>
      </c>
      <c r="BX5" s="171">
        <v>48030</v>
      </c>
      <c r="BY5" s="171">
        <v>48061</v>
      </c>
      <c r="BZ5" s="171">
        <v>48092</v>
      </c>
      <c r="CA5" s="171">
        <v>48122</v>
      </c>
      <c r="CB5" s="171">
        <v>48153</v>
      </c>
      <c r="CC5" s="173">
        <v>48183</v>
      </c>
      <c r="CD5" s="174"/>
    </row>
    <row r="6" spans="1:82" ht="15">
      <c r="A6" s="604" t="s">
        <v>429</v>
      </c>
      <c r="B6" s="605" t="s">
        <v>430</v>
      </c>
      <c r="C6" s="187">
        <f t="shared" ref="C6:CC6" si="0">C7++C13+C19+C29</f>
        <v>-6978.5</v>
      </c>
      <c r="D6" s="187">
        <f t="shared" si="0"/>
        <v>-787</v>
      </c>
      <c r="E6" s="187">
        <f t="shared" si="0"/>
        <v>-787</v>
      </c>
      <c r="F6" s="187">
        <f t="shared" si="0"/>
        <v>-7709.5</v>
      </c>
      <c r="G6" s="187">
        <f t="shared" si="0"/>
        <v>-787</v>
      </c>
      <c r="H6" s="187">
        <f t="shared" si="0"/>
        <v>-787</v>
      </c>
      <c r="I6" s="187">
        <f t="shared" si="0"/>
        <v>-12651.5</v>
      </c>
      <c r="J6" s="186">
        <f t="shared" si="0"/>
        <v>-787</v>
      </c>
      <c r="K6" s="187">
        <f t="shared" si="0"/>
        <v>-787</v>
      </c>
      <c r="L6" s="187">
        <f t="shared" si="0"/>
        <v>287465</v>
      </c>
      <c r="M6" s="187">
        <f t="shared" si="0"/>
        <v>-2037</v>
      </c>
      <c r="N6" s="187">
        <f t="shared" si="0"/>
        <v>-2037</v>
      </c>
      <c r="O6" s="187">
        <f t="shared" si="0"/>
        <v>-13668</v>
      </c>
      <c r="P6" s="187">
        <f t="shared" si="0"/>
        <v>-2037</v>
      </c>
      <c r="Q6" s="187">
        <f t="shared" si="0"/>
        <v>-2037</v>
      </c>
      <c r="R6" s="187">
        <f t="shared" si="0"/>
        <v>-13552</v>
      </c>
      <c r="S6" s="187">
        <f t="shared" si="0"/>
        <v>-2037</v>
      </c>
      <c r="T6" s="187">
        <f t="shared" si="0"/>
        <v>-2037</v>
      </c>
      <c r="U6" s="188">
        <f t="shared" si="0"/>
        <v>-13437</v>
      </c>
      <c r="V6" s="187">
        <f t="shared" si="0"/>
        <v>-2037</v>
      </c>
      <c r="W6" s="187">
        <f t="shared" si="0"/>
        <v>-1250</v>
      </c>
      <c r="X6" s="187">
        <f t="shared" si="0"/>
        <v>-12533</v>
      </c>
      <c r="Y6" s="187">
        <f t="shared" si="0"/>
        <v>-1250</v>
      </c>
      <c r="Z6" s="187">
        <f t="shared" si="0"/>
        <v>-1250</v>
      </c>
      <c r="AA6" s="187">
        <f t="shared" si="0"/>
        <v>-12417</v>
      </c>
      <c r="AB6" s="187">
        <f t="shared" si="0"/>
        <v>-1250</v>
      </c>
      <c r="AC6" s="187">
        <f t="shared" si="0"/>
        <v>-1250</v>
      </c>
      <c r="AD6" s="187">
        <f t="shared" si="0"/>
        <v>-12301</v>
      </c>
      <c r="AE6" s="187">
        <f t="shared" si="0"/>
        <v>-1250</v>
      </c>
      <c r="AF6" s="187">
        <f t="shared" si="0"/>
        <v>-1250</v>
      </c>
      <c r="AG6" s="187">
        <f t="shared" si="0"/>
        <v>-12185</v>
      </c>
      <c r="AH6" s="186">
        <f t="shared" si="0"/>
        <v>-1250</v>
      </c>
      <c r="AI6" s="187">
        <f t="shared" si="0"/>
        <v>-1250</v>
      </c>
      <c r="AJ6" s="187">
        <f t="shared" si="0"/>
        <v>-12068</v>
      </c>
      <c r="AK6" s="187">
        <f t="shared" si="0"/>
        <v>-1250</v>
      </c>
      <c r="AL6" s="187">
        <f t="shared" si="0"/>
        <v>-1250</v>
      </c>
      <c r="AM6" s="187">
        <f t="shared" si="0"/>
        <v>-11952</v>
      </c>
      <c r="AN6" s="187">
        <f t="shared" si="0"/>
        <v>-1250</v>
      </c>
      <c r="AO6" s="187">
        <f t="shared" si="0"/>
        <v>-1250</v>
      </c>
      <c r="AP6" s="187">
        <f t="shared" si="0"/>
        <v>-11836</v>
      </c>
      <c r="AQ6" s="187">
        <f t="shared" si="0"/>
        <v>-1250</v>
      </c>
      <c r="AR6" s="187">
        <f t="shared" si="0"/>
        <v>-1250</v>
      </c>
      <c r="AS6" s="188">
        <f t="shared" si="0"/>
        <v>-6721</v>
      </c>
      <c r="AT6" s="187">
        <f t="shared" si="0"/>
        <v>-1250</v>
      </c>
      <c r="AU6" s="187">
        <f t="shared" si="0"/>
        <v>-1250</v>
      </c>
      <c r="AV6" s="187">
        <f t="shared" si="0"/>
        <v>-6662</v>
      </c>
      <c r="AW6" s="187">
        <f t="shared" si="0"/>
        <v>-9548.6111111111113</v>
      </c>
      <c r="AX6" s="187">
        <f t="shared" si="0"/>
        <v>-9513.8888888888887</v>
      </c>
      <c r="AY6" s="187">
        <f t="shared" si="0"/>
        <v>-14832.166666666668</v>
      </c>
      <c r="AZ6" s="187">
        <f t="shared" si="0"/>
        <v>-9444.4444444444453</v>
      </c>
      <c r="BA6" s="187">
        <f t="shared" si="0"/>
        <v>-9409.7222222222226</v>
      </c>
      <c r="BB6" s="187">
        <f t="shared" si="0"/>
        <v>-14669</v>
      </c>
      <c r="BC6" s="187">
        <f t="shared" si="0"/>
        <v>-9340.2777777777792</v>
      </c>
      <c r="BD6" s="187">
        <f t="shared" si="0"/>
        <v>-9305.5555555555566</v>
      </c>
      <c r="BE6" s="187">
        <f t="shared" si="0"/>
        <v>-14505.833333333334</v>
      </c>
      <c r="BF6" s="186">
        <f t="shared" si="0"/>
        <v>-9236.1111111111113</v>
      </c>
      <c r="BG6" s="187">
        <f t="shared" si="0"/>
        <v>-9201.3888888888905</v>
      </c>
      <c r="BH6" s="187">
        <f t="shared" si="0"/>
        <v>-14342.666666666668</v>
      </c>
      <c r="BI6" s="187">
        <f t="shared" si="0"/>
        <v>-9131.9444444444453</v>
      </c>
      <c r="BJ6" s="187">
        <f t="shared" si="0"/>
        <v>-9097.2222222222226</v>
      </c>
      <c r="BK6" s="187">
        <f t="shared" si="0"/>
        <v>-14240</v>
      </c>
      <c r="BL6" s="187">
        <f t="shared" si="0"/>
        <v>-9027.7777777777792</v>
      </c>
      <c r="BM6" s="187">
        <f t="shared" si="0"/>
        <v>-8993.0555555555566</v>
      </c>
      <c r="BN6" s="187">
        <f t="shared" si="0"/>
        <v>-14016.333333333334</v>
      </c>
      <c r="BO6" s="187">
        <f t="shared" si="0"/>
        <v>-8923.6111111111113</v>
      </c>
      <c r="BP6" s="187">
        <f t="shared" si="0"/>
        <v>-8888.8888888888887</v>
      </c>
      <c r="BQ6" s="188">
        <f t="shared" si="0"/>
        <v>-8854.1666666666679</v>
      </c>
      <c r="BR6" s="187">
        <f t="shared" si="0"/>
        <v>-8819.4444444444453</v>
      </c>
      <c r="BS6" s="187">
        <f t="shared" si="0"/>
        <v>-8784.7222222222226</v>
      </c>
      <c r="BT6" s="187">
        <f t="shared" si="0"/>
        <v>-8750</v>
      </c>
      <c r="BU6" s="187">
        <f t="shared" si="0"/>
        <v>-8715.2777777777774</v>
      </c>
      <c r="BV6" s="187">
        <f t="shared" si="0"/>
        <v>-8680.5555555555566</v>
      </c>
      <c r="BW6" s="187">
        <f t="shared" si="0"/>
        <v>-8645.8333333333339</v>
      </c>
      <c r="BX6" s="187">
        <f t="shared" si="0"/>
        <v>-8611.1111111111113</v>
      </c>
      <c r="BY6" s="187">
        <f t="shared" si="0"/>
        <v>-8576.3888888888887</v>
      </c>
      <c r="BZ6" s="187">
        <f t="shared" si="0"/>
        <v>-8541.6666666666661</v>
      </c>
      <c r="CA6" s="187">
        <f t="shared" si="0"/>
        <v>-8506.9444444444453</v>
      </c>
      <c r="CB6" s="187">
        <f t="shared" si="0"/>
        <v>-8472.2222222222226</v>
      </c>
      <c r="CC6" s="188">
        <f t="shared" si="0"/>
        <v>-8437.5</v>
      </c>
      <c r="CD6" s="24"/>
    </row>
    <row r="7" spans="1:82" ht="15">
      <c r="A7" s="606" t="s">
        <v>431</v>
      </c>
      <c r="B7" s="605"/>
      <c r="C7" s="187">
        <f t="shared" ref="C7:CC7" si="1">SUM(C8:C11)</f>
        <v>-5801</v>
      </c>
      <c r="D7" s="187">
        <f t="shared" si="1"/>
        <v>0</v>
      </c>
      <c r="E7" s="187">
        <f t="shared" si="1"/>
        <v>0</v>
      </c>
      <c r="F7" s="187">
        <f t="shared" si="1"/>
        <v>-5745</v>
      </c>
      <c r="G7" s="187">
        <f t="shared" si="1"/>
        <v>0</v>
      </c>
      <c r="H7" s="187">
        <f t="shared" si="1"/>
        <v>0</v>
      </c>
      <c r="I7" s="187">
        <f t="shared" si="1"/>
        <v>-5687</v>
      </c>
      <c r="J7" s="186">
        <f t="shared" si="1"/>
        <v>0</v>
      </c>
      <c r="K7" s="187">
        <f t="shared" si="1"/>
        <v>0</v>
      </c>
      <c r="L7" s="187">
        <f t="shared" si="1"/>
        <v>-5630</v>
      </c>
      <c r="M7" s="187">
        <f t="shared" si="1"/>
        <v>0</v>
      </c>
      <c r="N7" s="187">
        <f t="shared" si="1"/>
        <v>0</v>
      </c>
      <c r="O7" s="187">
        <f t="shared" si="1"/>
        <v>-5572</v>
      </c>
      <c r="P7" s="187">
        <f t="shared" si="1"/>
        <v>0</v>
      </c>
      <c r="Q7" s="187">
        <f t="shared" si="1"/>
        <v>0</v>
      </c>
      <c r="R7" s="187">
        <f t="shared" si="1"/>
        <v>-5515</v>
      </c>
      <c r="S7" s="187">
        <f t="shared" si="1"/>
        <v>0</v>
      </c>
      <c r="T7" s="187">
        <f t="shared" si="1"/>
        <v>0</v>
      </c>
      <c r="U7" s="188">
        <f t="shared" si="1"/>
        <v>-5458</v>
      </c>
      <c r="V7" s="187">
        <f t="shared" si="1"/>
        <v>0</v>
      </c>
      <c r="W7" s="187">
        <f t="shared" si="1"/>
        <v>0</v>
      </c>
      <c r="X7" s="187">
        <f t="shared" si="1"/>
        <v>-5400</v>
      </c>
      <c r="Y7" s="187">
        <f t="shared" si="1"/>
        <v>0</v>
      </c>
      <c r="Z7" s="187">
        <f t="shared" si="1"/>
        <v>0</v>
      </c>
      <c r="AA7" s="187">
        <f t="shared" si="1"/>
        <v>-5343</v>
      </c>
      <c r="AB7" s="187">
        <f t="shared" si="1"/>
        <v>0</v>
      </c>
      <c r="AC7" s="187">
        <f t="shared" si="1"/>
        <v>0</v>
      </c>
      <c r="AD7" s="187">
        <f t="shared" si="1"/>
        <v>-5286</v>
      </c>
      <c r="AE7" s="187">
        <f t="shared" si="1"/>
        <v>0</v>
      </c>
      <c r="AF7" s="187">
        <f t="shared" si="1"/>
        <v>0</v>
      </c>
      <c r="AG7" s="187">
        <f t="shared" si="1"/>
        <v>-5229</v>
      </c>
      <c r="AH7" s="186">
        <f t="shared" si="1"/>
        <v>0</v>
      </c>
      <c r="AI7" s="187">
        <f t="shared" si="1"/>
        <v>0</v>
      </c>
      <c r="AJ7" s="187">
        <f t="shared" si="1"/>
        <v>-5171</v>
      </c>
      <c r="AK7" s="187">
        <f t="shared" si="1"/>
        <v>0</v>
      </c>
      <c r="AL7" s="187">
        <f t="shared" si="1"/>
        <v>0</v>
      </c>
      <c r="AM7" s="187">
        <f t="shared" si="1"/>
        <v>-5114</v>
      </c>
      <c r="AN7" s="187">
        <f t="shared" si="1"/>
        <v>0</v>
      </c>
      <c r="AO7" s="187">
        <f t="shared" si="1"/>
        <v>0</v>
      </c>
      <c r="AP7" s="187">
        <f t="shared" si="1"/>
        <v>-5057</v>
      </c>
      <c r="AQ7" s="187">
        <f t="shared" si="1"/>
        <v>0</v>
      </c>
      <c r="AR7" s="187">
        <f t="shared" si="1"/>
        <v>0</v>
      </c>
      <c r="AS7" s="188">
        <f t="shared" si="1"/>
        <v>0</v>
      </c>
      <c r="AT7" s="187">
        <f t="shared" si="1"/>
        <v>0</v>
      </c>
      <c r="AU7" s="187">
        <f t="shared" si="1"/>
        <v>0</v>
      </c>
      <c r="AV7" s="187">
        <f t="shared" si="1"/>
        <v>0</v>
      </c>
      <c r="AW7" s="187">
        <f t="shared" si="1"/>
        <v>0</v>
      </c>
      <c r="AX7" s="187">
        <f t="shared" si="1"/>
        <v>0</v>
      </c>
      <c r="AY7" s="187">
        <f t="shared" si="1"/>
        <v>0</v>
      </c>
      <c r="AZ7" s="187">
        <f t="shared" si="1"/>
        <v>0</v>
      </c>
      <c r="BA7" s="187">
        <f t="shared" si="1"/>
        <v>0</v>
      </c>
      <c r="BB7" s="187">
        <f t="shared" si="1"/>
        <v>0</v>
      </c>
      <c r="BC7" s="187">
        <f t="shared" si="1"/>
        <v>0</v>
      </c>
      <c r="BD7" s="187">
        <f t="shared" si="1"/>
        <v>0</v>
      </c>
      <c r="BE7" s="187">
        <f t="shared" si="1"/>
        <v>0</v>
      </c>
      <c r="BF7" s="186">
        <f t="shared" si="1"/>
        <v>0</v>
      </c>
      <c r="BG7" s="187">
        <f t="shared" si="1"/>
        <v>0</v>
      </c>
      <c r="BH7" s="187">
        <f t="shared" si="1"/>
        <v>0</v>
      </c>
      <c r="BI7" s="187">
        <f t="shared" si="1"/>
        <v>0</v>
      </c>
      <c r="BJ7" s="187">
        <f t="shared" si="1"/>
        <v>0</v>
      </c>
      <c r="BK7" s="187">
        <f t="shared" si="1"/>
        <v>0</v>
      </c>
      <c r="BL7" s="187">
        <f t="shared" si="1"/>
        <v>0</v>
      </c>
      <c r="BM7" s="187">
        <f t="shared" si="1"/>
        <v>0</v>
      </c>
      <c r="BN7" s="187">
        <f t="shared" si="1"/>
        <v>0</v>
      </c>
      <c r="BO7" s="187">
        <f t="shared" si="1"/>
        <v>0</v>
      </c>
      <c r="BP7" s="187">
        <f t="shared" si="1"/>
        <v>0</v>
      </c>
      <c r="BQ7" s="188">
        <f t="shared" si="1"/>
        <v>0</v>
      </c>
      <c r="BR7" s="187">
        <f t="shared" si="1"/>
        <v>0</v>
      </c>
      <c r="BS7" s="187">
        <f t="shared" si="1"/>
        <v>0</v>
      </c>
      <c r="BT7" s="187">
        <f t="shared" si="1"/>
        <v>0</v>
      </c>
      <c r="BU7" s="187">
        <f t="shared" si="1"/>
        <v>0</v>
      </c>
      <c r="BV7" s="187">
        <f t="shared" si="1"/>
        <v>0</v>
      </c>
      <c r="BW7" s="187">
        <f t="shared" si="1"/>
        <v>0</v>
      </c>
      <c r="BX7" s="187">
        <f t="shared" si="1"/>
        <v>0</v>
      </c>
      <c r="BY7" s="187">
        <f t="shared" si="1"/>
        <v>0</v>
      </c>
      <c r="BZ7" s="187">
        <f t="shared" si="1"/>
        <v>0</v>
      </c>
      <c r="CA7" s="187">
        <f t="shared" si="1"/>
        <v>0</v>
      </c>
      <c r="CB7" s="187">
        <f t="shared" si="1"/>
        <v>0</v>
      </c>
      <c r="CC7" s="188">
        <f t="shared" si="1"/>
        <v>0</v>
      </c>
      <c r="CD7" s="24"/>
    </row>
    <row r="8" spans="1:82" ht="15.75" customHeight="1">
      <c r="A8" s="40"/>
      <c r="B8" s="10"/>
      <c r="C8" s="130"/>
      <c r="D8" s="130"/>
      <c r="E8" s="130"/>
      <c r="F8" s="130"/>
      <c r="G8" s="130"/>
      <c r="H8" s="130"/>
      <c r="I8" s="130"/>
      <c r="J8" s="129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1"/>
      <c r="V8" s="130"/>
      <c r="AH8" s="40"/>
      <c r="AS8" s="10"/>
      <c r="BF8" s="40"/>
      <c r="BQ8" s="10"/>
      <c r="CC8" s="10"/>
    </row>
    <row r="9" spans="1:82" ht="15.75" customHeight="1">
      <c r="A9" s="40" t="s">
        <v>432</v>
      </c>
      <c r="B9" s="81">
        <v>100000</v>
      </c>
      <c r="C9" s="130"/>
      <c r="D9" s="130"/>
      <c r="E9" s="130"/>
      <c r="F9" s="130"/>
      <c r="G9" s="130"/>
      <c r="H9" s="130"/>
      <c r="I9" s="130"/>
      <c r="J9" s="129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1"/>
      <c r="V9" s="129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1"/>
      <c r="AH9" s="129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1"/>
      <c r="BF9" s="40"/>
      <c r="BQ9" s="10"/>
      <c r="CC9" s="10"/>
    </row>
    <row r="10" spans="1:82" ht="15.75" customHeight="1">
      <c r="A10" s="40" t="s">
        <v>433</v>
      </c>
      <c r="B10" s="81"/>
      <c r="C10" s="130">
        <v>-5000</v>
      </c>
      <c r="E10" s="130"/>
      <c r="F10" s="130">
        <v>-5000</v>
      </c>
      <c r="I10" s="130">
        <v>-5000</v>
      </c>
      <c r="K10" s="130"/>
      <c r="L10" s="130">
        <v>-5000</v>
      </c>
      <c r="M10" s="130"/>
      <c r="N10" s="130"/>
      <c r="O10" s="130">
        <v>-5000</v>
      </c>
      <c r="Q10" s="130"/>
      <c r="R10" s="130">
        <v>-5000</v>
      </c>
      <c r="T10" s="130"/>
      <c r="U10" s="130">
        <v>-5000</v>
      </c>
      <c r="V10" s="129"/>
      <c r="W10" s="130"/>
      <c r="X10" s="130">
        <v>-5000</v>
      </c>
      <c r="Z10" s="130"/>
      <c r="AA10" s="130">
        <v>-5000</v>
      </c>
      <c r="AB10" s="130"/>
      <c r="AC10" s="130"/>
      <c r="AD10" s="130">
        <v>-5000</v>
      </c>
      <c r="AE10" s="130"/>
      <c r="AF10" s="130"/>
      <c r="AG10" s="130">
        <v>-5000</v>
      </c>
      <c r="AH10" s="129"/>
      <c r="AI10" s="130"/>
      <c r="AJ10" s="130">
        <v>-5000</v>
      </c>
      <c r="AL10" s="130"/>
      <c r="AM10" s="130">
        <v>-5000</v>
      </c>
      <c r="AO10" s="130"/>
      <c r="AP10" s="130">
        <v>-5000</v>
      </c>
      <c r="AQ10" s="130"/>
      <c r="AR10" s="130"/>
      <c r="AS10" s="131"/>
      <c r="BF10" s="40"/>
      <c r="BQ10" s="10"/>
      <c r="CC10" s="10"/>
    </row>
    <row r="11" spans="1:82" ht="15.75" customHeight="1">
      <c r="A11" s="40" t="s">
        <v>434</v>
      </c>
      <c r="B11" s="607">
        <v>4.58E-2</v>
      </c>
      <c r="C11" s="130">
        <v>-801</v>
      </c>
      <c r="D11" s="130"/>
      <c r="E11" s="130"/>
      <c r="F11" s="130">
        <v>-745</v>
      </c>
      <c r="G11" s="130"/>
      <c r="H11" s="130"/>
      <c r="I11" s="130">
        <v>-687</v>
      </c>
      <c r="J11" s="129"/>
      <c r="K11" s="130"/>
      <c r="L11" s="130">
        <v>-630</v>
      </c>
      <c r="M11" s="130"/>
      <c r="N11" s="130"/>
      <c r="O11" s="130">
        <v>-572</v>
      </c>
      <c r="P11" s="130"/>
      <c r="Q11" s="130"/>
      <c r="R11" s="130">
        <v>-515</v>
      </c>
      <c r="S11" s="130"/>
      <c r="T11" s="130"/>
      <c r="U11" s="131">
        <v>-458</v>
      </c>
      <c r="V11" s="129"/>
      <c r="W11" s="130"/>
      <c r="X11" s="130">
        <v>-400</v>
      </c>
      <c r="Y11" s="130"/>
      <c r="Z11" s="130"/>
      <c r="AA11" s="130">
        <v>-343</v>
      </c>
      <c r="AB11" s="130"/>
      <c r="AC11" s="130"/>
      <c r="AD11" s="130">
        <v>-286</v>
      </c>
      <c r="AE11" s="130"/>
      <c r="AF11" s="130"/>
      <c r="AG11" s="131">
        <v>-229</v>
      </c>
      <c r="AH11" s="129"/>
      <c r="AI11" s="130"/>
      <c r="AJ11" s="130">
        <v>-171</v>
      </c>
      <c r="AK11" s="130"/>
      <c r="AL11" s="130"/>
      <c r="AM11" s="130">
        <v>-114</v>
      </c>
      <c r="AN11" s="130"/>
      <c r="AO11" s="130"/>
      <c r="AP11" s="130">
        <v>-57</v>
      </c>
      <c r="AQ11" s="130"/>
      <c r="AR11" s="130"/>
      <c r="AS11" s="131"/>
      <c r="BF11" s="40"/>
      <c r="BQ11" s="10"/>
      <c r="CC11" s="10"/>
    </row>
    <row r="12" spans="1:82" ht="15.75" customHeight="1">
      <c r="A12" s="43"/>
      <c r="B12" s="121"/>
      <c r="C12" s="337"/>
      <c r="D12" s="337"/>
      <c r="E12" s="337"/>
      <c r="F12" s="337"/>
      <c r="G12" s="337"/>
      <c r="H12" s="337"/>
      <c r="I12" s="337"/>
      <c r="J12" s="336"/>
      <c r="K12" s="337"/>
      <c r="L12" s="337"/>
      <c r="M12" s="337"/>
      <c r="N12" s="337"/>
      <c r="O12" s="120"/>
      <c r="P12" s="120"/>
      <c r="Q12" s="120"/>
      <c r="R12" s="120"/>
      <c r="S12" s="120"/>
      <c r="T12" s="120"/>
      <c r="U12" s="121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43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1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43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1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/>
      <c r="CB12" s="120"/>
      <c r="CC12" s="121"/>
    </row>
    <row r="13" spans="1:82" ht="15">
      <c r="A13" s="606" t="s">
        <v>435</v>
      </c>
      <c r="B13" s="608"/>
      <c r="C13" s="186">
        <f t="shared" ref="C13:CC13" si="2">SUM(C16:C17)</f>
        <v>-1177.5</v>
      </c>
      <c r="D13" s="187">
        <f t="shared" si="2"/>
        <v>0</v>
      </c>
      <c r="E13" s="187">
        <f t="shared" si="2"/>
        <v>0</v>
      </c>
      <c r="F13" s="187">
        <f t="shared" si="2"/>
        <v>-1177.5</v>
      </c>
      <c r="G13" s="187">
        <f t="shared" si="2"/>
        <v>0</v>
      </c>
      <c r="H13" s="187">
        <f t="shared" si="2"/>
        <v>0</v>
      </c>
      <c r="I13" s="188">
        <f t="shared" si="2"/>
        <v>-6177.5</v>
      </c>
      <c r="J13" s="186">
        <f t="shared" si="2"/>
        <v>0</v>
      </c>
      <c r="K13" s="187">
        <f t="shared" si="2"/>
        <v>0</v>
      </c>
      <c r="L13" s="187">
        <f t="shared" si="2"/>
        <v>-6118</v>
      </c>
      <c r="M13" s="187">
        <f t="shared" si="2"/>
        <v>0</v>
      </c>
      <c r="N13" s="187">
        <f t="shared" si="2"/>
        <v>0</v>
      </c>
      <c r="O13" s="187">
        <f t="shared" si="2"/>
        <v>-6059</v>
      </c>
      <c r="P13" s="187">
        <f t="shared" si="2"/>
        <v>0</v>
      </c>
      <c r="Q13" s="187">
        <f t="shared" si="2"/>
        <v>0</v>
      </c>
      <c r="R13" s="187">
        <f t="shared" si="2"/>
        <v>-6000</v>
      </c>
      <c r="S13" s="187">
        <f t="shared" si="2"/>
        <v>0</v>
      </c>
      <c r="T13" s="187">
        <f t="shared" si="2"/>
        <v>0</v>
      </c>
      <c r="U13" s="188">
        <f t="shared" si="2"/>
        <v>-5942</v>
      </c>
      <c r="V13" s="187">
        <f t="shared" si="2"/>
        <v>0</v>
      </c>
      <c r="W13" s="187">
        <f t="shared" si="2"/>
        <v>0</v>
      </c>
      <c r="X13" s="187">
        <f t="shared" si="2"/>
        <v>-5883</v>
      </c>
      <c r="Y13" s="187">
        <f t="shared" si="2"/>
        <v>0</v>
      </c>
      <c r="Z13" s="187">
        <f t="shared" si="2"/>
        <v>0</v>
      </c>
      <c r="AA13" s="187">
        <f t="shared" si="2"/>
        <v>-5824</v>
      </c>
      <c r="AB13" s="187">
        <f t="shared" si="2"/>
        <v>0</v>
      </c>
      <c r="AC13" s="187">
        <f t="shared" si="2"/>
        <v>0</v>
      </c>
      <c r="AD13" s="187">
        <f t="shared" si="2"/>
        <v>-5765</v>
      </c>
      <c r="AE13" s="187">
        <f t="shared" si="2"/>
        <v>0</v>
      </c>
      <c r="AF13" s="187">
        <f t="shared" si="2"/>
        <v>0</v>
      </c>
      <c r="AG13" s="187">
        <f t="shared" si="2"/>
        <v>-5706</v>
      </c>
      <c r="AH13" s="186">
        <f t="shared" si="2"/>
        <v>0</v>
      </c>
      <c r="AI13" s="187">
        <f t="shared" si="2"/>
        <v>0</v>
      </c>
      <c r="AJ13" s="187">
        <f t="shared" si="2"/>
        <v>-5647</v>
      </c>
      <c r="AK13" s="187">
        <f t="shared" si="2"/>
        <v>0</v>
      </c>
      <c r="AL13" s="187">
        <f t="shared" si="2"/>
        <v>0</v>
      </c>
      <c r="AM13" s="187">
        <f t="shared" si="2"/>
        <v>-5588</v>
      </c>
      <c r="AN13" s="187">
        <f t="shared" si="2"/>
        <v>0</v>
      </c>
      <c r="AO13" s="187">
        <f t="shared" si="2"/>
        <v>0</v>
      </c>
      <c r="AP13" s="187">
        <f t="shared" si="2"/>
        <v>-5529</v>
      </c>
      <c r="AQ13" s="187">
        <f t="shared" si="2"/>
        <v>0</v>
      </c>
      <c r="AR13" s="187">
        <f t="shared" si="2"/>
        <v>0</v>
      </c>
      <c r="AS13" s="188">
        <f t="shared" si="2"/>
        <v>-5471</v>
      </c>
      <c r="AT13" s="187">
        <f t="shared" si="2"/>
        <v>0</v>
      </c>
      <c r="AU13" s="187">
        <f t="shared" si="2"/>
        <v>0</v>
      </c>
      <c r="AV13" s="187">
        <f t="shared" si="2"/>
        <v>-5412</v>
      </c>
      <c r="AW13" s="187">
        <f t="shared" si="2"/>
        <v>0</v>
      </c>
      <c r="AX13" s="187">
        <f t="shared" si="2"/>
        <v>0</v>
      </c>
      <c r="AY13" s="187">
        <f t="shared" si="2"/>
        <v>-5353</v>
      </c>
      <c r="AZ13" s="187">
        <f t="shared" si="2"/>
        <v>0</v>
      </c>
      <c r="BA13" s="187">
        <f t="shared" si="2"/>
        <v>0</v>
      </c>
      <c r="BB13" s="187">
        <f t="shared" si="2"/>
        <v>-5294</v>
      </c>
      <c r="BC13" s="187">
        <f t="shared" si="2"/>
        <v>0</v>
      </c>
      <c r="BD13" s="187">
        <f t="shared" si="2"/>
        <v>0</v>
      </c>
      <c r="BE13" s="187">
        <f t="shared" si="2"/>
        <v>-5235</v>
      </c>
      <c r="BF13" s="186">
        <f t="shared" si="2"/>
        <v>0</v>
      </c>
      <c r="BG13" s="187">
        <f t="shared" si="2"/>
        <v>0</v>
      </c>
      <c r="BH13" s="187">
        <f t="shared" si="2"/>
        <v>-5176</v>
      </c>
      <c r="BI13" s="187">
        <f t="shared" si="2"/>
        <v>0</v>
      </c>
      <c r="BJ13" s="187">
        <f t="shared" si="2"/>
        <v>0</v>
      </c>
      <c r="BK13" s="187">
        <f t="shared" si="2"/>
        <v>-5177.5</v>
      </c>
      <c r="BL13" s="187">
        <f t="shared" si="2"/>
        <v>0</v>
      </c>
      <c r="BM13" s="187">
        <f t="shared" si="2"/>
        <v>0</v>
      </c>
      <c r="BN13" s="187">
        <f t="shared" si="2"/>
        <v>-5058</v>
      </c>
      <c r="BO13" s="187">
        <f t="shared" si="2"/>
        <v>0</v>
      </c>
      <c r="BP13" s="187">
        <f t="shared" si="2"/>
        <v>0</v>
      </c>
      <c r="BQ13" s="188">
        <f t="shared" si="2"/>
        <v>0</v>
      </c>
      <c r="BR13" s="187">
        <f t="shared" si="2"/>
        <v>0</v>
      </c>
      <c r="BS13" s="187">
        <f t="shared" si="2"/>
        <v>0</v>
      </c>
      <c r="BT13" s="187">
        <f t="shared" si="2"/>
        <v>0</v>
      </c>
      <c r="BU13" s="187">
        <f t="shared" si="2"/>
        <v>0</v>
      </c>
      <c r="BV13" s="187">
        <f t="shared" si="2"/>
        <v>0</v>
      </c>
      <c r="BW13" s="187">
        <f t="shared" si="2"/>
        <v>0</v>
      </c>
      <c r="BX13" s="187">
        <f t="shared" si="2"/>
        <v>0</v>
      </c>
      <c r="BY13" s="187">
        <f t="shared" si="2"/>
        <v>0</v>
      </c>
      <c r="BZ13" s="187">
        <f t="shared" si="2"/>
        <v>0</v>
      </c>
      <c r="CA13" s="187">
        <f t="shared" si="2"/>
        <v>0</v>
      </c>
      <c r="CB13" s="187">
        <f t="shared" si="2"/>
        <v>0</v>
      </c>
      <c r="CC13" s="188">
        <f t="shared" si="2"/>
        <v>0</v>
      </c>
      <c r="CD13" s="24"/>
    </row>
    <row r="14" spans="1:82" ht="15.75" customHeight="1">
      <c r="A14" s="40"/>
      <c r="B14" s="609"/>
      <c r="C14" s="183"/>
      <c r="D14" s="184"/>
      <c r="E14" s="184"/>
      <c r="F14" s="184"/>
      <c r="G14" s="184"/>
      <c r="H14" s="184"/>
      <c r="I14" s="185"/>
      <c r="J14" s="183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5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3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5"/>
      <c r="AT14" s="184"/>
      <c r="AU14" s="184"/>
      <c r="AV14" s="184"/>
      <c r="AW14" s="184"/>
      <c r="AX14" s="184"/>
      <c r="AY14" s="184"/>
      <c r="AZ14" s="184"/>
      <c r="BA14" s="184"/>
      <c r="BB14" s="184"/>
      <c r="BC14" s="184"/>
      <c r="BD14" s="184"/>
      <c r="BE14" s="184"/>
      <c r="BF14" s="183"/>
      <c r="BG14" s="184"/>
      <c r="BH14" s="184"/>
      <c r="BI14" s="184"/>
      <c r="BJ14" s="184"/>
      <c r="BK14" s="184"/>
      <c r="BL14" s="184"/>
      <c r="BM14" s="184"/>
      <c r="BN14" s="184"/>
      <c r="BO14" s="184"/>
      <c r="BP14" s="184"/>
      <c r="BQ14" s="185"/>
      <c r="BR14" s="184"/>
      <c r="BS14" s="184"/>
      <c r="BT14" s="184"/>
      <c r="BU14" s="184"/>
      <c r="BV14" s="184"/>
      <c r="BW14" s="184"/>
      <c r="BX14" s="184"/>
      <c r="BY14" s="184"/>
      <c r="BZ14" s="184"/>
      <c r="CA14" s="184"/>
      <c r="CB14" s="184"/>
      <c r="CC14" s="185"/>
      <c r="CD14" s="24"/>
    </row>
    <row r="15" spans="1:82" ht="15.75" customHeight="1">
      <c r="A15" s="40" t="s">
        <v>432</v>
      </c>
      <c r="B15" s="81">
        <v>100000</v>
      </c>
      <c r="C15" s="183"/>
      <c r="D15" s="184"/>
      <c r="E15" s="184"/>
      <c r="F15" s="184"/>
      <c r="G15" s="184"/>
      <c r="H15" s="184"/>
      <c r="I15" s="185"/>
      <c r="J15" s="183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5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3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5"/>
      <c r="AT15" s="184"/>
      <c r="AU15" s="184"/>
      <c r="AV15" s="184"/>
      <c r="AW15" s="184"/>
      <c r="AX15" s="184"/>
      <c r="AY15" s="184"/>
      <c r="AZ15" s="184"/>
      <c r="BA15" s="184"/>
      <c r="BB15" s="184"/>
      <c r="BC15" s="184"/>
      <c r="BD15" s="184"/>
      <c r="BE15" s="184"/>
      <c r="BF15" s="183"/>
      <c r="BG15" s="184"/>
      <c r="BH15" s="184"/>
      <c r="BI15" s="184"/>
      <c r="BJ15" s="184"/>
      <c r="BK15" s="184"/>
      <c r="BL15" s="184"/>
      <c r="BM15" s="184"/>
      <c r="BN15" s="184"/>
      <c r="BO15" s="184"/>
      <c r="BP15" s="184"/>
      <c r="BQ15" s="185"/>
      <c r="BR15" s="184"/>
      <c r="BS15" s="184"/>
      <c r="BT15" s="184"/>
      <c r="BU15" s="184"/>
      <c r="BV15" s="184"/>
      <c r="BW15" s="184"/>
      <c r="BX15" s="184"/>
      <c r="BY15" s="184"/>
      <c r="BZ15" s="184"/>
      <c r="CA15" s="184"/>
      <c r="CB15" s="184"/>
      <c r="CC15" s="185"/>
      <c r="CD15" s="24"/>
    </row>
    <row r="16" spans="1:82" ht="15.75" customHeight="1">
      <c r="A16" s="40" t="s">
        <v>433</v>
      </c>
      <c r="B16" s="81"/>
      <c r="C16" s="183"/>
      <c r="D16" s="184"/>
      <c r="E16" s="184"/>
      <c r="F16" s="184"/>
      <c r="G16" s="184"/>
      <c r="H16" s="184"/>
      <c r="I16" s="131">
        <v>-5000</v>
      </c>
      <c r="J16" s="183"/>
      <c r="K16" s="184"/>
      <c r="L16" s="130">
        <v>-5000</v>
      </c>
      <c r="M16" s="184"/>
      <c r="N16" s="184"/>
      <c r="O16" s="130">
        <v>-5000</v>
      </c>
      <c r="P16" s="184"/>
      <c r="Q16" s="184"/>
      <c r="R16" s="130">
        <v>-5000</v>
      </c>
      <c r="S16" s="184"/>
      <c r="T16" s="184"/>
      <c r="U16" s="130">
        <v>-5000</v>
      </c>
      <c r="V16" s="184"/>
      <c r="W16" s="184"/>
      <c r="X16" s="130">
        <v>-5000</v>
      </c>
      <c r="Y16" s="184"/>
      <c r="Z16" s="184"/>
      <c r="AA16" s="130">
        <v>-5000</v>
      </c>
      <c r="AB16" s="184"/>
      <c r="AC16" s="184"/>
      <c r="AD16" s="130">
        <v>-5000</v>
      </c>
      <c r="AE16" s="184"/>
      <c r="AF16" s="184"/>
      <c r="AG16" s="130">
        <v>-5000</v>
      </c>
      <c r="AH16" s="183"/>
      <c r="AI16" s="184"/>
      <c r="AJ16" s="130">
        <v>-5000</v>
      </c>
      <c r="AK16" s="184"/>
      <c r="AL16" s="184"/>
      <c r="AM16" s="130">
        <v>-5000</v>
      </c>
      <c r="AN16" s="184"/>
      <c r="AO16" s="184"/>
      <c r="AP16" s="130">
        <v>-5000</v>
      </c>
      <c r="AQ16" s="184"/>
      <c r="AR16" s="184"/>
      <c r="AS16" s="130">
        <v>-5000</v>
      </c>
      <c r="AT16" s="184"/>
      <c r="AU16" s="184"/>
      <c r="AV16" s="130">
        <v>-5000</v>
      </c>
      <c r="AW16" s="184"/>
      <c r="AX16" s="184"/>
      <c r="AY16" s="130">
        <v>-5000</v>
      </c>
      <c r="AZ16" s="184"/>
      <c r="BA16" s="184"/>
      <c r="BB16" s="130">
        <v>-5000</v>
      </c>
      <c r="BC16" s="184"/>
      <c r="BD16" s="184"/>
      <c r="BE16" s="130">
        <v>-5000</v>
      </c>
      <c r="BF16" s="183"/>
      <c r="BG16" s="184"/>
      <c r="BH16" s="130">
        <v>-5000</v>
      </c>
      <c r="BI16" s="184"/>
      <c r="BJ16" s="184"/>
      <c r="BK16" s="130">
        <v>-5000</v>
      </c>
      <c r="BL16" s="184"/>
      <c r="BM16" s="184"/>
      <c r="BN16" s="130">
        <v>-5000</v>
      </c>
      <c r="BO16" s="184"/>
      <c r="BP16" s="184"/>
      <c r="BQ16" s="185"/>
      <c r="BR16" s="184"/>
      <c r="BS16" s="184"/>
      <c r="BT16" s="184"/>
      <c r="BU16" s="184"/>
      <c r="BV16" s="184"/>
      <c r="BW16" s="184"/>
      <c r="BX16" s="184"/>
      <c r="BY16" s="184"/>
      <c r="BZ16" s="184"/>
      <c r="CA16" s="184"/>
      <c r="CB16" s="184"/>
      <c r="CC16" s="185"/>
      <c r="CD16" s="24"/>
    </row>
    <row r="17" spans="1:82" ht="15.75" customHeight="1">
      <c r="A17" s="40" t="s">
        <v>434</v>
      </c>
      <c r="B17" s="610">
        <v>4.7100000000000003E-2</v>
      </c>
      <c r="C17" s="129">
        <v>-1177.5</v>
      </c>
      <c r="D17" s="184"/>
      <c r="E17" s="184"/>
      <c r="F17" s="130">
        <v>-1177.5</v>
      </c>
      <c r="G17" s="184"/>
      <c r="H17" s="184"/>
      <c r="I17" s="131">
        <v>-1177.5</v>
      </c>
      <c r="J17" s="183"/>
      <c r="K17" s="184"/>
      <c r="L17" s="130">
        <v>-1118</v>
      </c>
      <c r="M17" s="184"/>
      <c r="N17" s="184"/>
      <c r="O17" s="130">
        <v>-1059</v>
      </c>
      <c r="P17" s="184"/>
      <c r="Q17" s="184"/>
      <c r="R17" s="130">
        <v>-1000</v>
      </c>
      <c r="S17" s="184"/>
      <c r="T17" s="184"/>
      <c r="U17" s="130">
        <v>-942</v>
      </c>
      <c r="V17" s="184"/>
      <c r="W17" s="184"/>
      <c r="X17" s="130">
        <v>-883</v>
      </c>
      <c r="Y17" s="184"/>
      <c r="Z17" s="184"/>
      <c r="AA17" s="130">
        <v>-824</v>
      </c>
      <c r="AB17" s="184"/>
      <c r="AC17" s="184"/>
      <c r="AD17" s="130">
        <v>-765</v>
      </c>
      <c r="AE17" s="184"/>
      <c r="AF17" s="184"/>
      <c r="AG17" s="130">
        <v>-706</v>
      </c>
      <c r="AH17" s="183"/>
      <c r="AI17" s="184"/>
      <c r="AJ17" s="130">
        <v>-647</v>
      </c>
      <c r="AK17" s="184"/>
      <c r="AL17" s="184"/>
      <c r="AM17" s="130">
        <v>-588</v>
      </c>
      <c r="AN17" s="184"/>
      <c r="AO17" s="184"/>
      <c r="AP17" s="130">
        <v>-529</v>
      </c>
      <c r="AQ17" s="184"/>
      <c r="AR17" s="184"/>
      <c r="AS17" s="130">
        <v>-471</v>
      </c>
      <c r="AT17" s="184"/>
      <c r="AU17" s="184"/>
      <c r="AV17" s="130">
        <v>-412</v>
      </c>
      <c r="AW17" s="184"/>
      <c r="AX17" s="184"/>
      <c r="AY17" s="130">
        <v>-353</v>
      </c>
      <c r="AZ17" s="184"/>
      <c r="BA17" s="184"/>
      <c r="BB17" s="130">
        <v>-294</v>
      </c>
      <c r="BC17" s="184"/>
      <c r="BD17" s="184"/>
      <c r="BE17" s="130">
        <v>-235</v>
      </c>
      <c r="BF17" s="183"/>
      <c r="BG17" s="184"/>
      <c r="BH17" s="130">
        <v>-176</v>
      </c>
      <c r="BI17" s="184"/>
      <c r="BJ17" s="184"/>
      <c r="BK17" s="130">
        <v>-177.5</v>
      </c>
      <c r="BL17" s="184"/>
      <c r="BM17" s="184"/>
      <c r="BN17" s="130">
        <v>-58</v>
      </c>
      <c r="BO17" s="184"/>
      <c r="BP17" s="184"/>
      <c r="BQ17" s="185"/>
      <c r="BR17" s="184"/>
      <c r="BS17" s="184"/>
      <c r="BT17" s="184"/>
      <c r="BU17" s="184"/>
      <c r="BV17" s="184"/>
      <c r="BW17" s="184"/>
      <c r="BX17" s="184"/>
      <c r="BY17" s="184"/>
      <c r="BZ17" s="184"/>
      <c r="CA17" s="184"/>
      <c r="CB17" s="184"/>
      <c r="CC17" s="185"/>
      <c r="CD17" s="24"/>
    </row>
    <row r="18" spans="1:82" ht="15">
      <c r="A18" s="611"/>
      <c r="B18" s="612"/>
      <c r="C18" s="613"/>
      <c r="D18" s="614"/>
      <c r="E18" s="614"/>
      <c r="F18" s="614"/>
      <c r="G18" s="614"/>
      <c r="H18" s="614"/>
      <c r="I18" s="615"/>
      <c r="J18" s="613"/>
      <c r="K18" s="614"/>
      <c r="L18" s="614"/>
      <c r="M18" s="614"/>
      <c r="N18" s="614"/>
      <c r="O18" s="614"/>
      <c r="P18" s="614"/>
      <c r="Q18" s="614"/>
      <c r="R18" s="614"/>
      <c r="S18" s="614"/>
      <c r="T18" s="614"/>
      <c r="U18" s="615"/>
      <c r="V18" s="614"/>
      <c r="W18" s="614"/>
      <c r="X18" s="614"/>
      <c r="Y18" s="614"/>
      <c r="Z18" s="614"/>
      <c r="AA18" s="614"/>
      <c r="AB18" s="614"/>
      <c r="AC18" s="614"/>
      <c r="AD18" s="614"/>
      <c r="AE18" s="614"/>
      <c r="AF18" s="614"/>
      <c r="AG18" s="614"/>
      <c r="AH18" s="613"/>
      <c r="AI18" s="614"/>
      <c r="AJ18" s="614"/>
      <c r="AK18" s="614"/>
      <c r="AL18" s="614"/>
      <c r="AM18" s="614"/>
      <c r="AN18" s="614"/>
      <c r="AO18" s="614"/>
      <c r="AP18" s="614"/>
      <c r="AQ18" s="614"/>
      <c r="AR18" s="614"/>
      <c r="AS18" s="615"/>
      <c r="AT18" s="614"/>
      <c r="AU18" s="614"/>
      <c r="AV18" s="614"/>
      <c r="AW18" s="614"/>
      <c r="AX18" s="614"/>
      <c r="AY18" s="614"/>
      <c r="AZ18" s="614"/>
      <c r="BA18" s="614"/>
      <c r="BB18" s="614"/>
      <c r="BC18" s="614"/>
      <c r="BD18" s="614"/>
      <c r="BE18" s="614"/>
      <c r="BF18" s="613"/>
      <c r="BG18" s="614"/>
      <c r="BH18" s="614"/>
      <c r="BI18" s="614"/>
      <c r="BJ18" s="614"/>
      <c r="BK18" s="614"/>
      <c r="BL18" s="614"/>
      <c r="BM18" s="614"/>
      <c r="BN18" s="614"/>
      <c r="BO18" s="614"/>
      <c r="BP18" s="614"/>
      <c r="BQ18" s="615"/>
      <c r="BR18" s="614"/>
      <c r="BS18" s="614"/>
      <c r="BT18" s="614"/>
      <c r="BU18" s="614"/>
      <c r="BV18" s="614"/>
      <c r="BW18" s="614"/>
      <c r="BX18" s="614"/>
      <c r="BY18" s="614"/>
      <c r="BZ18" s="614"/>
      <c r="CA18" s="614"/>
      <c r="CB18" s="614"/>
      <c r="CC18" s="615"/>
      <c r="CD18" s="24"/>
    </row>
    <row r="19" spans="1:82" ht="15">
      <c r="A19" s="616" t="s">
        <v>436</v>
      </c>
      <c r="B19" s="609"/>
      <c r="C19" s="184">
        <f t="shared" ref="C19:CC19" si="3">SUM(C20:C23)</f>
        <v>0</v>
      </c>
      <c r="D19" s="184">
        <f t="shared" si="3"/>
        <v>0</v>
      </c>
      <c r="E19" s="184">
        <f t="shared" si="3"/>
        <v>0</v>
      </c>
      <c r="F19" s="184">
        <f t="shared" si="3"/>
        <v>0</v>
      </c>
      <c r="G19" s="184">
        <f t="shared" si="3"/>
        <v>0</v>
      </c>
      <c r="H19" s="184">
        <f t="shared" si="3"/>
        <v>0</v>
      </c>
      <c r="I19" s="184">
        <f t="shared" si="3"/>
        <v>0</v>
      </c>
      <c r="J19" s="183">
        <f t="shared" si="3"/>
        <v>0</v>
      </c>
      <c r="K19" s="184">
        <f t="shared" si="3"/>
        <v>0</v>
      </c>
      <c r="L19" s="184">
        <f t="shared" si="3"/>
        <v>300000</v>
      </c>
      <c r="M19" s="184">
        <f t="shared" si="3"/>
        <v>-1250</v>
      </c>
      <c r="N19" s="184">
        <f t="shared" si="3"/>
        <v>-1250</v>
      </c>
      <c r="O19" s="184">
        <f t="shared" si="3"/>
        <v>-1250</v>
      </c>
      <c r="P19" s="184">
        <f t="shared" si="3"/>
        <v>-1250</v>
      </c>
      <c r="Q19" s="184">
        <f t="shared" si="3"/>
        <v>-1250</v>
      </c>
      <c r="R19" s="184">
        <f t="shared" si="3"/>
        <v>-1250</v>
      </c>
      <c r="S19" s="184">
        <f t="shared" si="3"/>
        <v>-1250</v>
      </c>
      <c r="T19" s="184">
        <f t="shared" si="3"/>
        <v>-1250</v>
      </c>
      <c r="U19" s="185">
        <f t="shared" si="3"/>
        <v>-1250</v>
      </c>
      <c r="V19" s="184">
        <f t="shared" si="3"/>
        <v>-1250</v>
      </c>
      <c r="W19" s="184">
        <f t="shared" si="3"/>
        <v>-1250</v>
      </c>
      <c r="X19" s="184">
        <f t="shared" si="3"/>
        <v>-1250</v>
      </c>
      <c r="Y19" s="184">
        <f t="shared" si="3"/>
        <v>-1250</v>
      </c>
      <c r="Z19" s="184">
        <f t="shared" si="3"/>
        <v>-1250</v>
      </c>
      <c r="AA19" s="184">
        <f t="shared" si="3"/>
        <v>-1250</v>
      </c>
      <c r="AB19" s="184">
        <f t="shared" si="3"/>
        <v>-1250</v>
      </c>
      <c r="AC19" s="184">
        <f t="shared" si="3"/>
        <v>-1250</v>
      </c>
      <c r="AD19" s="184">
        <f t="shared" si="3"/>
        <v>-1250</v>
      </c>
      <c r="AE19" s="184">
        <f t="shared" si="3"/>
        <v>-1250</v>
      </c>
      <c r="AF19" s="184">
        <f t="shared" si="3"/>
        <v>-1250</v>
      </c>
      <c r="AG19" s="184">
        <f t="shared" si="3"/>
        <v>-1250</v>
      </c>
      <c r="AH19" s="183">
        <f t="shared" si="3"/>
        <v>-1250</v>
      </c>
      <c r="AI19" s="184">
        <f t="shared" si="3"/>
        <v>-1250</v>
      </c>
      <c r="AJ19" s="184">
        <f t="shared" si="3"/>
        <v>-1250</v>
      </c>
      <c r="AK19" s="184">
        <f t="shared" si="3"/>
        <v>-1250</v>
      </c>
      <c r="AL19" s="184">
        <f t="shared" si="3"/>
        <v>-1250</v>
      </c>
      <c r="AM19" s="184">
        <f t="shared" si="3"/>
        <v>-1250</v>
      </c>
      <c r="AN19" s="184">
        <f t="shared" si="3"/>
        <v>-1250</v>
      </c>
      <c r="AO19" s="184">
        <f t="shared" si="3"/>
        <v>-1250</v>
      </c>
      <c r="AP19" s="184">
        <f t="shared" si="3"/>
        <v>-1250</v>
      </c>
      <c r="AQ19" s="184">
        <f t="shared" si="3"/>
        <v>-1250</v>
      </c>
      <c r="AR19" s="184">
        <f t="shared" si="3"/>
        <v>-1250</v>
      </c>
      <c r="AS19" s="185">
        <f t="shared" si="3"/>
        <v>-1250</v>
      </c>
      <c r="AT19" s="184">
        <f t="shared" si="3"/>
        <v>-1250</v>
      </c>
      <c r="AU19" s="184">
        <f t="shared" si="3"/>
        <v>-1250</v>
      </c>
      <c r="AV19" s="184">
        <f t="shared" si="3"/>
        <v>-1250</v>
      </c>
      <c r="AW19" s="184">
        <f t="shared" si="3"/>
        <v>-9548.6111111111113</v>
      </c>
      <c r="AX19" s="184">
        <f t="shared" si="3"/>
        <v>-9513.8888888888887</v>
      </c>
      <c r="AY19" s="184">
        <f t="shared" si="3"/>
        <v>-9479.1666666666679</v>
      </c>
      <c r="AZ19" s="184">
        <f t="shared" si="3"/>
        <v>-9444.4444444444453</v>
      </c>
      <c r="BA19" s="184">
        <f t="shared" si="3"/>
        <v>-9409.7222222222226</v>
      </c>
      <c r="BB19" s="184">
        <f t="shared" si="3"/>
        <v>-9375</v>
      </c>
      <c r="BC19" s="184">
        <f t="shared" si="3"/>
        <v>-9340.2777777777792</v>
      </c>
      <c r="BD19" s="184">
        <f t="shared" si="3"/>
        <v>-9305.5555555555566</v>
      </c>
      <c r="BE19" s="184">
        <f t="shared" si="3"/>
        <v>-9270.8333333333339</v>
      </c>
      <c r="BF19" s="183">
        <f t="shared" si="3"/>
        <v>-9236.1111111111113</v>
      </c>
      <c r="BG19" s="184">
        <f t="shared" si="3"/>
        <v>-9201.3888888888905</v>
      </c>
      <c r="BH19" s="184">
        <f t="shared" si="3"/>
        <v>-9166.6666666666679</v>
      </c>
      <c r="BI19" s="184">
        <f t="shared" si="3"/>
        <v>-9131.9444444444453</v>
      </c>
      <c r="BJ19" s="184">
        <f t="shared" si="3"/>
        <v>-9097.2222222222226</v>
      </c>
      <c r="BK19" s="184">
        <f t="shared" si="3"/>
        <v>-9062.5</v>
      </c>
      <c r="BL19" s="184">
        <f t="shared" si="3"/>
        <v>-9027.7777777777792</v>
      </c>
      <c r="BM19" s="184">
        <f t="shared" si="3"/>
        <v>-8993.0555555555566</v>
      </c>
      <c r="BN19" s="184">
        <f t="shared" si="3"/>
        <v>-8958.3333333333339</v>
      </c>
      <c r="BO19" s="184">
        <f t="shared" si="3"/>
        <v>-8923.6111111111113</v>
      </c>
      <c r="BP19" s="184">
        <f t="shared" si="3"/>
        <v>-8888.8888888888887</v>
      </c>
      <c r="BQ19" s="185">
        <f t="shared" si="3"/>
        <v>-8854.1666666666679</v>
      </c>
      <c r="BR19" s="184">
        <f t="shared" si="3"/>
        <v>-8819.4444444444453</v>
      </c>
      <c r="BS19" s="184">
        <f t="shared" si="3"/>
        <v>-8784.7222222222226</v>
      </c>
      <c r="BT19" s="184">
        <f t="shared" si="3"/>
        <v>-8750</v>
      </c>
      <c r="BU19" s="184">
        <f t="shared" si="3"/>
        <v>-8715.2777777777774</v>
      </c>
      <c r="BV19" s="184">
        <f t="shared" si="3"/>
        <v>-8680.5555555555566</v>
      </c>
      <c r="BW19" s="184">
        <f t="shared" si="3"/>
        <v>-8645.8333333333339</v>
      </c>
      <c r="BX19" s="184">
        <f t="shared" si="3"/>
        <v>-8611.1111111111113</v>
      </c>
      <c r="BY19" s="184">
        <f t="shared" si="3"/>
        <v>-8576.3888888888887</v>
      </c>
      <c r="BZ19" s="184">
        <f t="shared" si="3"/>
        <v>-8541.6666666666661</v>
      </c>
      <c r="CA19" s="184">
        <f t="shared" si="3"/>
        <v>-8506.9444444444453</v>
      </c>
      <c r="CB19" s="184">
        <f t="shared" si="3"/>
        <v>-8472.2222222222226</v>
      </c>
      <c r="CC19" s="185">
        <f t="shared" si="3"/>
        <v>-8437.5</v>
      </c>
      <c r="CD19" s="24"/>
    </row>
    <row r="20" spans="1:82" ht="15.75" customHeight="1">
      <c r="A20" s="11" t="s">
        <v>437</v>
      </c>
      <c r="B20" s="617">
        <v>46082</v>
      </c>
      <c r="C20" s="130">
        <f t="shared" ref="C20:CC20" si="4">IF(C5=$B$20,$B$21,0)</f>
        <v>0</v>
      </c>
      <c r="D20" s="130">
        <f t="shared" si="4"/>
        <v>0</v>
      </c>
      <c r="E20" s="130">
        <f t="shared" si="4"/>
        <v>0</v>
      </c>
      <c r="F20" s="130">
        <f t="shared" si="4"/>
        <v>0</v>
      </c>
      <c r="G20" s="130">
        <f t="shared" si="4"/>
        <v>0</v>
      </c>
      <c r="H20" s="130">
        <f t="shared" si="4"/>
        <v>0</v>
      </c>
      <c r="I20" s="130">
        <f t="shared" si="4"/>
        <v>0</v>
      </c>
      <c r="J20" s="129">
        <f t="shared" si="4"/>
        <v>0</v>
      </c>
      <c r="K20" s="130">
        <f t="shared" si="4"/>
        <v>0</v>
      </c>
      <c r="L20" s="130">
        <f t="shared" si="4"/>
        <v>300000</v>
      </c>
      <c r="M20" s="130">
        <f t="shared" si="4"/>
        <v>0</v>
      </c>
      <c r="N20" s="130">
        <f t="shared" si="4"/>
        <v>0</v>
      </c>
      <c r="O20" s="130">
        <f t="shared" si="4"/>
        <v>0</v>
      </c>
      <c r="P20" s="130">
        <f t="shared" si="4"/>
        <v>0</v>
      </c>
      <c r="Q20" s="130">
        <f t="shared" si="4"/>
        <v>0</v>
      </c>
      <c r="R20" s="130">
        <f t="shared" si="4"/>
        <v>0</v>
      </c>
      <c r="S20" s="130">
        <f t="shared" si="4"/>
        <v>0</v>
      </c>
      <c r="T20" s="130">
        <f t="shared" si="4"/>
        <v>0</v>
      </c>
      <c r="U20" s="131">
        <f t="shared" si="4"/>
        <v>0</v>
      </c>
      <c r="V20" s="130">
        <f t="shared" si="4"/>
        <v>0</v>
      </c>
      <c r="W20" s="130">
        <f t="shared" si="4"/>
        <v>0</v>
      </c>
      <c r="X20" s="130">
        <f t="shared" si="4"/>
        <v>0</v>
      </c>
      <c r="Y20" s="130">
        <f t="shared" si="4"/>
        <v>0</v>
      </c>
      <c r="Z20" s="130">
        <f t="shared" si="4"/>
        <v>0</v>
      </c>
      <c r="AA20" s="130">
        <f t="shared" si="4"/>
        <v>0</v>
      </c>
      <c r="AB20" s="130">
        <f t="shared" si="4"/>
        <v>0</v>
      </c>
      <c r="AC20" s="130">
        <f t="shared" si="4"/>
        <v>0</v>
      </c>
      <c r="AD20" s="130">
        <f t="shared" si="4"/>
        <v>0</v>
      </c>
      <c r="AE20" s="130">
        <f t="shared" si="4"/>
        <v>0</v>
      </c>
      <c r="AF20" s="130">
        <f t="shared" si="4"/>
        <v>0</v>
      </c>
      <c r="AG20" s="130">
        <f t="shared" si="4"/>
        <v>0</v>
      </c>
      <c r="AH20" s="129">
        <f t="shared" si="4"/>
        <v>0</v>
      </c>
      <c r="AI20" s="130">
        <f t="shared" si="4"/>
        <v>0</v>
      </c>
      <c r="AJ20" s="130">
        <f t="shared" si="4"/>
        <v>0</v>
      </c>
      <c r="AK20" s="130">
        <f t="shared" si="4"/>
        <v>0</v>
      </c>
      <c r="AL20" s="130">
        <f t="shared" si="4"/>
        <v>0</v>
      </c>
      <c r="AM20" s="130">
        <f t="shared" si="4"/>
        <v>0</v>
      </c>
      <c r="AN20" s="130">
        <f t="shared" si="4"/>
        <v>0</v>
      </c>
      <c r="AO20" s="130">
        <f t="shared" si="4"/>
        <v>0</v>
      </c>
      <c r="AP20" s="130">
        <f t="shared" si="4"/>
        <v>0</v>
      </c>
      <c r="AQ20" s="130">
        <f t="shared" si="4"/>
        <v>0</v>
      </c>
      <c r="AR20" s="130">
        <f t="shared" si="4"/>
        <v>0</v>
      </c>
      <c r="AS20" s="131">
        <f t="shared" si="4"/>
        <v>0</v>
      </c>
      <c r="AT20" s="130">
        <f t="shared" si="4"/>
        <v>0</v>
      </c>
      <c r="AU20" s="130">
        <f t="shared" si="4"/>
        <v>0</v>
      </c>
      <c r="AV20" s="130">
        <f t="shared" si="4"/>
        <v>0</v>
      </c>
      <c r="AW20" s="130">
        <f t="shared" si="4"/>
        <v>0</v>
      </c>
      <c r="AX20" s="130">
        <f t="shared" si="4"/>
        <v>0</v>
      </c>
      <c r="AY20" s="130">
        <f t="shared" si="4"/>
        <v>0</v>
      </c>
      <c r="AZ20" s="130">
        <f t="shared" si="4"/>
        <v>0</v>
      </c>
      <c r="BA20" s="130">
        <f t="shared" si="4"/>
        <v>0</v>
      </c>
      <c r="BB20" s="130">
        <f t="shared" si="4"/>
        <v>0</v>
      </c>
      <c r="BC20" s="130">
        <f t="shared" si="4"/>
        <v>0</v>
      </c>
      <c r="BD20" s="130">
        <f t="shared" si="4"/>
        <v>0</v>
      </c>
      <c r="BE20" s="130">
        <f t="shared" si="4"/>
        <v>0</v>
      </c>
      <c r="BF20" s="129">
        <f t="shared" si="4"/>
        <v>0</v>
      </c>
      <c r="BG20" s="130">
        <f t="shared" si="4"/>
        <v>0</v>
      </c>
      <c r="BH20" s="130">
        <f t="shared" si="4"/>
        <v>0</v>
      </c>
      <c r="BI20" s="130">
        <f t="shared" si="4"/>
        <v>0</v>
      </c>
      <c r="BJ20" s="130">
        <f t="shared" si="4"/>
        <v>0</v>
      </c>
      <c r="BK20" s="130">
        <f t="shared" si="4"/>
        <v>0</v>
      </c>
      <c r="BL20" s="130">
        <f t="shared" si="4"/>
        <v>0</v>
      </c>
      <c r="BM20" s="130">
        <f t="shared" si="4"/>
        <v>0</v>
      </c>
      <c r="BN20" s="130">
        <f t="shared" si="4"/>
        <v>0</v>
      </c>
      <c r="BO20" s="130">
        <f t="shared" si="4"/>
        <v>0</v>
      </c>
      <c r="BP20" s="130">
        <f t="shared" si="4"/>
        <v>0</v>
      </c>
      <c r="BQ20" s="131">
        <f t="shared" si="4"/>
        <v>0</v>
      </c>
      <c r="BR20" s="130">
        <f t="shared" si="4"/>
        <v>0</v>
      </c>
      <c r="BS20" s="130">
        <f t="shared" si="4"/>
        <v>0</v>
      </c>
      <c r="BT20" s="130">
        <f t="shared" si="4"/>
        <v>0</v>
      </c>
      <c r="BU20" s="130">
        <f t="shared" si="4"/>
        <v>0</v>
      </c>
      <c r="BV20" s="130">
        <f t="shared" si="4"/>
        <v>0</v>
      </c>
      <c r="BW20" s="130">
        <f t="shared" si="4"/>
        <v>0</v>
      </c>
      <c r="BX20" s="130">
        <f t="shared" si="4"/>
        <v>0</v>
      </c>
      <c r="BY20" s="130">
        <f t="shared" si="4"/>
        <v>0</v>
      </c>
      <c r="BZ20" s="130">
        <f t="shared" si="4"/>
        <v>0</v>
      </c>
      <c r="CA20" s="130">
        <f t="shared" si="4"/>
        <v>0</v>
      </c>
      <c r="CB20" s="130">
        <f t="shared" si="4"/>
        <v>0</v>
      </c>
      <c r="CC20" s="131">
        <f t="shared" si="4"/>
        <v>0</v>
      </c>
    </row>
    <row r="21" spans="1:82" ht="15.75" customHeight="1">
      <c r="A21" s="40" t="s">
        <v>438</v>
      </c>
      <c r="B21" s="14">
        <v>300000</v>
      </c>
      <c r="C21" s="130"/>
      <c r="D21" s="130"/>
      <c r="E21" s="130"/>
      <c r="F21" s="130"/>
      <c r="G21" s="130"/>
      <c r="H21" s="130"/>
      <c r="I21" s="130"/>
      <c r="J21" s="129"/>
      <c r="K21" s="130"/>
      <c r="L21" s="130"/>
      <c r="M21" s="130"/>
      <c r="N21" s="130"/>
      <c r="U21" s="10"/>
      <c r="AH21" s="40"/>
      <c r="AS21" s="10"/>
      <c r="BF21" s="40"/>
      <c r="BQ21" s="10"/>
      <c r="CC21" s="10"/>
    </row>
    <row r="22" spans="1:82" ht="15.75" customHeight="1">
      <c r="A22" s="40" t="s">
        <v>439</v>
      </c>
      <c r="B22" s="10"/>
      <c r="C22" s="130">
        <f t="shared" ref="C22:CC22" si="5">IF(C5&gt;$B$20+36*30.5,-$B$21/$B$25,0)</f>
        <v>0</v>
      </c>
      <c r="D22" s="130">
        <f t="shared" si="5"/>
        <v>0</v>
      </c>
      <c r="E22" s="130">
        <f t="shared" si="5"/>
        <v>0</v>
      </c>
      <c r="F22" s="130">
        <f t="shared" si="5"/>
        <v>0</v>
      </c>
      <c r="G22" s="130">
        <f t="shared" si="5"/>
        <v>0</v>
      </c>
      <c r="H22" s="130">
        <f t="shared" si="5"/>
        <v>0</v>
      </c>
      <c r="I22" s="130">
        <f t="shared" si="5"/>
        <v>0</v>
      </c>
      <c r="J22" s="129">
        <f t="shared" si="5"/>
        <v>0</v>
      </c>
      <c r="K22" s="130">
        <f t="shared" si="5"/>
        <v>0</v>
      </c>
      <c r="L22" s="130">
        <f t="shared" si="5"/>
        <v>0</v>
      </c>
      <c r="M22" s="130">
        <f t="shared" si="5"/>
        <v>0</v>
      </c>
      <c r="N22" s="130">
        <f t="shared" si="5"/>
        <v>0</v>
      </c>
      <c r="O22" s="130">
        <f t="shared" si="5"/>
        <v>0</v>
      </c>
      <c r="P22" s="130">
        <f t="shared" si="5"/>
        <v>0</v>
      </c>
      <c r="Q22" s="130">
        <f t="shared" si="5"/>
        <v>0</v>
      </c>
      <c r="R22" s="130">
        <f t="shared" si="5"/>
        <v>0</v>
      </c>
      <c r="S22" s="130">
        <f t="shared" si="5"/>
        <v>0</v>
      </c>
      <c r="T22" s="130">
        <f t="shared" si="5"/>
        <v>0</v>
      </c>
      <c r="U22" s="131">
        <f t="shared" si="5"/>
        <v>0</v>
      </c>
      <c r="V22" s="130">
        <f t="shared" si="5"/>
        <v>0</v>
      </c>
      <c r="W22" s="130">
        <f t="shared" si="5"/>
        <v>0</v>
      </c>
      <c r="X22" s="130">
        <f t="shared" si="5"/>
        <v>0</v>
      </c>
      <c r="Y22" s="130">
        <f t="shared" si="5"/>
        <v>0</v>
      </c>
      <c r="Z22" s="130">
        <f t="shared" si="5"/>
        <v>0</v>
      </c>
      <c r="AA22" s="130">
        <f t="shared" si="5"/>
        <v>0</v>
      </c>
      <c r="AB22" s="130">
        <f t="shared" si="5"/>
        <v>0</v>
      </c>
      <c r="AC22" s="130">
        <f t="shared" si="5"/>
        <v>0</v>
      </c>
      <c r="AD22" s="130">
        <f t="shared" si="5"/>
        <v>0</v>
      </c>
      <c r="AE22" s="130">
        <f t="shared" si="5"/>
        <v>0</v>
      </c>
      <c r="AF22" s="130">
        <f t="shared" si="5"/>
        <v>0</v>
      </c>
      <c r="AG22" s="130">
        <f t="shared" si="5"/>
        <v>0</v>
      </c>
      <c r="AH22" s="129">
        <f t="shared" si="5"/>
        <v>0</v>
      </c>
      <c r="AI22" s="130">
        <f t="shared" si="5"/>
        <v>0</v>
      </c>
      <c r="AJ22" s="130">
        <f t="shared" si="5"/>
        <v>0</v>
      </c>
      <c r="AK22" s="130">
        <f t="shared" si="5"/>
        <v>0</v>
      </c>
      <c r="AL22" s="130">
        <f t="shared" si="5"/>
        <v>0</v>
      </c>
      <c r="AM22" s="130">
        <f t="shared" si="5"/>
        <v>0</v>
      </c>
      <c r="AN22" s="130">
        <f t="shared" si="5"/>
        <v>0</v>
      </c>
      <c r="AO22" s="130">
        <f t="shared" si="5"/>
        <v>0</v>
      </c>
      <c r="AP22" s="130">
        <f t="shared" si="5"/>
        <v>0</v>
      </c>
      <c r="AQ22" s="130">
        <f t="shared" si="5"/>
        <v>0</v>
      </c>
      <c r="AR22" s="130">
        <f t="shared" si="5"/>
        <v>0</v>
      </c>
      <c r="AS22" s="131">
        <f t="shared" si="5"/>
        <v>0</v>
      </c>
      <c r="AT22" s="130">
        <f t="shared" si="5"/>
        <v>0</v>
      </c>
      <c r="AU22" s="130">
        <f t="shared" si="5"/>
        <v>0</v>
      </c>
      <c r="AV22" s="130">
        <f t="shared" si="5"/>
        <v>0</v>
      </c>
      <c r="AW22" s="130">
        <f t="shared" si="5"/>
        <v>-8333.3333333333339</v>
      </c>
      <c r="AX22" s="130">
        <f t="shared" si="5"/>
        <v>-8333.3333333333339</v>
      </c>
      <c r="AY22" s="130">
        <f t="shared" si="5"/>
        <v>-8333.3333333333339</v>
      </c>
      <c r="AZ22" s="130">
        <f t="shared" si="5"/>
        <v>-8333.3333333333339</v>
      </c>
      <c r="BA22" s="130">
        <f t="shared" si="5"/>
        <v>-8333.3333333333339</v>
      </c>
      <c r="BB22" s="130">
        <f t="shared" si="5"/>
        <v>-8333.3333333333339</v>
      </c>
      <c r="BC22" s="130">
        <f t="shared" si="5"/>
        <v>-8333.3333333333339</v>
      </c>
      <c r="BD22" s="130">
        <f t="shared" si="5"/>
        <v>-8333.3333333333339</v>
      </c>
      <c r="BE22" s="130">
        <f t="shared" si="5"/>
        <v>-8333.3333333333339</v>
      </c>
      <c r="BF22" s="129">
        <f t="shared" si="5"/>
        <v>-8333.3333333333339</v>
      </c>
      <c r="BG22" s="130">
        <f t="shared" si="5"/>
        <v>-8333.3333333333339</v>
      </c>
      <c r="BH22" s="130">
        <f t="shared" si="5"/>
        <v>-8333.3333333333339</v>
      </c>
      <c r="BI22" s="130">
        <f t="shared" si="5"/>
        <v>-8333.3333333333339</v>
      </c>
      <c r="BJ22" s="130">
        <f t="shared" si="5"/>
        <v>-8333.3333333333339</v>
      </c>
      <c r="BK22" s="130">
        <f t="shared" si="5"/>
        <v>-8333.3333333333339</v>
      </c>
      <c r="BL22" s="130">
        <f t="shared" si="5"/>
        <v>-8333.3333333333339</v>
      </c>
      <c r="BM22" s="130">
        <f t="shared" si="5"/>
        <v>-8333.3333333333339</v>
      </c>
      <c r="BN22" s="130">
        <f t="shared" si="5"/>
        <v>-8333.3333333333339</v>
      </c>
      <c r="BO22" s="130">
        <f t="shared" si="5"/>
        <v>-8333.3333333333339</v>
      </c>
      <c r="BP22" s="130">
        <f t="shared" si="5"/>
        <v>-8333.3333333333339</v>
      </c>
      <c r="BQ22" s="131">
        <f t="shared" si="5"/>
        <v>-8333.3333333333339</v>
      </c>
      <c r="BR22" s="130">
        <f t="shared" si="5"/>
        <v>-8333.3333333333339</v>
      </c>
      <c r="BS22" s="130">
        <f t="shared" si="5"/>
        <v>-8333.3333333333339</v>
      </c>
      <c r="BT22" s="130">
        <f t="shared" si="5"/>
        <v>-8333.3333333333339</v>
      </c>
      <c r="BU22" s="130">
        <f t="shared" si="5"/>
        <v>-8333.3333333333339</v>
      </c>
      <c r="BV22" s="130">
        <f t="shared" si="5"/>
        <v>-8333.3333333333339</v>
      </c>
      <c r="BW22" s="130">
        <f t="shared" si="5"/>
        <v>-8333.3333333333339</v>
      </c>
      <c r="BX22" s="130">
        <f t="shared" si="5"/>
        <v>-8333.3333333333339</v>
      </c>
      <c r="BY22" s="130">
        <f t="shared" si="5"/>
        <v>-8333.3333333333339</v>
      </c>
      <c r="BZ22" s="130">
        <f t="shared" si="5"/>
        <v>-8333.3333333333339</v>
      </c>
      <c r="CA22" s="130">
        <f t="shared" si="5"/>
        <v>-8333.3333333333339</v>
      </c>
      <c r="CB22" s="130">
        <f t="shared" si="5"/>
        <v>-8333.3333333333339</v>
      </c>
      <c r="CC22" s="131">
        <f t="shared" si="5"/>
        <v>-8333.3333333333339</v>
      </c>
    </row>
    <row r="23" spans="1:82" ht="15.75" customHeight="1">
      <c r="A23" s="40" t="s">
        <v>434</v>
      </c>
      <c r="B23" s="10"/>
      <c r="C23" s="130">
        <f t="shared" ref="C23:CC23" si="6">-IF(C5&gt;$B$20,($B$21+SUM($C$22:C22))*5%/12,0)</f>
        <v>0</v>
      </c>
      <c r="D23" s="130">
        <f t="shared" si="6"/>
        <v>0</v>
      </c>
      <c r="E23" s="130">
        <f t="shared" si="6"/>
        <v>0</v>
      </c>
      <c r="F23" s="130">
        <f t="shared" si="6"/>
        <v>0</v>
      </c>
      <c r="G23" s="130">
        <f t="shared" si="6"/>
        <v>0</v>
      </c>
      <c r="H23" s="130">
        <f t="shared" si="6"/>
        <v>0</v>
      </c>
      <c r="I23" s="130">
        <f t="shared" si="6"/>
        <v>0</v>
      </c>
      <c r="J23" s="129">
        <f t="shared" si="6"/>
        <v>0</v>
      </c>
      <c r="K23" s="130">
        <f t="shared" si="6"/>
        <v>0</v>
      </c>
      <c r="L23" s="130">
        <f t="shared" si="6"/>
        <v>0</v>
      </c>
      <c r="M23" s="130">
        <f t="shared" si="6"/>
        <v>-1250</v>
      </c>
      <c r="N23" s="130">
        <f t="shared" si="6"/>
        <v>-1250</v>
      </c>
      <c r="O23" s="130">
        <f t="shared" si="6"/>
        <v>-1250</v>
      </c>
      <c r="P23" s="130">
        <f t="shared" si="6"/>
        <v>-1250</v>
      </c>
      <c r="Q23" s="130">
        <f t="shared" si="6"/>
        <v>-1250</v>
      </c>
      <c r="R23" s="130">
        <f t="shared" si="6"/>
        <v>-1250</v>
      </c>
      <c r="S23" s="130">
        <f t="shared" si="6"/>
        <v>-1250</v>
      </c>
      <c r="T23" s="130">
        <f t="shared" si="6"/>
        <v>-1250</v>
      </c>
      <c r="U23" s="131">
        <f t="shared" si="6"/>
        <v>-1250</v>
      </c>
      <c r="V23" s="130">
        <f t="shared" si="6"/>
        <v>-1250</v>
      </c>
      <c r="W23" s="130">
        <f t="shared" si="6"/>
        <v>-1250</v>
      </c>
      <c r="X23" s="130">
        <f t="shared" si="6"/>
        <v>-1250</v>
      </c>
      <c r="Y23" s="130">
        <f t="shared" si="6"/>
        <v>-1250</v>
      </c>
      <c r="Z23" s="130">
        <f t="shared" si="6"/>
        <v>-1250</v>
      </c>
      <c r="AA23" s="130">
        <f t="shared" si="6"/>
        <v>-1250</v>
      </c>
      <c r="AB23" s="130">
        <f t="shared" si="6"/>
        <v>-1250</v>
      </c>
      <c r="AC23" s="130">
        <f t="shared" si="6"/>
        <v>-1250</v>
      </c>
      <c r="AD23" s="130">
        <f t="shared" si="6"/>
        <v>-1250</v>
      </c>
      <c r="AE23" s="130">
        <f t="shared" si="6"/>
        <v>-1250</v>
      </c>
      <c r="AF23" s="130">
        <f t="shared" si="6"/>
        <v>-1250</v>
      </c>
      <c r="AG23" s="130">
        <f t="shared" si="6"/>
        <v>-1250</v>
      </c>
      <c r="AH23" s="129">
        <f t="shared" si="6"/>
        <v>-1250</v>
      </c>
      <c r="AI23" s="130">
        <f t="shared" si="6"/>
        <v>-1250</v>
      </c>
      <c r="AJ23" s="130">
        <f t="shared" si="6"/>
        <v>-1250</v>
      </c>
      <c r="AK23" s="130">
        <f t="shared" si="6"/>
        <v>-1250</v>
      </c>
      <c r="AL23" s="130">
        <f t="shared" si="6"/>
        <v>-1250</v>
      </c>
      <c r="AM23" s="130">
        <f t="shared" si="6"/>
        <v>-1250</v>
      </c>
      <c r="AN23" s="130">
        <f t="shared" si="6"/>
        <v>-1250</v>
      </c>
      <c r="AO23" s="130">
        <f t="shared" si="6"/>
        <v>-1250</v>
      </c>
      <c r="AP23" s="130">
        <f t="shared" si="6"/>
        <v>-1250</v>
      </c>
      <c r="AQ23" s="130">
        <f t="shared" si="6"/>
        <v>-1250</v>
      </c>
      <c r="AR23" s="130">
        <f t="shared" si="6"/>
        <v>-1250</v>
      </c>
      <c r="AS23" s="131">
        <f t="shared" si="6"/>
        <v>-1250</v>
      </c>
      <c r="AT23" s="130">
        <f t="shared" si="6"/>
        <v>-1250</v>
      </c>
      <c r="AU23" s="130">
        <f t="shared" si="6"/>
        <v>-1250</v>
      </c>
      <c r="AV23" s="130">
        <f t="shared" si="6"/>
        <v>-1250</v>
      </c>
      <c r="AW23" s="130">
        <f t="shared" si="6"/>
        <v>-1215.2777777777781</v>
      </c>
      <c r="AX23" s="130">
        <f t="shared" si="6"/>
        <v>-1180.5555555555554</v>
      </c>
      <c r="AY23" s="130">
        <f t="shared" si="6"/>
        <v>-1145.8333333333333</v>
      </c>
      <c r="AZ23" s="130">
        <f t="shared" si="6"/>
        <v>-1111.1111111111113</v>
      </c>
      <c r="BA23" s="130">
        <f t="shared" si="6"/>
        <v>-1076.3888888888889</v>
      </c>
      <c r="BB23" s="130">
        <f t="shared" si="6"/>
        <v>-1041.6666666666667</v>
      </c>
      <c r="BC23" s="130">
        <f t="shared" si="6"/>
        <v>-1006.9444444444445</v>
      </c>
      <c r="BD23" s="130">
        <f t="shared" si="6"/>
        <v>-972.22222222222217</v>
      </c>
      <c r="BE23" s="130">
        <f t="shared" si="6"/>
        <v>-937.5</v>
      </c>
      <c r="BF23" s="129">
        <f t="shared" si="6"/>
        <v>-902.77777777777794</v>
      </c>
      <c r="BG23" s="130">
        <f t="shared" si="6"/>
        <v>-868.05555555555566</v>
      </c>
      <c r="BH23" s="130">
        <f t="shared" si="6"/>
        <v>-833.33333333333337</v>
      </c>
      <c r="BI23" s="130">
        <f t="shared" si="6"/>
        <v>-798.6111111111112</v>
      </c>
      <c r="BJ23" s="130">
        <f t="shared" si="6"/>
        <v>-763.88888888888914</v>
      </c>
      <c r="BK23" s="130">
        <f t="shared" si="6"/>
        <v>-729.16666666666686</v>
      </c>
      <c r="BL23" s="130">
        <f t="shared" si="6"/>
        <v>-694.44444444444446</v>
      </c>
      <c r="BM23" s="130">
        <f t="shared" si="6"/>
        <v>-659.72222222222229</v>
      </c>
      <c r="BN23" s="130">
        <f t="shared" si="6"/>
        <v>-625</v>
      </c>
      <c r="BO23" s="130">
        <f t="shared" si="6"/>
        <v>-590.27777777777771</v>
      </c>
      <c r="BP23" s="130">
        <f t="shared" si="6"/>
        <v>-555.55555555555554</v>
      </c>
      <c r="BQ23" s="131">
        <f t="shared" si="6"/>
        <v>-520.83333333333326</v>
      </c>
      <c r="BR23" s="130">
        <f t="shared" si="6"/>
        <v>-486.11111111111103</v>
      </c>
      <c r="BS23" s="130">
        <f t="shared" si="6"/>
        <v>-451.38888888888869</v>
      </c>
      <c r="BT23" s="130">
        <f t="shared" si="6"/>
        <v>-416.66666666666646</v>
      </c>
      <c r="BU23" s="130">
        <f t="shared" si="6"/>
        <v>-381.94444444444417</v>
      </c>
      <c r="BV23" s="130">
        <f t="shared" si="6"/>
        <v>-347.22222222222194</v>
      </c>
      <c r="BW23" s="130">
        <f t="shared" si="6"/>
        <v>-312.49999999999966</v>
      </c>
      <c r="BX23" s="130">
        <f t="shared" si="6"/>
        <v>-277.77777777777737</v>
      </c>
      <c r="BY23" s="130">
        <f t="shared" si="6"/>
        <v>-243.05555555555512</v>
      </c>
      <c r="BZ23" s="130">
        <f t="shared" si="6"/>
        <v>-208.33333333333289</v>
      </c>
      <c r="CA23" s="130">
        <f t="shared" si="6"/>
        <v>-173.6111111111106</v>
      </c>
      <c r="CB23" s="130">
        <f t="shared" si="6"/>
        <v>-138.88888888888832</v>
      </c>
      <c r="CC23" s="131">
        <f t="shared" si="6"/>
        <v>-104.16666666666619</v>
      </c>
    </row>
    <row r="24" spans="1:82" ht="15.75" customHeight="1">
      <c r="A24" s="40"/>
      <c r="B24" s="355"/>
      <c r="J24" s="40"/>
      <c r="U24" s="10"/>
      <c r="AH24" s="40"/>
      <c r="AS24" s="10"/>
      <c r="BF24" s="40"/>
      <c r="BQ24" s="10"/>
      <c r="CC24" s="10"/>
    </row>
    <row r="25" spans="1:82" ht="15.75" customHeight="1">
      <c r="A25" s="40" t="s">
        <v>440</v>
      </c>
      <c r="B25" s="618">
        <v>36</v>
      </c>
      <c r="J25" s="40"/>
      <c r="U25" s="10"/>
      <c r="AH25" s="40"/>
      <c r="AS25" s="10"/>
      <c r="BF25" s="40"/>
      <c r="BQ25" s="10"/>
      <c r="CC25" s="10"/>
    </row>
    <row r="26" spans="1:82" ht="15.75" customHeight="1">
      <c r="A26" s="40" t="s">
        <v>441</v>
      </c>
      <c r="B26" s="618">
        <v>60</v>
      </c>
      <c r="J26" s="40"/>
      <c r="U26" s="10"/>
      <c r="AH26" s="40"/>
      <c r="AS26" s="10"/>
      <c r="BF26" s="40"/>
      <c r="BQ26" s="10"/>
      <c r="CC26" s="10"/>
    </row>
    <row r="27" spans="1:82" ht="15.75" customHeight="1">
      <c r="A27" s="40" t="s">
        <v>442</v>
      </c>
      <c r="B27" s="151">
        <v>0.05</v>
      </c>
      <c r="J27" s="40"/>
      <c r="U27" s="10"/>
      <c r="AH27" s="40"/>
      <c r="AS27" s="10"/>
      <c r="BF27" s="40"/>
      <c r="BQ27" s="10"/>
      <c r="CC27" s="10"/>
    </row>
    <row r="28" spans="1:82" ht="15.75" customHeight="1">
      <c r="A28" s="43"/>
      <c r="B28" s="121"/>
      <c r="C28" s="120"/>
      <c r="D28" s="120"/>
      <c r="E28" s="120"/>
      <c r="F28" s="120"/>
      <c r="G28" s="120"/>
      <c r="H28" s="120"/>
      <c r="I28" s="120"/>
      <c r="J28" s="43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1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43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1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43"/>
      <c r="BG28" s="120"/>
      <c r="BH28" s="120"/>
      <c r="BI28" s="120"/>
      <c r="BJ28" s="120"/>
      <c r="BK28" s="120"/>
      <c r="BL28" s="120"/>
      <c r="BM28" s="120"/>
      <c r="BN28" s="120"/>
      <c r="BO28" s="120"/>
      <c r="BP28" s="120"/>
      <c r="BQ28" s="121"/>
      <c r="BR28" s="120"/>
      <c r="BS28" s="120"/>
      <c r="BT28" s="120"/>
      <c r="BU28" s="120"/>
      <c r="BV28" s="120"/>
      <c r="BW28" s="120"/>
      <c r="BX28" s="120"/>
      <c r="BY28" s="120"/>
      <c r="BZ28" s="120"/>
      <c r="CA28" s="120"/>
      <c r="CB28" s="120"/>
      <c r="CC28" s="121"/>
    </row>
    <row r="29" spans="1:82" ht="15.75" customHeight="1">
      <c r="A29" s="52" t="s">
        <v>443</v>
      </c>
      <c r="B29" s="10"/>
      <c r="D29" s="130">
        <v>-787</v>
      </c>
      <c r="E29" s="130">
        <v>-787</v>
      </c>
      <c r="F29" s="130">
        <v>-787</v>
      </c>
      <c r="G29" s="130">
        <v>-787</v>
      </c>
      <c r="H29" s="130">
        <v>-787</v>
      </c>
      <c r="I29" s="130">
        <v>-787</v>
      </c>
      <c r="J29" s="129">
        <v>-787</v>
      </c>
      <c r="K29" s="130">
        <v>-787</v>
      </c>
      <c r="L29" s="130">
        <v>-787</v>
      </c>
      <c r="M29" s="130">
        <v>-787</v>
      </c>
      <c r="N29" s="130">
        <v>-787</v>
      </c>
      <c r="O29" s="130">
        <v>-787</v>
      </c>
      <c r="P29" s="130">
        <v>-787</v>
      </c>
      <c r="Q29" s="130">
        <v>-787</v>
      </c>
      <c r="R29" s="130">
        <v>-787</v>
      </c>
      <c r="S29" s="130">
        <v>-787</v>
      </c>
      <c r="T29" s="130">
        <v>-787</v>
      </c>
      <c r="U29" s="131">
        <v>-787</v>
      </c>
      <c r="V29" s="130">
        <v>-787</v>
      </c>
      <c r="AH29" s="40"/>
      <c r="AS29" s="10"/>
      <c r="BF29" s="40"/>
      <c r="BQ29" s="10"/>
      <c r="CC29" s="10"/>
    </row>
    <row r="30" spans="1:82" ht="15.75" customHeight="1">
      <c r="A30" s="52"/>
      <c r="B30" s="10"/>
      <c r="J30" s="40"/>
      <c r="U30" s="10"/>
      <c r="AH30" s="40"/>
      <c r="AS30" s="10"/>
      <c r="BF30" s="40"/>
      <c r="BQ30" s="10"/>
      <c r="CC30" s="10"/>
    </row>
    <row r="31" spans="1:82" ht="15.75" customHeight="1">
      <c r="A31" s="40"/>
      <c r="B31" s="10"/>
      <c r="J31" s="40"/>
      <c r="U31" s="10"/>
      <c r="AH31" s="40"/>
      <c r="AS31" s="10"/>
      <c r="BF31" s="40"/>
      <c r="BQ31" s="10"/>
      <c r="CC31" s="10"/>
    </row>
    <row r="32" spans="1:82" ht="15.75" customHeight="1">
      <c r="A32" s="619"/>
      <c r="B32" s="620"/>
      <c r="C32" s="621"/>
      <c r="D32" s="621"/>
      <c r="E32" s="621"/>
      <c r="F32" s="621"/>
      <c r="G32" s="621"/>
      <c r="H32" s="621"/>
      <c r="I32" s="621"/>
      <c r="J32" s="622"/>
      <c r="K32" s="621"/>
      <c r="L32" s="621"/>
      <c r="M32" s="621"/>
      <c r="N32" s="621"/>
      <c r="O32" s="621"/>
      <c r="P32" s="621"/>
      <c r="Q32" s="621"/>
      <c r="R32" s="621"/>
      <c r="S32" s="621"/>
      <c r="T32" s="621"/>
      <c r="U32" s="623"/>
      <c r="V32" s="621"/>
      <c r="W32" s="621"/>
      <c r="X32" s="621"/>
      <c r="Y32" s="621"/>
      <c r="Z32" s="621"/>
      <c r="AA32" s="621"/>
      <c r="AB32" s="621"/>
      <c r="AC32" s="621"/>
      <c r="AD32" s="621"/>
      <c r="AE32" s="621"/>
      <c r="AF32" s="621"/>
      <c r="AG32" s="621"/>
      <c r="AH32" s="622"/>
      <c r="AI32" s="621"/>
      <c r="AJ32" s="621"/>
      <c r="AK32" s="621"/>
      <c r="AL32" s="621"/>
      <c r="AM32" s="621"/>
      <c r="AN32" s="621"/>
      <c r="AO32" s="621"/>
      <c r="AP32" s="621"/>
      <c r="AQ32" s="621"/>
      <c r="AR32" s="621"/>
      <c r="AS32" s="623"/>
      <c r="AT32" s="621"/>
      <c r="AU32" s="621"/>
      <c r="AV32" s="621"/>
      <c r="AW32" s="621"/>
      <c r="AX32" s="621"/>
      <c r="AY32" s="621"/>
      <c r="AZ32" s="621"/>
      <c r="BA32" s="621"/>
      <c r="BB32" s="621"/>
      <c r="BC32" s="621"/>
      <c r="BD32" s="621"/>
      <c r="BE32" s="621"/>
      <c r="BF32" s="622"/>
      <c r="BG32" s="621"/>
      <c r="BH32" s="621"/>
      <c r="BI32" s="621"/>
      <c r="BJ32" s="621"/>
      <c r="BK32" s="621"/>
      <c r="BL32" s="621"/>
      <c r="BM32" s="621"/>
      <c r="BN32" s="621"/>
      <c r="BO32" s="621"/>
      <c r="BP32" s="621"/>
      <c r="BQ32" s="623"/>
      <c r="BR32" s="621"/>
      <c r="BS32" s="621"/>
      <c r="BT32" s="621"/>
      <c r="BU32" s="621"/>
      <c r="BV32" s="621"/>
      <c r="BW32" s="621"/>
      <c r="BX32" s="621"/>
      <c r="BY32" s="621"/>
      <c r="BZ32" s="621"/>
      <c r="CA32" s="621"/>
      <c r="CB32" s="621"/>
      <c r="CC32" s="623"/>
    </row>
    <row r="33" spans="1:81" ht="15.75" customHeight="1">
      <c r="A33" s="55" t="s">
        <v>444</v>
      </c>
      <c r="B33" s="199"/>
      <c r="C33" s="321">
        <f t="shared" ref="C33:CC33" si="7">C34+C38</f>
        <v>0</v>
      </c>
      <c r="D33" s="321">
        <f t="shared" si="7"/>
        <v>0</v>
      </c>
      <c r="E33" s="321">
        <f t="shared" si="7"/>
        <v>0</v>
      </c>
      <c r="F33" s="321">
        <f t="shared" si="7"/>
        <v>0</v>
      </c>
      <c r="G33" s="321">
        <f t="shared" si="7"/>
        <v>0</v>
      </c>
      <c r="H33" s="321">
        <f t="shared" si="7"/>
        <v>0</v>
      </c>
      <c r="I33" s="321">
        <f t="shared" si="7"/>
        <v>0</v>
      </c>
      <c r="J33" s="320">
        <f t="shared" si="7"/>
        <v>0</v>
      </c>
      <c r="K33" s="321">
        <f t="shared" si="7"/>
        <v>0</v>
      </c>
      <c r="L33" s="321">
        <f t="shared" si="7"/>
        <v>0</v>
      </c>
      <c r="M33" s="321">
        <f t="shared" si="7"/>
        <v>0</v>
      </c>
      <c r="N33" s="321">
        <f t="shared" si="7"/>
        <v>0</v>
      </c>
      <c r="O33" s="321">
        <f t="shared" si="7"/>
        <v>0</v>
      </c>
      <c r="P33" s="321">
        <f t="shared" si="7"/>
        <v>0</v>
      </c>
      <c r="Q33" s="321">
        <f t="shared" si="7"/>
        <v>0</v>
      </c>
      <c r="R33" s="321">
        <f t="shared" si="7"/>
        <v>0</v>
      </c>
      <c r="S33" s="321">
        <f t="shared" si="7"/>
        <v>0</v>
      </c>
      <c r="T33" s="321">
        <f t="shared" si="7"/>
        <v>0</v>
      </c>
      <c r="U33" s="322">
        <f t="shared" si="7"/>
        <v>0</v>
      </c>
      <c r="V33" s="321">
        <f t="shared" si="7"/>
        <v>0</v>
      </c>
      <c r="W33" s="321">
        <f t="shared" si="7"/>
        <v>0</v>
      </c>
      <c r="X33" s="321">
        <f t="shared" si="7"/>
        <v>0</v>
      </c>
      <c r="Y33" s="321">
        <f t="shared" si="7"/>
        <v>0</v>
      </c>
      <c r="Z33" s="321">
        <f t="shared" si="7"/>
        <v>0</v>
      </c>
      <c r="AA33" s="321">
        <f t="shared" si="7"/>
        <v>-210382</v>
      </c>
      <c r="AB33" s="321">
        <f t="shared" si="7"/>
        <v>0</v>
      </c>
      <c r="AC33" s="321">
        <f t="shared" si="7"/>
        <v>0</v>
      </c>
      <c r="AD33" s="321">
        <f t="shared" si="7"/>
        <v>0</v>
      </c>
      <c r="AE33" s="321">
        <f t="shared" si="7"/>
        <v>0</v>
      </c>
      <c r="AF33" s="321">
        <f t="shared" si="7"/>
        <v>0</v>
      </c>
      <c r="AG33" s="321">
        <f t="shared" si="7"/>
        <v>0</v>
      </c>
      <c r="AH33" s="320">
        <f t="shared" si="7"/>
        <v>0</v>
      </c>
      <c r="AI33" s="321">
        <f t="shared" si="7"/>
        <v>0</v>
      </c>
      <c r="AJ33" s="321">
        <f t="shared" si="7"/>
        <v>0</v>
      </c>
      <c r="AK33" s="321">
        <f t="shared" si="7"/>
        <v>0</v>
      </c>
      <c r="AL33" s="321">
        <f t="shared" si="7"/>
        <v>0</v>
      </c>
      <c r="AM33" s="321">
        <f t="shared" si="7"/>
        <v>0</v>
      </c>
      <c r="AN33" s="321">
        <f t="shared" si="7"/>
        <v>0</v>
      </c>
      <c r="AO33" s="321">
        <f t="shared" si="7"/>
        <v>0</v>
      </c>
      <c r="AP33" s="321">
        <f t="shared" si="7"/>
        <v>0</v>
      </c>
      <c r="AQ33" s="321">
        <f t="shared" si="7"/>
        <v>0</v>
      </c>
      <c r="AR33" s="321">
        <f t="shared" si="7"/>
        <v>0</v>
      </c>
      <c r="AS33" s="322">
        <f t="shared" si="7"/>
        <v>0</v>
      </c>
      <c r="AT33" s="321">
        <f t="shared" si="7"/>
        <v>0</v>
      </c>
      <c r="AU33" s="321">
        <f t="shared" si="7"/>
        <v>0</v>
      </c>
      <c r="AV33" s="321">
        <f t="shared" si="7"/>
        <v>0</v>
      </c>
      <c r="AW33" s="321">
        <f t="shared" si="7"/>
        <v>0</v>
      </c>
      <c r="AX33" s="321">
        <f t="shared" si="7"/>
        <v>0</v>
      </c>
      <c r="AY33" s="321">
        <f t="shared" si="7"/>
        <v>0</v>
      </c>
      <c r="AZ33" s="321">
        <f t="shared" si="7"/>
        <v>0</v>
      </c>
      <c r="BA33" s="321">
        <f t="shared" si="7"/>
        <v>0</v>
      </c>
      <c r="BB33" s="321">
        <f t="shared" si="7"/>
        <v>0</v>
      </c>
      <c r="BC33" s="321">
        <f t="shared" si="7"/>
        <v>0</v>
      </c>
      <c r="BD33" s="321">
        <f t="shared" si="7"/>
        <v>0</v>
      </c>
      <c r="BE33" s="321">
        <f t="shared" si="7"/>
        <v>0</v>
      </c>
      <c r="BF33" s="320">
        <f t="shared" si="7"/>
        <v>0</v>
      </c>
      <c r="BG33" s="321">
        <f t="shared" si="7"/>
        <v>0</v>
      </c>
      <c r="BH33" s="321">
        <f t="shared" si="7"/>
        <v>0</v>
      </c>
      <c r="BI33" s="321">
        <f t="shared" si="7"/>
        <v>0</v>
      </c>
      <c r="BJ33" s="321">
        <f t="shared" si="7"/>
        <v>0</v>
      </c>
      <c r="BK33" s="321">
        <f t="shared" si="7"/>
        <v>0</v>
      </c>
      <c r="BL33" s="321">
        <f t="shared" si="7"/>
        <v>0</v>
      </c>
      <c r="BM33" s="321">
        <f t="shared" si="7"/>
        <v>0</v>
      </c>
      <c r="BN33" s="321">
        <f t="shared" si="7"/>
        <v>0</v>
      </c>
      <c r="BO33" s="321">
        <f t="shared" si="7"/>
        <v>0</v>
      </c>
      <c r="BP33" s="321">
        <f t="shared" si="7"/>
        <v>0</v>
      </c>
      <c r="BQ33" s="322">
        <f t="shared" si="7"/>
        <v>0</v>
      </c>
      <c r="BR33" s="321">
        <f t="shared" si="7"/>
        <v>0</v>
      </c>
      <c r="BS33" s="321">
        <f t="shared" si="7"/>
        <v>0</v>
      </c>
      <c r="BT33" s="321">
        <f t="shared" si="7"/>
        <v>0</v>
      </c>
      <c r="BU33" s="321">
        <f t="shared" si="7"/>
        <v>0</v>
      </c>
      <c r="BV33" s="321">
        <f t="shared" si="7"/>
        <v>0</v>
      </c>
      <c r="BW33" s="321">
        <f t="shared" si="7"/>
        <v>0</v>
      </c>
      <c r="BX33" s="321">
        <f t="shared" si="7"/>
        <v>0</v>
      </c>
      <c r="BY33" s="321">
        <f t="shared" si="7"/>
        <v>0</v>
      </c>
      <c r="BZ33" s="321">
        <f t="shared" si="7"/>
        <v>0</v>
      </c>
      <c r="CA33" s="321">
        <f t="shared" si="7"/>
        <v>0</v>
      </c>
      <c r="CB33" s="321">
        <f t="shared" si="7"/>
        <v>0</v>
      </c>
      <c r="CC33" s="322">
        <f t="shared" si="7"/>
        <v>0</v>
      </c>
    </row>
    <row r="34" spans="1:81" ht="15.75" customHeight="1">
      <c r="A34" s="352" t="s">
        <v>445</v>
      </c>
      <c r="B34" s="353"/>
      <c r="C34" s="328">
        <f>IF(C$5='Prévisionnel annuel'!$O$8,'Prévisionnel annuel'!$O$7,0)</f>
        <v>0</v>
      </c>
      <c r="D34" s="328">
        <f>IF(D$5='Prévisionnel annuel'!$O$8,'Prévisionnel annuel'!$O$7,0)</f>
        <v>0</v>
      </c>
      <c r="E34" s="328">
        <f>IF(E$5='Prévisionnel annuel'!$O$8,'Prévisionnel annuel'!$O$7,0)</f>
        <v>0</v>
      </c>
      <c r="F34" s="328">
        <f>IF(F$5='Prévisionnel annuel'!$O$8,'Prévisionnel annuel'!$O$7,0)</f>
        <v>0</v>
      </c>
      <c r="G34" s="328">
        <f>IF(G$5='Prévisionnel annuel'!$O$8,'Prévisionnel annuel'!$O$7,0)</f>
        <v>0</v>
      </c>
      <c r="H34" s="328">
        <f>IF(H$5='Prévisionnel annuel'!$O$8,'Prévisionnel annuel'!$O$7,0)</f>
        <v>0</v>
      </c>
      <c r="I34" s="328">
        <f>IF(I$5='Prévisionnel annuel'!$O$8,'Prévisionnel annuel'!$O$7,0)</f>
        <v>0</v>
      </c>
      <c r="J34" s="329">
        <f>IF(J$5='Prévisionnel annuel'!$O$8,'Prévisionnel annuel'!$O$7,0)</f>
        <v>0</v>
      </c>
      <c r="K34" s="328">
        <f>IF(K$5='Prévisionnel annuel'!$O$8,'Prévisionnel annuel'!$O$7,0)</f>
        <v>0</v>
      </c>
      <c r="L34" s="328">
        <f>IF(L$5='Prévisionnel annuel'!$O$8,'Prévisionnel annuel'!$O$7,0)</f>
        <v>0</v>
      </c>
      <c r="M34" s="328">
        <f>IF(M$5='Prévisionnel annuel'!$O$8,'Prévisionnel annuel'!$O$7,0)</f>
        <v>0</v>
      </c>
      <c r="N34" s="328">
        <f>IF(N$5='Prévisionnel annuel'!$O$8,'Prévisionnel annuel'!$O$7,0)</f>
        <v>0</v>
      </c>
      <c r="O34" s="328">
        <f>IF(O$5='Prévisionnel annuel'!$O$8,'Prévisionnel annuel'!$O$7,0)</f>
        <v>0</v>
      </c>
      <c r="P34" s="328">
        <f>IF(P$5='Prévisionnel annuel'!$O$8,'Prévisionnel annuel'!$O$7,0)</f>
        <v>0</v>
      </c>
      <c r="Q34" s="328">
        <f>IF(Q$5='Prévisionnel annuel'!$O$8,'Prévisionnel annuel'!$O$7,0)</f>
        <v>0</v>
      </c>
      <c r="R34" s="328">
        <f>IF(R$5='Prévisionnel annuel'!$O$8,'Prévisionnel annuel'!$O$7,0)</f>
        <v>0</v>
      </c>
      <c r="S34" s="328">
        <f>IF(S$5='Prévisionnel annuel'!$O$8,'Prévisionnel annuel'!$O$7,0)</f>
        <v>0</v>
      </c>
      <c r="T34" s="328">
        <f>IF(T$5='Prévisionnel annuel'!$O$8,'Prévisionnel annuel'!$O$7,0)</f>
        <v>0</v>
      </c>
      <c r="U34" s="330">
        <f>IF(U$5='Prévisionnel annuel'!$O$8,'Prévisionnel annuel'!$O$7,0)</f>
        <v>0</v>
      </c>
      <c r="V34" s="328">
        <f>IF(V$5='Prévisionnel annuel'!$O$8,'Prévisionnel annuel'!$O$7,0)</f>
        <v>0</v>
      </c>
      <c r="W34" s="328">
        <f>IF(W$5='Prévisionnel annuel'!$O$8,'Prévisionnel annuel'!$O$7,0)</f>
        <v>0</v>
      </c>
      <c r="X34" s="328">
        <f>IF(X$5='Prévisionnel annuel'!$O$8,'Prévisionnel annuel'!$O$7,0)</f>
        <v>0</v>
      </c>
      <c r="Y34" s="328">
        <f>IF(Y$5='Prévisionnel annuel'!$O$8,'Prévisionnel annuel'!$O$7,0)</f>
        <v>0</v>
      </c>
      <c r="Z34" s="328">
        <f>IF(Z$5='Prévisionnel annuel'!$O$8,'Prévisionnel annuel'!$O$7,0)</f>
        <v>0</v>
      </c>
      <c r="AA34" s="328">
        <f>IF(AA$5='Prévisionnel annuel'!$O$8,'Prévisionnel annuel'!$O$7,0)</f>
        <v>0</v>
      </c>
      <c r="AB34" s="328">
        <f>IF(AB$5='Prévisionnel annuel'!$O$8,'Prévisionnel annuel'!$O$7,0)</f>
        <v>0</v>
      </c>
      <c r="AC34" s="328">
        <f>IF(AC$5='Prévisionnel annuel'!$O$8,'Prévisionnel annuel'!$O$7,0)</f>
        <v>0</v>
      </c>
      <c r="AD34" s="328">
        <f>IF(AD$5='Prévisionnel annuel'!$O$8,'Prévisionnel annuel'!$O$7,0)</f>
        <v>0</v>
      </c>
      <c r="AE34" s="328">
        <f>IF(AE$5='Prévisionnel annuel'!$O$8,'Prévisionnel annuel'!$O$7,0)</f>
        <v>0</v>
      </c>
      <c r="AF34" s="328">
        <f>IF(AF$5='Prévisionnel annuel'!$O$8,'Prévisionnel annuel'!$O$7,0)</f>
        <v>0</v>
      </c>
      <c r="AG34" s="328">
        <f>IF(AG$5='Prévisionnel annuel'!$O$8,'Prévisionnel annuel'!$O$7,0)</f>
        <v>0</v>
      </c>
      <c r="AH34" s="329">
        <f>IF(AH$5='Prévisionnel annuel'!$O$8,'Prévisionnel annuel'!$O$7,0)</f>
        <v>0</v>
      </c>
      <c r="AI34" s="328">
        <f>IF(AI$5='Prévisionnel annuel'!$O$8,'Prévisionnel annuel'!$O$7,0)</f>
        <v>0</v>
      </c>
      <c r="AJ34" s="328">
        <f>IF(AJ$5='Prévisionnel annuel'!$O$8,'Prévisionnel annuel'!$O$7,0)</f>
        <v>0</v>
      </c>
      <c r="AK34" s="328">
        <f>IF(AK$5='Prévisionnel annuel'!$O$8,'Prévisionnel annuel'!$O$7,0)</f>
        <v>0</v>
      </c>
      <c r="AL34" s="328">
        <f>IF(AL$5='Prévisionnel annuel'!$O$8,'Prévisionnel annuel'!$O$7,0)</f>
        <v>0</v>
      </c>
      <c r="AM34" s="328">
        <f>IF(AM$5='Prévisionnel annuel'!$O$8,'Prévisionnel annuel'!$O$7,0)</f>
        <v>0</v>
      </c>
      <c r="AN34" s="328">
        <f>IF(AN$5='Prévisionnel annuel'!$O$8,'Prévisionnel annuel'!$O$7,0)</f>
        <v>0</v>
      </c>
      <c r="AO34" s="328">
        <f>IF(AO$5='Prévisionnel annuel'!$O$8,'Prévisionnel annuel'!$O$7,0)</f>
        <v>0</v>
      </c>
      <c r="AP34" s="328">
        <f>IF(AP$5='Prévisionnel annuel'!$O$8,'Prévisionnel annuel'!$O$7,0)</f>
        <v>0</v>
      </c>
      <c r="AQ34" s="328">
        <f>IF(AQ$5='Prévisionnel annuel'!$O$8,'Prévisionnel annuel'!$O$7,0)</f>
        <v>0</v>
      </c>
      <c r="AR34" s="328">
        <f>IF(AR$5='Prévisionnel annuel'!$O$8,'Prévisionnel annuel'!$O$7,0)</f>
        <v>0</v>
      </c>
      <c r="AS34" s="330">
        <f>IF(AS$5='Prévisionnel annuel'!$O$8,'Prévisionnel annuel'!$O$7,0)</f>
        <v>0</v>
      </c>
      <c r="AT34" s="328">
        <f>IF(AT$5='Prévisionnel annuel'!$O$8,'Prévisionnel annuel'!$O$7,0)</f>
        <v>0</v>
      </c>
      <c r="AU34" s="328">
        <f>IF(AU$5='Prévisionnel annuel'!$O$8,'Prévisionnel annuel'!$O$7,0)</f>
        <v>0</v>
      </c>
      <c r="AV34" s="328">
        <f>IF(AV$5='Prévisionnel annuel'!$O$8,'Prévisionnel annuel'!$O$7,0)</f>
        <v>0</v>
      </c>
      <c r="AW34" s="328">
        <f>IF(AW$5='Prévisionnel annuel'!$O$8,'Prévisionnel annuel'!$O$7,0)</f>
        <v>0</v>
      </c>
      <c r="AX34" s="328">
        <f>IF(AX$5='Prévisionnel annuel'!$O$8,'Prévisionnel annuel'!$O$7,0)</f>
        <v>0</v>
      </c>
      <c r="AY34" s="328">
        <f>IF(AY$5='Prévisionnel annuel'!$O$8,'Prévisionnel annuel'!$O$7,0)</f>
        <v>0</v>
      </c>
      <c r="AZ34" s="328">
        <f>IF(AZ$5='Prévisionnel annuel'!$O$8,'Prévisionnel annuel'!$O$7,0)</f>
        <v>0</v>
      </c>
      <c r="BA34" s="328">
        <f>IF(BA$5='Prévisionnel annuel'!$O$8,'Prévisionnel annuel'!$O$7,0)</f>
        <v>0</v>
      </c>
      <c r="BB34" s="328">
        <f>IF(BB$5='Prévisionnel annuel'!$O$8,'Prévisionnel annuel'!$O$7,0)</f>
        <v>0</v>
      </c>
      <c r="BC34" s="328">
        <f>IF(BC$5='Prévisionnel annuel'!$O$8,'Prévisionnel annuel'!$O$7,0)</f>
        <v>0</v>
      </c>
      <c r="BD34" s="328">
        <f>IF(BD$5='Prévisionnel annuel'!$O$8,'Prévisionnel annuel'!$O$7,0)</f>
        <v>0</v>
      </c>
      <c r="BE34" s="328">
        <f>IF(BE$5='Prévisionnel annuel'!$O$8,'Prévisionnel annuel'!$O$7,0)</f>
        <v>0</v>
      </c>
      <c r="BF34" s="329">
        <f>IF(BF$5='Prévisionnel annuel'!$O$8,'Prévisionnel annuel'!$O$7,0)</f>
        <v>0</v>
      </c>
      <c r="BG34" s="328">
        <f>IF(BG$5='Prévisionnel annuel'!$O$8,'Prévisionnel annuel'!$O$7,0)</f>
        <v>0</v>
      </c>
      <c r="BH34" s="328">
        <f>IF(BH$5='Prévisionnel annuel'!$O$8,'Prévisionnel annuel'!$O$7,0)</f>
        <v>0</v>
      </c>
      <c r="BI34" s="328">
        <f>IF(BI$5='Prévisionnel annuel'!$O$8,'Prévisionnel annuel'!$O$7,0)</f>
        <v>0</v>
      </c>
      <c r="BJ34" s="328">
        <f>IF(BJ$5='Prévisionnel annuel'!$O$8,'Prévisionnel annuel'!$O$7,0)</f>
        <v>0</v>
      </c>
      <c r="BK34" s="328">
        <f>IF(BK$5='Prévisionnel annuel'!$O$8,'Prévisionnel annuel'!$O$7,0)</f>
        <v>0</v>
      </c>
      <c r="BL34" s="328">
        <f>IF(BL$5='Prévisionnel annuel'!$O$8,'Prévisionnel annuel'!$O$7,0)</f>
        <v>0</v>
      </c>
      <c r="BM34" s="328">
        <f>IF(BM$5='Prévisionnel annuel'!$O$8,'Prévisionnel annuel'!$O$7,0)</f>
        <v>0</v>
      </c>
      <c r="BN34" s="328">
        <f>IF(BN$5='Prévisionnel annuel'!$O$8,'Prévisionnel annuel'!$O$7,0)</f>
        <v>0</v>
      </c>
      <c r="BO34" s="328">
        <f>IF(BO$5='Prévisionnel annuel'!$O$8,'Prévisionnel annuel'!$O$7,0)</f>
        <v>0</v>
      </c>
      <c r="BP34" s="328">
        <f>IF(BP$5='Prévisionnel annuel'!$O$8,'Prévisionnel annuel'!$O$7,0)</f>
        <v>0</v>
      </c>
      <c r="BQ34" s="330">
        <f>IF(BQ$5='Prévisionnel annuel'!$O$8,'Prévisionnel annuel'!$O$7,0)</f>
        <v>0</v>
      </c>
      <c r="BR34" s="328">
        <f>IF(BR$5='Prévisionnel annuel'!$O$8,'Prévisionnel annuel'!$O$7,0)</f>
        <v>0</v>
      </c>
      <c r="BS34" s="328">
        <f>IF(BS$5='Prévisionnel annuel'!$O$8,'Prévisionnel annuel'!$O$7,0)</f>
        <v>0</v>
      </c>
      <c r="BT34" s="328">
        <f>IF(BT$5='Prévisionnel annuel'!$O$8,'Prévisionnel annuel'!$O$7,0)</f>
        <v>0</v>
      </c>
      <c r="BU34" s="328">
        <f>IF(BU$5='Prévisionnel annuel'!$O$8,'Prévisionnel annuel'!$O$7,0)</f>
        <v>0</v>
      </c>
      <c r="BV34" s="328">
        <f>IF(BV$5='Prévisionnel annuel'!$O$8,'Prévisionnel annuel'!$O$7,0)</f>
        <v>0</v>
      </c>
      <c r="BW34" s="328">
        <f>IF(BW$5='Prévisionnel annuel'!$O$8,'Prévisionnel annuel'!$O$7,0)</f>
        <v>0</v>
      </c>
      <c r="BX34" s="328">
        <f>IF(BX$5='Prévisionnel annuel'!$O$8,'Prévisionnel annuel'!$O$7,0)</f>
        <v>0</v>
      </c>
      <c r="BY34" s="328">
        <f>IF(BY$5='Prévisionnel annuel'!$O$8,'Prévisionnel annuel'!$O$7,0)</f>
        <v>0</v>
      </c>
      <c r="BZ34" s="328">
        <f>IF(BZ$5='Prévisionnel annuel'!$O$8,'Prévisionnel annuel'!$O$7,0)</f>
        <v>0</v>
      </c>
      <c r="CA34" s="328">
        <f>IF(CA$5='Prévisionnel annuel'!$O$8,'Prévisionnel annuel'!$O$7,0)</f>
        <v>0</v>
      </c>
      <c r="CB34" s="328">
        <f>IF(CB$5='Prévisionnel annuel'!$O$8,'Prévisionnel annuel'!$O$7,0)</f>
        <v>0</v>
      </c>
      <c r="CC34" s="330">
        <f>IF(CC$5='Prévisionnel annuel'!$O$8,'Prévisionnel annuel'!$O$7,0)</f>
        <v>0</v>
      </c>
    </row>
    <row r="35" spans="1:81" ht="15.75" customHeight="1">
      <c r="A35" s="336"/>
      <c r="B35" s="338"/>
      <c r="C35" s="337"/>
      <c r="D35" s="337"/>
      <c r="E35" s="337"/>
      <c r="F35" s="337"/>
      <c r="G35" s="337"/>
      <c r="H35" s="337"/>
      <c r="I35" s="337"/>
      <c r="J35" s="336"/>
      <c r="K35" s="337"/>
      <c r="L35" s="337"/>
      <c r="M35" s="337"/>
      <c r="N35" s="337"/>
      <c r="O35" s="337"/>
      <c r="P35" s="337"/>
      <c r="Q35" s="337"/>
      <c r="R35" s="337"/>
      <c r="S35" s="337"/>
      <c r="T35" s="337"/>
      <c r="U35" s="338"/>
      <c r="V35" s="337"/>
      <c r="W35" s="337"/>
      <c r="X35" s="337"/>
      <c r="Y35" s="337"/>
      <c r="Z35" s="337"/>
      <c r="AA35" s="337"/>
      <c r="AB35" s="337"/>
      <c r="AC35" s="337"/>
      <c r="AD35" s="337"/>
      <c r="AE35" s="337"/>
      <c r="AF35" s="337"/>
      <c r="AG35" s="337"/>
      <c r="AH35" s="336"/>
      <c r="AI35" s="337"/>
      <c r="AJ35" s="337"/>
      <c r="AK35" s="337"/>
      <c r="AL35" s="337"/>
      <c r="AM35" s="337"/>
      <c r="AN35" s="337"/>
      <c r="AO35" s="337"/>
      <c r="AP35" s="337"/>
      <c r="AQ35" s="337"/>
      <c r="AR35" s="337"/>
      <c r="AS35" s="338"/>
      <c r="AT35" s="337"/>
      <c r="AU35" s="337"/>
      <c r="AV35" s="337"/>
      <c r="AW35" s="337"/>
      <c r="AX35" s="337"/>
      <c r="AY35" s="337"/>
      <c r="AZ35" s="337"/>
      <c r="BA35" s="337"/>
      <c r="BB35" s="337"/>
      <c r="BC35" s="337"/>
      <c r="BD35" s="337"/>
      <c r="BE35" s="337"/>
      <c r="BF35" s="336"/>
      <c r="BG35" s="337"/>
      <c r="BH35" s="337"/>
      <c r="BI35" s="337"/>
      <c r="BJ35" s="337"/>
      <c r="BK35" s="337"/>
      <c r="BL35" s="337"/>
      <c r="BM35" s="337"/>
      <c r="BN35" s="337"/>
      <c r="BO35" s="337"/>
      <c r="BP35" s="337"/>
      <c r="BQ35" s="338"/>
      <c r="BR35" s="337"/>
      <c r="BS35" s="337"/>
      <c r="BT35" s="337"/>
      <c r="BU35" s="337"/>
      <c r="BV35" s="337"/>
      <c r="BW35" s="337"/>
      <c r="BX35" s="337"/>
      <c r="BY35" s="337"/>
      <c r="BZ35" s="337"/>
      <c r="CA35" s="337"/>
      <c r="CB35" s="337"/>
      <c r="CC35" s="338"/>
    </row>
    <row r="36" spans="1:81" ht="15.75" customHeight="1">
      <c r="A36" s="624"/>
      <c r="B36" s="625"/>
      <c r="C36" s="626"/>
      <c r="D36" s="626"/>
      <c r="E36" s="626"/>
      <c r="F36" s="626"/>
      <c r="G36" s="626"/>
      <c r="H36" s="626"/>
      <c r="I36" s="626"/>
      <c r="J36" s="627"/>
      <c r="K36" s="626"/>
      <c r="L36" s="626"/>
      <c r="M36" s="626"/>
      <c r="N36" s="626"/>
      <c r="O36" s="626"/>
      <c r="P36" s="626"/>
      <c r="Q36" s="626"/>
      <c r="R36" s="626"/>
      <c r="S36" s="626"/>
      <c r="T36" s="626"/>
      <c r="U36" s="625"/>
      <c r="V36" s="626"/>
      <c r="W36" s="626"/>
      <c r="X36" s="626"/>
      <c r="Y36" s="626"/>
      <c r="Z36" s="626"/>
      <c r="AA36" s="626"/>
      <c r="AB36" s="626"/>
      <c r="AC36" s="626"/>
      <c r="AD36" s="626"/>
      <c r="AE36" s="626"/>
      <c r="AF36" s="626"/>
      <c r="AG36" s="626"/>
      <c r="AH36" s="627"/>
      <c r="AI36" s="626"/>
      <c r="AJ36" s="626"/>
      <c r="AK36" s="626"/>
      <c r="AL36" s="626"/>
      <c r="AM36" s="626"/>
      <c r="AN36" s="626"/>
      <c r="AO36" s="626"/>
      <c r="AP36" s="626"/>
      <c r="AQ36" s="626"/>
      <c r="AR36" s="626"/>
      <c r="AS36" s="625"/>
      <c r="AT36" s="626"/>
      <c r="AU36" s="626"/>
      <c r="AV36" s="626"/>
      <c r="AW36" s="626"/>
      <c r="AX36" s="626"/>
      <c r="AY36" s="626"/>
      <c r="AZ36" s="626"/>
      <c r="BA36" s="626"/>
      <c r="BB36" s="626"/>
      <c r="BC36" s="626"/>
      <c r="BD36" s="626"/>
      <c r="BE36" s="626"/>
      <c r="BF36" s="627"/>
      <c r="BG36" s="626"/>
      <c r="BH36" s="626"/>
      <c r="BI36" s="626"/>
      <c r="BJ36" s="626"/>
      <c r="BK36" s="626"/>
      <c r="BL36" s="626"/>
      <c r="BM36" s="626"/>
      <c r="BN36" s="626"/>
      <c r="BO36" s="626"/>
      <c r="BP36" s="626"/>
      <c r="BQ36" s="625"/>
      <c r="BR36" s="626"/>
      <c r="BS36" s="626"/>
      <c r="BT36" s="626"/>
      <c r="BU36" s="626"/>
      <c r="BV36" s="626"/>
      <c r="BW36" s="626"/>
      <c r="BX36" s="626"/>
      <c r="BY36" s="626"/>
      <c r="BZ36" s="626"/>
      <c r="CA36" s="626"/>
      <c r="CB36" s="626"/>
      <c r="CC36" s="625"/>
    </row>
    <row r="37" spans="1:81" ht="15.75" customHeight="1">
      <c r="A37" s="52" t="s">
        <v>446</v>
      </c>
      <c r="B37" s="131"/>
      <c r="C37" s="130"/>
      <c r="D37" s="130"/>
      <c r="E37" s="130"/>
      <c r="F37" s="130"/>
      <c r="G37" s="130"/>
      <c r="H37" s="130"/>
      <c r="I37" s="130"/>
      <c r="J37" s="129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1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29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1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29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1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1"/>
    </row>
    <row r="38" spans="1:81" ht="15.75" customHeight="1">
      <c r="A38" s="336" t="s">
        <v>447</v>
      </c>
      <c r="B38" s="338" t="s">
        <v>448</v>
      </c>
      <c r="C38" s="337"/>
      <c r="D38" s="337"/>
      <c r="E38" s="337"/>
      <c r="F38" s="337"/>
      <c r="G38" s="337"/>
      <c r="H38" s="337"/>
      <c r="I38" s="337"/>
      <c r="J38" s="336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8"/>
      <c r="V38" s="337"/>
      <c r="W38" s="337"/>
      <c r="X38" s="337"/>
      <c r="Y38" s="337"/>
      <c r="Z38" s="337"/>
      <c r="AA38" s="337">
        <v>-210382</v>
      </c>
      <c r="AB38" s="337"/>
      <c r="AC38" s="337"/>
      <c r="AD38" s="337"/>
      <c r="AE38" s="337"/>
      <c r="AF38" s="337"/>
      <c r="AG38" s="337"/>
      <c r="AH38" s="336"/>
      <c r="AI38" s="337"/>
      <c r="AJ38" s="337"/>
      <c r="AK38" s="337"/>
      <c r="AL38" s="337"/>
      <c r="AM38" s="337"/>
      <c r="AN38" s="337"/>
      <c r="AO38" s="337"/>
      <c r="AP38" s="337"/>
      <c r="AQ38" s="337"/>
      <c r="AR38" s="337"/>
      <c r="AS38" s="338"/>
      <c r="AT38" s="337"/>
      <c r="AU38" s="337"/>
      <c r="AV38" s="337"/>
      <c r="AW38" s="337"/>
      <c r="AX38" s="337"/>
      <c r="AY38" s="337"/>
      <c r="AZ38" s="337"/>
      <c r="BA38" s="337"/>
      <c r="BB38" s="337"/>
      <c r="BC38" s="337"/>
      <c r="BD38" s="337"/>
      <c r="BE38" s="337"/>
      <c r="BF38" s="336"/>
      <c r="BG38" s="337"/>
      <c r="BH38" s="337"/>
      <c r="BI38" s="337"/>
      <c r="BJ38" s="337"/>
      <c r="BK38" s="337"/>
      <c r="BL38" s="337"/>
      <c r="BM38" s="337"/>
      <c r="BN38" s="337"/>
      <c r="BO38" s="337"/>
      <c r="BP38" s="337"/>
      <c r="BQ38" s="338"/>
      <c r="BR38" s="337"/>
      <c r="BS38" s="337"/>
      <c r="BT38" s="337"/>
      <c r="BU38" s="337"/>
      <c r="BV38" s="337"/>
      <c r="BW38" s="337"/>
      <c r="BX38" s="337"/>
      <c r="BY38" s="337"/>
      <c r="BZ38" s="337"/>
      <c r="CA38" s="337"/>
      <c r="CB38" s="337"/>
      <c r="CC38" s="338"/>
    </row>
    <row r="39" spans="1:81" ht="15.75" customHeight="1">
      <c r="A39" s="37" t="s">
        <v>449</v>
      </c>
      <c r="B39" s="114"/>
      <c r="C39" s="32"/>
      <c r="D39" s="113"/>
      <c r="E39" s="113"/>
      <c r="F39" s="628">
        <v>120000</v>
      </c>
      <c r="G39" s="113"/>
      <c r="H39" s="113"/>
      <c r="I39" s="114"/>
      <c r="J39" s="32"/>
      <c r="K39" s="113"/>
      <c r="L39" s="343">
        <f>-(SUM('Couts RH'!J11:U11)*(1+'Annexe A  Plan RH'!$C$99)+CAPEX!J8)*25%</f>
        <v>92760.9375</v>
      </c>
      <c r="M39" s="113"/>
      <c r="N39" s="113"/>
      <c r="O39" s="113"/>
      <c r="P39" s="113"/>
      <c r="Q39" s="113"/>
      <c r="R39" s="113"/>
      <c r="S39" s="113"/>
      <c r="T39" s="113"/>
      <c r="U39" s="114"/>
      <c r="V39" s="32"/>
      <c r="W39" s="113"/>
      <c r="X39" s="343">
        <f>-(SUM('Couts RH'!V11:AG11)*(1+'Annexe A  Plan RH'!$C$99)+CAPEX!V9)*25%</f>
        <v>114089.0625</v>
      </c>
      <c r="Y39" s="113"/>
      <c r="Z39" s="113"/>
      <c r="AA39" s="113"/>
      <c r="AB39" s="113"/>
      <c r="AC39" s="113"/>
      <c r="AD39" s="113"/>
      <c r="AE39" s="113"/>
      <c r="AF39" s="113"/>
      <c r="AG39" s="114"/>
      <c r="AH39" s="32"/>
      <c r="AI39" s="113"/>
      <c r="AJ39" s="343">
        <f>-(SUM('Couts RH'!AH11:AS11)*(1+'Annexe A  Plan RH'!$C$99)+CAPEX!AH10)*25%</f>
        <v>114089.0625</v>
      </c>
      <c r="AK39" s="113"/>
      <c r="AL39" s="113"/>
      <c r="AM39" s="113"/>
      <c r="AN39" s="113"/>
      <c r="AO39" s="113"/>
      <c r="AP39" s="113"/>
      <c r="AQ39" s="113"/>
      <c r="AR39" s="113"/>
      <c r="AS39" s="114"/>
      <c r="AT39" s="32"/>
      <c r="AU39" s="113"/>
      <c r="AV39" s="343">
        <f>-(SUM('Couts RH'!AT11:BE11)*(1+'Annexe A  Plan RH'!$C$99)+CAPEX!AT8)*25%</f>
        <v>138963.4375</v>
      </c>
      <c r="AW39" s="113"/>
      <c r="AX39" s="113"/>
      <c r="AY39" s="113"/>
      <c r="AZ39" s="113"/>
      <c r="BA39" s="113"/>
      <c r="BB39" s="113"/>
      <c r="BC39" s="113"/>
      <c r="BD39" s="113"/>
      <c r="BE39" s="114"/>
      <c r="BF39" s="32"/>
      <c r="BG39" s="113"/>
      <c r="BH39" s="343">
        <f>-(SUM('Couts RH'!BF11:BQ11)*(1+'Annexe A  Plan RH'!$C$99)+CAPEX!BF8)*25%</f>
        <v>235737.09765624997</v>
      </c>
      <c r="BI39" s="113"/>
      <c r="BJ39" s="113"/>
      <c r="BK39" s="113"/>
      <c r="BL39" s="113"/>
      <c r="BM39" s="113"/>
      <c r="BN39" s="113"/>
      <c r="BO39" s="113"/>
      <c r="BP39" s="113"/>
      <c r="BQ39" s="114"/>
      <c r="BR39" s="32"/>
      <c r="BS39" s="113"/>
      <c r="BT39" s="343">
        <f>-(SUM('Couts RH'!BR11:CC11)*(1+'Annexe A  Plan RH'!$C$99)+CAPEX!BR8)*25%</f>
        <v>313051.37441406248</v>
      </c>
      <c r="BU39" s="113"/>
      <c r="BV39" s="113"/>
      <c r="BW39" s="113"/>
      <c r="BX39" s="113"/>
      <c r="BY39" s="113"/>
      <c r="BZ39" s="113"/>
      <c r="CA39" s="113"/>
      <c r="CB39" s="113"/>
      <c r="CC39" s="114"/>
    </row>
    <row r="40" spans="1:81" ht="15.75" customHeight="1">
      <c r="A40" s="43"/>
      <c r="B40" s="121"/>
      <c r="C40" s="43"/>
      <c r="D40" s="120"/>
      <c r="E40" s="120"/>
      <c r="F40" s="120"/>
      <c r="G40" s="120"/>
      <c r="H40" s="120"/>
      <c r="I40" s="121"/>
      <c r="J40" s="43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1"/>
      <c r="V40" s="43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1"/>
      <c r="AH40" s="43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1"/>
      <c r="AT40" s="43"/>
      <c r="AU40" s="120"/>
      <c r="AV40" s="120"/>
      <c r="AW40" s="120"/>
      <c r="AX40" s="120"/>
      <c r="AY40" s="120"/>
      <c r="AZ40" s="120"/>
      <c r="BA40" s="120"/>
      <c r="BB40" s="120"/>
      <c r="BC40" s="120"/>
      <c r="BD40" s="120"/>
      <c r="BE40" s="121"/>
      <c r="BF40" s="43"/>
      <c r="BG40" s="120"/>
      <c r="BH40" s="120"/>
      <c r="BI40" s="120"/>
      <c r="BJ40" s="120"/>
      <c r="BK40" s="120"/>
      <c r="BL40" s="120"/>
      <c r="BM40" s="120"/>
      <c r="BN40" s="120"/>
      <c r="BO40" s="120"/>
      <c r="BP40" s="120"/>
      <c r="BQ40" s="121"/>
      <c r="BR40" s="43"/>
      <c r="BS40" s="120"/>
      <c r="BT40" s="120"/>
      <c r="BU40" s="120"/>
      <c r="BV40" s="120"/>
      <c r="BW40" s="120"/>
      <c r="BX40" s="120"/>
      <c r="BY40" s="120"/>
      <c r="BZ40" s="120"/>
      <c r="CA40" s="120"/>
      <c r="CB40" s="120"/>
      <c r="CC40" s="121"/>
    </row>
    <row r="41" spans="1:81" ht="15.75" customHeight="1">
      <c r="A41" s="55" t="s">
        <v>427</v>
      </c>
      <c r="B41" s="199"/>
      <c r="C41" s="381">
        <f t="shared" ref="C41:CC41" si="8">C39+C37+C33+C6</f>
        <v>-6978.5</v>
      </c>
      <c r="D41" s="379">
        <f t="shared" si="8"/>
        <v>-787</v>
      </c>
      <c r="E41" s="379">
        <f t="shared" si="8"/>
        <v>-787</v>
      </c>
      <c r="F41" s="379">
        <f t="shared" si="8"/>
        <v>112290.5</v>
      </c>
      <c r="G41" s="379">
        <f t="shared" si="8"/>
        <v>-787</v>
      </c>
      <c r="H41" s="379">
        <f t="shared" si="8"/>
        <v>-787</v>
      </c>
      <c r="I41" s="379">
        <f t="shared" si="8"/>
        <v>-12651.5</v>
      </c>
      <c r="J41" s="379">
        <f t="shared" si="8"/>
        <v>-787</v>
      </c>
      <c r="K41" s="379">
        <f t="shared" si="8"/>
        <v>-787</v>
      </c>
      <c r="L41" s="379">
        <f t="shared" si="8"/>
        <v>380225.9375</v>
      </c>
      <c r="M41" s="379">
        <f t="shared" si="8"/>
        <v>-2037</v>
      </c>
      <c r="N41" s="379">
        <f t="shared" si="8"/>
        <v>-2037</v>
      </c>
      <c r="O41" s="379">
        <f t="shared" si="8"/>
        <v>-13668</v>
      </c>
      <c r="P41" s="379">
        <f t="shared" si="8"/>
        <v>-2037</v>
      </c>
      <c r="Q41" s="379">
        <f t="shared" si="8"/>
        <v>-2037</v>
      </c>
      <c r="R41" s="379">
        <f t="shared" si="8"/>
        <v>-13552</v>
      </c>
      <c r="S41" s="379">
        <f t="shared" si="8"/>
        <v>-2037</v>
      </c>
      <c r="T41" s="379">
        <f t="shared" si="8"/>
        <v>-2037</v>
      </c>
      <c r="U41" s="379">
        <f t="shared" si="8"/>
        <v>-13437</v>
      </c>
      <c r="V41" s="379">
        <f t="shared" si="8"/>
        <v>-2037</v>
      </c>
      <c r="W41" s="379">
        <f t="shared" si="8"/>
        <v>-1250</v>
      </c>
      <c r="X41" s="379">
        <f t="shared" si="8"/>
        <v>101556.0625</v>
      </c>
      <c r="Y41" s="379">
        <f t="shared" si="8"/>
        <v>-1250</v>
      </c>
      <c r="Z41" s="379">
        <f t="shared" si="8"/>
        <v>-1250</v>
      </c>
      <c r="AA41" s="379">
        <f t="shared" si="8"/>
        <v>-222799</v>
      </c>
      <c r="AB41" s="379">
        <f t="shared" si="8"/>
        <v>-1250</v>
      </c>
      <c r="AC41" s="379">
        <f t="shared" si="8"/>
        <v>-1250</v>
      </c>
      <c r="AD41" s="379">
        <f t="shared" si="8"/>
        <v>-12301</v>
      </c>
      <c r="AE41" s="379">
        <f t="shared" si="8"/>
        <v>-1250</v>
      </c>
      <c r="AF41" s="379">
        <f t="shared" si="8"/>
        <v>-1250</v>
      </c>
      <c r="AG41" s="379">
        <f t="shared" si="8"/>
        <v>-12185</v>
      </c>
      <c r="AH41" s="379">
        <f t="shared" si="8"/>
        <v>-1250</v>
      </c>
      <c r="AI41" s="379">
        <f t="shared" si="8"/>
        <v>-1250</v>
      </c>
      <c r="AJ41" s="379">
        <f t="shared" si="8"/>
        <v>102021.0625</v>
      </c>
      <c r="AK41" s="379">
        <f t="shared" si="8"/>
        <v>-1250</v>
      </c>
      <c r="AL41" s="379">
        <f t="shared" si="8"/>
        <v>-1250</v>
      </c>
      <c r="AM41" s="379">
        <f t="shared" si="8"/>
        <v>-11952</v>
      </c>
      <c r="AN41" s="379">
        <f t="shared" si="8"/>
        <v>-1250</v>
      </c>
      <c r="AO41" s="379">
        <f t="shared" si="8"/>
        <v>-1250</v>
      </c>
      <c r="AP41" s="379">
        <f t="shared" si="8"/>
        <v>-11836</v>
      </c>
      <c r="AQ41" s="379">
        <f t="shared" si="8"/>
        <v>-1250</v>
      </c>
      <c r="AR41" s="379">
        <f t="shared" si="8"/>
        <v>-1250</v>
      </c>
      <c r="AS41" s="379">
        <f t="shared" si="8"/>
        <v>-6721</v>
      </c>
      <c r="AT41" s="379">
        <f t="shared" si="8"/>
        <v>-1250</v>
      </c>
      <c r="AU41" s="379">
        <f t="shared" si="8"/>
        <v>-1250</v>
      </c>
      <c r="AV41" s="379">
        <f t="shared" si="8"/>
        <v>132301.4375</v>
      </c>
      <c r="AW41" s="379">
        <f t="shared" si="8"/>
        <v>-9548.6111111111113</v>
      </c>
      <c r="AX41" s="379">
        <f t="shared" si="8"/>
        <v>-9513.8888888888887</v>
      </c>
      <c r="AY41" s="379">
        <f t="shared" si="8"/>
        <v>-14832.166666666668</v>
      </c>
      <c r="AZ41" s="379">
        <f t="shared" si="8"/>
        <v>-9444.4444444444453</v>
      </c>
      <c r="BA41" s="379">
        <f t="shared" si="8"/>
        <v>-9409.7222222222226</v>
      </c>
      <c r="BB41" s="379">
        <f t="shared" si="8"/>
        <v>-14669</v>
      </c>
      <c r="BC41" s="379">
        <f t="shared" si="8"/>
        <v>-9340.2777777777792</v>
      </c>
      <c r="BD41" s="379">
        <f t="shared" si="8"/>
        <v>-9305.5555555555566</v>
      </c>
      <c r="BE41" s="379">
        <f t="shared" si="8"/>
        <v>-14505.833333333334</v>
      </c>
      <c r="BF41" s="379">
        <f t="shared" si="8"/>
        <v>-9236.1111111111113</v>
      </c>
      <c r="BG41" s="379">
        <f t="shared" si="8"/>
        <v>-9201.3888888888905</v>
      </c>
      <c r="BH41" s="379">
        <f t="shared" si="8"/>
        <v>221394.43098958331</v>
      </c>
      <c r="BI41" s="379">
        <f t="shared" si="8"/>
        <v>-9131.9444444444453</v>
      </c>
      <c r="BJ41" s="379">
        <f t="shared" si="8"/>
        <v>-9097.2222222222226</v>
      </c>
      <c r="BK41" s="379">
        <f t="shared" si="8"/>
        <v>-14240</v>
      </c>
      <c r="BL41" s="379">
        <f t="shared" si="8"/>
        <v>-9027.7777777777792</v>
      </c>
      <c r="BM41" s="379">
        <f t="shared" si="8"/>
        <v>-8993.0555555555566</v>
      </c>
      <c r="BN41" s="379">
        <f t="shared" si="8"/>
        <v>-14016.333333333334</v>
      </c>
      <c r="BO41" s="379">
        <f t="shared" si="8"/>
        <v>-8923.6111111111113</v>
      </c>
      <c r="BP41" s="379">
        <f t="shared" si="8"/>
        <v>-8888.8888888888887</v>
      </c>
      <c r="BQ41" s="379">
        <f t="shared" si="8"/>
        <v>-8854.1666666666679</v>
      </c>
      <c r="BR41" s="379">
        <f t="shared" si="8"/>
        <v>-8819.4444444444453</v>
      </c>
      <c r="BS41" s="379">
        <f t="shared" si="8"/>
        <v>-8784.7222222222226</v>
      </c>
      <c r="BT41" s="379">
        <f t="shared" si="8"/>
        <v>304301.37441406248</v>
      </c>
      <c r="BU41" s="379">
        <f t="shared" si="8"/>
        <v>-8715.2777777777774</v>
      </c>
      <c r="BV41" s="379">
        <f t="shared" si="8"/>
        <v>-8680.5555555555566</v>
      </c>
      <c r="BW41" s="379">
        <f t="shared" si="8"/>
        <v>-8645.8333333333339</v>
      </c>
      <c r="BX41" s="379">
        <f t="shared" si="8"/>
        <v>-8611.1111111111113</v>
      </c>
      <c r="BY41" s="379">
        <f t="shared" si="8"/>
        <v>-8576.3888888888887</v>
      </c>
      <c r="BZ41" s="379">
        <f t="shared" si="8"/>
        <v>-8541.6666666666661</v>
      </c>
      <c r="CA41" s="379">
        <f t="shared" si="8"/>
        <v>-8506.9444444444453</v>
      </c>
      <c r="CB41" s="379">
        <f t="shared" si="8"/>
        <v>-8472.2222222222226</v>
      </c>
      <c r="CC41" s="380">
        <f t="shared" si="8"/>
        <v>-8437.5</v>
      </c>
    </row>
  </sheetData>
  <mergeCells count="7">
    <mergeCell ref="BF4:BQ4"/>
    <mergeCell ref="BR4:CC4"/>
    <mergeCell ref="C4:I4"/>
    <mergeCell ref="J4:U4"/>
    <mergeCell ref="V4:AG4"/>
    <mergeCell ref="AH4:AS4"/>
    <mergeCell ref="AT4:BE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D25"/>
  <sheetViews>
    <sheetView workbookViewId="0"/>
  </sheetViews>
  <sheetFormatPr baseColWidth="10" defaultColWidth="12.6640625" defaultRowHeight="15.75" customHeight="1"/>
  <cols>
    <col min="1" max="1" width="29.1640625" customWidth="1"/>
  </cols>
  <sheetData>
    <row r="1" spans="1:82" ht="15.75" customHeight="1">
      <c r="A1" s="11" t="s">
        <v>450</v>
      </c>
    </row>
    <row r="3" spans="1:82" ht="15">
      <c r="A3" s="61"/>
      <c r="B3" s="61"/>
      <c r="C3" s="703">
        <v>2025</v>
      </c>
      <c r="D3" s="709"/>
      <c r="E3" s="709"/>
      <c r="F3" s="709"/>
      <c r="G3" s="709"/>
      <c r="H3" s="709"/>
      <c r="I3" s="704"/>
      <c r="J3" s="710">
        <v>2026</v>
      </c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4"/>
      <c r="V3" s="710">
        <v>2027</v>
      </c>
      <c r="W3" s="709"/>
      <c r="X3" s="709"/>
      <c r="Y3" s="709"/>
      <c r="Z3" s="709"/>
      <c r="AA3" s="709"/>
      <c r="AB3" s="709"/>
      <c r="AC3" s="709"/>
      <c r="AD3" s="709"/>
      <c r="AE3" s="709"/>
      <c r="AF3" s="709"/>
      <c r="AG3" s="704"/>
      <c r="AH3" s="710">
        <v>2028</v>
      </c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4"/>
      <c r="AT3" s="710">
        <v>2029</v>
      </c>
      <c r="AU3" s="709"/>
      <c r="AV3" s="709"/>
      <c r="AW3" s="709"/>
      <c r="AX3" s="709"/>
      <c r="AY3" s="709"/>
      <c r="AZ3" s="709"/>
      <c r="BA3" s="709"/>
      <c r="BB3" s="709"/>
      <c r="BC3" s="709"/>
      <c r="BD3" s="709"/>
      <c r="BE3" s="704"/>
      <c r="BF3" s="711">
        <v>2030</v>
      </c>
      <c r="BG3" s="709"/>
      <c r="BH3" s="709"/>
      <c r="BI3" s="709"/>
      <c r="BJ3" s="709"/>
      <c r="BK3" s="709"/>
      <c r="BL3" s="709"/>
      <c r="BM3" s="709"/>
      <c r="BN3" s="709"/>
      <c r="BO3" s="709"/>
      <c r="BP3" s="709"/>
      <c r="BQ3" s="704"/>
      <c r="BR3" s="713">
        <v>2031</v>
      </c>
      <c r="BS3" s="714"/>
      <c r="BT3" s="714"/>
      <c r="BU3" s="714"/>
      <c r="BV3" s="714"/>
      <c r="BW3" s="714"/>
      <c r="BX3" s="714"/>
      <c r="BY3" s="714"/>
      <c r="BZ3" s="714"/>
      <c r="CA3" s="714"/>
      <c r="CB3" s="714"/>
      <c r="CC3" s="715"/>
      <c r="CD3" s="166"/>
    </row>
    <row r="4" spans="1:82" ht="15.75" customHeight="1">
      <c r="A4" s="61"/>
      <c r="B4" s="62"/>
      <c r="C4" s="602">
        <v>45809</v>
      </c>
      <c r="D4" s="174">
        <v>45839</v>
      </c>
      <c r="E4" s="174">
        <v>45870</v>
      </c>
      <c r="F4" s="174">
        <v>45901</v>
      </c>
      <c r="G4" s="174">
        <v>45931</v>
      </c>
      <c r="H4" s="174">
        <v>45962</v>
      </c>
      <c r="I4" s="603">
        <v>45992</v>
      </c>
      <c r="J4" s="172">
        <v>46023</v>
      </c>
      <c r="K4" s="171">
        <v>46054</v>
      </c>
      <c r="L4" s="171">
        <v>46082</v>
      </c>
      <c r="M4" s="171">
        <v>46113</v>
      </c>
      <c r="N4" s="171">
        <v>46143</v>
      </c>
      <c r="O4" s="171">
        <v>46174</v>
      </c>
      <c r="P4" s="171">
        <v>46204</v>
      </c>
      <c r="Q4" s="171">
        <v>46235</v>
      </c>
      <c r="R4" s="171">
        <v>46266</v>
      </c>
      <c r="S4" s="171">
        <v>46296</v>
      </c>
      <c r="T4" s="171">
        <v>46327</v>
      </c>
      <c r="U4" s="173">
        <v>46357</v>
      </c>
      <c r="V4" s="172">
        <v>46388</v>
      </c>
      <c r="W4" s="171">
        <v>46419</v>
      </c>
      <c r="X4" s="171">
        <v>46447</v>
      </c>
      <c r="Y4" s="171">
        <v>46478</v>
      </c>
      <c r="Z4" s="171">
        <v>46508</v>
      </c>
      <c r="AA4" s="171">
        <v>46539</v>
      </c>
      <c r="AB4" s="171">
        <v>46569</v>
      </c>
      <c r="AC4" s="171">
        <v>46600</v>
      </c>
      <c r="AD4" s="171">
        <v>46631</v>
      </c>
      <c r="AE4" s="171">
        <v>46661</v>
      </c>
      <c r="AF4" s="171">
        <v>46692</v>
      </c>
      <c r="AG4" s="173">
        <v>46722</v>
      </c>
      <c r="AH4" s="172">
        <v>46753</v>
      </c>
      <c r="AI4" s="171">
        <v>46784</v>
      </c>
      <c r="AJ4" s="171">
        <v>46813</v>
      </c>
      <c r="AK4" s="171">
        <v>46844</v>
      </c>
      <c r="AL4" s="171">
        <v>46874</v>
      </c>
      <c r="AM4" s="171">
        <v>46905</v>
      </c>
      <c r="AN4" s="171">
        <v>46935</v>
      </c>
      <c r="AO4" s="171">
        <v>46966</v>
      </c>
      <c r="AP4" s="171">
        <v>46997</v>
      </c>
      <c r="AQ4" s="171">
        <v>47027</v>
      </c>
      <c r="AR4" s="171">
        <v>47058</v>
      </c>
      <c r="AS4" s="173">
        <v>47088</v>
      </c>
      <c r="AT4" s="172">
        <v>47119</v>
      </c>
      <c r="AU4" s="171">
        <v>47150</v>
      </c>
      <c r="AV4" s="171">
        <v>47178</v>
      </c>
      <c r="AW4" s="171">
        <v>47209</v>
      </c>
      <c r="AX4" s="171">
        <v>47239</v>
      </c>
      <c r="AY4" s="171">
        <v>47270</v>
      </c>
      <c r="AZ4" s="171">
        <v>47300</v>
      </c>
      <c r="BA4" s="171">
        <v>47331</v>
      </c>
      <c r="BB4" s="171">
        <v>47362</v>
      </c>
      <c r="BC4" s="171">
        <v>47392</v>
      </c>
      <c r="BD4" s="171">
        <v>47423</v>
      </c>
      <c r="BE4" s="173">
        <v>47453</v>
      </c>
      <c r="BF4" s="172">
        <v>47484</v>
      </c>
      <c r="BG4" s="171">
        <v>47515</v>
      </c>
      <c r="BH4" s="171">
        <v>47543</v>
      </c>
      <c r="BI4" s="171">
        <v>47574</v>
      </c>
      <c r="BJ4" s="171">
        <v>47604</v>
      </c>
      <c r="BK4" s="171">
        <v>47635</v>
      </c>
      <c r="BL4" s="171">
        <v>47665</v>
      </c>
      <c r="BM4" s="171">
        <v>47696</v>
      </c>
      <c r="BN4" s="171">
        <v>47727</v>
      </c>
      <c r="BO4" s="171">
        <v>47757</v>
      </c>
      <c r="BP4" s="171">
        <v>47788</v>
      </c>
      <c r="BQ4" s="173">
        <v>47818</v>
      </c>
      <c r="BR4" s="168">
        <v>47849</v>
      </c>
      <c r="BS4" s="169">
        <v>47880</v>
      </c>
      <c r="BT4" s="169">
        <v>47908</v>
      </c>
      <c r="BU4" s="169">
        <v>47939</v>
      </c>
      <c r="BV4" s="169">
        <v>47969</v>
      </c>
      <c r="BW4" s="169">
        <v>48000</v>
      </c>
      <c r="BX4" s="169">
        <v>48030</v>
      </c>
      <c r="BY4" s="169">
        <v>48061</v>
      </c>
      <c r="BZ4" s="169">
        <v>48092</v>
      </c>
      <c r="CA4" s="169">
        <v>48122</v>
      </c>
      <c r="CB4" s="169">
        <v>48153</v>
      </c>
      <c r="CC4" s="170">
        <v>48183</v>
      </c>
      <c r="CD4" s="174"/>
    </row>
    <row r="5" spans="1:82" ht="15.75" customHeight="1">
      <c r="A5" s="32" t="s">
        <v>451</v>
      </c>
      <c r="B5" s="114"/>
      <c r="C5" s="629"/>
      <c r="D5" s="340">
        <f ca="1">-(OFFSET('Annexe H  Métriques Géographiqu'!D4,0,-$C$24)*$B$18+OFFSET('Annexe H  Métriques Géographiqu'!D5,0,-$C$24)*$C$18+OFFSET('Annexe H  Métriques Géographiqu'!D6,0,-$C$24)*$D$18+OFFSET('Annexe H  Métriques Géographiqu'!D7,0,-$C$24)*$E$18+OFFSET('Annexe H  Métriques Géographiqu'!D8,0,-$C$24)*$F$18)</f>
        <v>-10562.713661631919</v>
      </c>
      <c r="E5" s="340">
        <f ca="1">-(OFFSET('Annexe H  Métriques Géographiqu'!E4,0,-$C$24)*$B$18+OFFSET('Annexe H  Métriques Géographiqu'!E5,0,-$C$24)*$C$18+OFFSET('Annexe H  Métriques Géographiqu'!E6,0,-$C$24)*$D$18+OFFSET('Annexe H  Métriques Géographiqu'!E7,0,-$C$24)*$E$18+OFFSET('Annexe H  Métriques Géographiqu'!E8,0,-$C$24)*$F$18)</f>
        <v>-10842.597438032797</v>
      </c>
      <c r="F5" s="340">
        <f ca="1">-(OFFSET('Annexe H  Métriques Géographiqu'!F4,0,-$C$24)*$B$18+OFFSET('Annexe H  Métriques Géographiqu'!F5,0,-$C$24)*$C$18+OFFSET('Annexe H  Métriques Géographiqu'!F6,0,-$C$24)*$D$18+OFFSET('Annexe H  Métriques Géographiqu'!F7,0,-$C$24)*$E$18+OFFSET('Annexe H  Métriques Géographiqu'!F8,0,-$C$24)*$F$18)</f>
        <v>-11056.632513711655</v>
      </c>
      <c r="G5" s="340">
        <f ca="1">-(OFFSET('Annexe H  Métriques Géographiqu'!G4,0,-$C$24)*$B$18+OFFSET('Annexe H  Métriques Géographiqu'!G5,0,-$C$24)*$C$18+OFFSET('Annexe H  Métriques Géographiqu'!G6,0,-$C$24)*$D$18+OFFSET('Annexe H  Métriques Géographiqu'!G7,0,-$C$24)*$E$18+OFFSET('Annexe H  Métriques Géographiqu'!G8,0,-$C$24)*$F$18)</f>
        <v>-11266.531332454657</v>
      </c>
      <c r="H5" s="340">
        <f ca="1">-(OFFSET('Annexe H  Métriques Géographiqu'!H4,0,-$C$24)*$B$18+OFFSET('Annexe H  Métriques Géographiqu'!H5,0,-$C$24)*$C$18+OFFSET('Annexe H  Métriques Géographiqu'!H6,0,-$C$24)*$D$18+OFFSET('Annexe H  Métriques Géographiqu'!H7,0,-$C$24)*$E$18+OFFSET('Annexe H  Métriques Géographiqu'!H8,0,-$C$24)*$F$18)</f>
        <v>-11472.390418913254</v>
      </c>
      <c r="I5" s="341">
        <f ca="1">-(OFFSET('Annexe H  Métriques Géographiqu'!I4,0,-$C$24)*$B$18+OFFSET('Annexe H  Métriques Géographiqu'!I5,0,-$C$24)*$C$18+OFFSET('Annexe H  Métriques Géographiqu'!I6,0,-$C$24)*$D$18+OFFSET('Annexe H  Métriques Géographiqu'!I7,0,-$C$24)*$E$18+OFFSET('Annexe H  Métriques Géographiqu'!I8,0,-$C$24)*$F$18)</f>
        <v>-11674.303618189802</v>
      </c>
      <c r="J5" s="339">
        <f ca="1">-(OFFSET('Annexe H  Métriques Géographiqu'!J4,0,-$C$24)*$B$18+OFFSET('Annexe H  Métriques Géographiqu'!J5,0,-$C$24)*$C$18+OFFSET('Annexe H  Métriques Géographiqu'!J6,0,-$C$24)*$D$18+OFFSET('Annexe H  Métriques Géographiqu'!J7,0,-$C$24)*$E$18+OFFSET('Annexe H  Métriques Géographiqu'!J8,0,-$C$24)*$F$18)</f>
        <v>-11872.362181430304</v>
      </c>
      <c r="K5" s="340">
        <f ca="1">-(OFFSET('Annexe H  Métriques Géographiqu'!K4,0,-$C$24)*$B$18+OFFSET('Annexe H  Métriques Géographiqu'!K5,0,-$C$24)*$C$18+OFFSET('Annexe H  Métriques Géographiqu'!K6,0,-$C$24)*$D$18+OFFSET('Annexe H  Métriques Géographiqu'!K7,0,-$C$24)*$E$18+OFFSET('Annexe H  Métriques Géographiqu'!K8,0,-$C$24)*$F$18)</f>
        <v>-12611.603817740846</v>
      </c>
      <c r="L5" s="340">
        <f ca="1">-(OFFSET('Annexe H  Métriques Géographiqu'!L4,0,-$C$24)*$B$18+OFFSET('Annexe H  Métriques Géographiqu'!L5,0,-$C$24)*$C$18+OFFSET('Annexe H  Métriques Géographiqu'!L6,0,-$C$24)*$D$18+OFFSET('Annexe H  Métriques Géographiqu'!L7,0,-$C$24)*$E$18+OFFSET('Annexe H  Métriques Géographiqu'!L8,0,-$C$24)*$F$18)</f>
        <v>-12914.718884447364</v>
      </c>
      <c r="M5" s="340">
        <f ca="1">-(OFFSET('Annexe H  Métriques Géographiqu'!M4,0,-$C$24)*$B$18+OFFSET('Annexe H  Métriques Géographiqu'!M5,0,-$C$24)*$C$18+OFFSET('Annexe H  Métriques Géographiqu'!M6,0,-$C$24)*$D$18+OFFSET('Annexe H  Métriques Géographiqu'!M7,0,-$C$24)*$E$18+OFFSET('Annexe H  Métriques Géographiqu'!M8,0,-$C$24)*$F$18)</f>
        <v>-12975.844852147329</v>
      </c>
      <c r="N5" s="340">
        <f ca="1">-(OFFSET('Annexe H  Métriques Géographiqu'!N4,0,-$C$24)*$B$18+OFFSET('Annexe H  Métriques Géographiqu'!N5,0,-$C$24)*$C$18+OFFSET('Annexe H  Métriques Géographiqu'!N6,0,-$C$24)*$D$18+OFFSET('Annexe H  Métriques Géographiqu'!N7,0,-$C$24)*$E$18+OFFSET('Annexe H  Métriques Géographiqu'!N8,0,-$C$24)*$F$18)</f>
        <v>-13299.158414007357</v>
      </c>
      <c r="O5" s="340">
        <f ca="1">-(OFFSET('Annexe H  Métriques Géographiqu'!O4,0,-$C$24)*$B$18+OFFSET('Annexe H  Métriques Géographiqu'!O5,0,-$C$24)*$C$18+OFFSET('Annexe H  Métriques Géographiqu'!O6,0,-$C$24)*$D$18+OFFSET('Annexe H  Métriques Géographiqu'!O7,0,-$C$24)*$E$18+OFFSET('Annexe H  Métriques Géographiqu'!O8,0,-$C$24)*$F$18)</f>
        <v>-13593.187919862727</v>
      </c>
      <c r="P5" s="340">
        <f ca="1">-(OFFSET('Annexe H  Métriques Géographiqu'!P4,0,-$C$24)*$B$18+OFFSET('Annexe H  Métriques Géographiqu'!P5,0,-$C$24)*$C$18+OFFSET('Annexe H  Métriques Géographiqu'!P6,0,-$C$24)*$D$18+OFFSET('Annexe H  Métriques Géographiqu'!P7,0,-$C$24)*$E$18+OFFSET('Annexe H  Métriques Géographiqu'!P8,0,-$C$24)*$F$18)</f>
        <v>-13884.230902895157</v>
      </c>
      <c r="Q5" s="340">
        <f ca="1">-(OFFSET('Annexe H  Métriques Géographiqu'!Q4,0,-$C$24)*$B$18+OFFSET('Annexe H  Métriques Géographiqu'!Q5,0,-$C$24)*$C$18+OFFSET('Annexe H  Métriques Géographiqu'!Q6,0,-$C$24)*$D$18+OFFSET('Annexe H  Métriques Géographiqu'!Q7,0,-$C$24)*$E$18+OFFSET('Annexe H  Métriques Géographiqu'!Q8,0,-$C$24)*$F$18)</f>
        <v>-14172.337685979799</v>
      </c>
      <c r="R5" s="340">
        <f ca="1">-(OFFSET('Annexe H  Métriques Géographiqu'!R4,0,-$C$24)*$B$18+OFFSET('Annexe H  Métriques Géographiqu'!R5,0,-$C$24)*$C$18+OFFSET('Annexe H  Métriques Géographiqu'!R6,0,-$C$24)*$D$18+OFFSET('Annexe H  Métriques Géographiqu'!R7,0,-$C$24)*$E$18+OFFSET('Annexe H  Métriques Géographiqu'!R8,0,-$C$24)*$F$18)</f>
        <v>-14569.094608242947</v>
      </c>
      <c r="S5" s="340">
        <f ca="1">-(OFFSET('Annexe H  Métriques Géographiqu'!S4,0,-$C$24)*$B$18+OFFSET('Annexe H  Métriques Géographiqu'!S5,0,-$C$24)*$C$18+OFFSET('Annexe H  Métriques Géographiqu'!S6,0,-$C$24)*$D$18+OFFSET('Annexe H  Métriques Géographiqu'!S7,0,-$C$24)*$E$18+OFFSET('Annexe H  Métriques Géographiqu'!S8,0,-$C$24)*$F$18)</f>
        <v>-14945.122138210925</v>
      </c>
      <c r="T5" s="340">
        <f ca="1">-(OFFSET('Annexe H  Métriques Géographiqu'!T4,0,-$C$24)*$B$18+OFFSET('Annexe H  Métriques Géographiqu'!T5,0,-$C$24)*$C$18+OFFSET('Annexe H  Métriques Géographiqu'!T6,0,-$C$24)*$D$18+OFFSET('Annexe H  Métriques Géographiqu'!T7,0,-$C$24)*$E$18+OFFSET('Annexe H  Métriques Géographiqu'!T8,0,-$C$24)*$F$18)</f>
        <v>-15316.88134841084</v>
      </c>
      <c r="U5" s="341">
        <f ca="1">-(OFFSET('Annexe H  Métriques Géographiqu'!U4,0,-$C$24)*$B$18+OFFSET('Annexe H  Métriques Géographiqu'!U5,0,-$C$24)*$C$18+OFFSET('Annexe H  Métriques Géographiqu'!U6,0,-$C$24)*$D$18+OFFSET('Annexe H  Métriques Géographiqu'!U7,0,-$C$24)*$E$18+OFFSET('Annexe H  Métriques Géographiqu'!U8,0,-$C$24)*$F$18)</f>
        <v>-15684.454087167938</v>
      </c>
      <c r="V5" s="339">
        <f ca="1">-(OFFSET('Annexe H  Métriques Géographiqu'!V4,0,-$C$24)*$B$18+OFFSET('Annexe H  Métriques Géographiqu'!V5,0,-$C$24)*$C$18+OFFSET('Annexe H  Métriques Géographiqu'!V6,0,-$C$24)*$D$18+OFFSET('Annexe H  Métriques Géographiqu'!V7,0,-$C$24)*$E$18+OFFSET('Annexe H  Métriques Géographiqu'!V8,0,-$C$24)*$F$18)</f>
        <v>-16047.92024412948</v>
      </c>
      <c r="W5" s="340">
        <f ca="1">-(OFFSET('Annexe H  Métriques Géographiqu'!W4,0,-$C$24)*$B$18+OFFSET('Annexe H  Métriques Géographiqu'!W5,0,-$C$24)*$C$18+OFFSET('Annexe H  Métriques Géographiqu'!W6,0,-$C$24)*$D$18+OFFSET('Annexe H  Métriques Géographiqu'!W7,0,-$C$24)*$E$18+OFFSET('Annexe H  Métriques Géographiqu'!W8,0,-$C$24)*$F$18)</f>
        <v>-18060.330678090533</v>
      </c>
      <c r="X5" s="340">
        <f ca="1">-(OFFSET('Annexe H  Métriques Géographiqu'!X4,0,-$C$24)*$B$18+OFFSET('Annexe H  Métriques Géographiqu'!X5,0,-$C$24)*$C$18+OFFSET('Annexe H  Métriques Géographiqu'!X6,0,-$C$24)*$D$18+OFFSET('Annexe H  Métriques Géographiqu'!X7,0,-$C$24)*$E$18+OFFSET('Annexe H  Métriques Géographiqu'!X8,0,-$C$24)*$F$18)</f>
        <v>-18520.074253754407</v>
      </c>
      <c r="Y5" s="340">
        <f ca="1">-(OFFSET('Annexe H  Métriques Géographiqu'!Y4,0,-$C$24)*$B$18+OFFSET('Annexe H  Métriques Géographiqu'!Y5,0,-$C$24)*$C$18+OFFSET('Annexe H  Métriques Géographiqu'!Y6,0,-$C$24)*$D$18+OFFSET('Annexe H  Métriques Géographiqu'!Y7,0,-$C$24)*$E$18+OFFSET('Annexe H  Métriques Géographiqu'!Y8,0,-$C$24)*$F$18)</f>
        <v>-18977.933780624295</v>
      </c>
      <c r="Z5" s="340">
        <f ca="1">-(OFFSET('Annexe H  Métriques Géographiqu'!Z4,0,-$C$24)*$B$18+OFFSET('Annexe H  Métriques Géographiqu'!Z5,0,-$C$24)*$C$18+OFFSET('Annexe H  Métriques Géographiqu'!Z6,0,-$C$24)*$D$18+OFFSET('Annexe H  Métriques Géographiqu'!Z7,0,-$C$24)*$E$18+OFFSET('Annexe H  Métriques Géographiqu'!Z8,0,-$C$24)*$F$18)</f>
        <v>-19433.928120175347</v>
      </c>
      <c r="AA5" s="340">
        <f ca="1">-(OFFSET('Annexe H  Métriques Géographiqu'!AA4,0,-$C$24)*$B$18+OFFSET('Annexe H  Métriques Géographiqu'!AA5,0,-$C$24)*$C$18+OFFSET('Annexe H  Métriques Géographiqu'!AA6,0,-$C$24)*$D$18+OFFSET('Annexe H  Métriques Géographiqu'!AA7,0,-$C$24)*$E$18+OFFSET('Annexe H  Métriques Géographiqu'!AA8,0,-$C$24)*$F$18)</f>
        <v>-19888.075893738609</v>
      </c>
      <c r="AB5" s="340">
        <f ca="1">-(OFFSET('Annexe H  Métriques Géographiqu'!AB4,0,-$C$24)*$B$18+OFFSET('Annexe H  Métriques Géographiqu'!AB5,0,-$C$24)*$C$18+OFFSET('Annexe H  Métriques Géographiqu'!AB6,0,-$C$24)*$D$18+OFFSET('Annexe H  Métriques Géographiqu'!AB7,0,-$C$24)*$E$18+OFFSET('Annexe H  Métriques Géographiqu'!AB8,0,-$C$24)*$F$18)</f>
        <v>-20340.39548683252</v>
      </c>
      <c r="AC5" s="340">
        <f ca="1">-(OFFSET('Annexe H  Métriques Géographiqu'!AC4,0,-$C$24)*$B$18+OFFSET('Annexe H  Métriques Géographiqu'!AC5,0,-$C$24)*$C$18+OFFSET('Annexe H  Métriques Géographiqu'!AC6,0,-$C$24)*$D$18+OFFSET('Annexe H  Métriques Géographiqu'!AC7,0,-$C$24)*$E$18+OFFSET('Annexe H  Métriques Géographiqu'!AC8,0,-$C$24)*$F$18)</f>
        <v>-20790.905053383289</v>
      </c>
      <c r="AD5" s="340">
        <f ca="1">-(OFFSET('Annexe H  Métriques Géographiqu'!AD4,0,-$C$24)*$B$18+OFFSET('Annexe H  Métriques Géographiqu'!AD5,0,-$C$24)*$C$18+OFFSET('Annexe H  Métriques Géographiqu'!AD6,0,-$C$24)*$D$18+OFFSET('Annexe H  Métriques Géographiqu'!AD7,0,-$C$24)*$E$18+OFFSET('Annexe H  Métriques Géographiqu'!AD8,0,-$C$24)*$F$18)</f>
        <v>-21310.069436955033</v>
      </c>
      <c r="AE5" s="340">
        <f ca="1">-(OFFSET('Annexe H  Métriques Géographiqu'!AE4,0,-$C$24)*$B$18+OFFSET('Annexe H  Métriques Géographiqu'!AE5,0,-$C$24)*$C$18+OFFSET('Annexe H  Métriques Géographiqu'!AE6,0,-$C$24)*$D$18+OFFSET('Annexe H  Métriques Géographiqu'!AE7,0,-$C$24)*$E$18+OFFSET('Annexe H  Métriques Géographiqu'!AE8,0,-$C$24)*$F$18)</f>
        <v>-21810.62601558656</v>
      </c>
      <c r="AF5" s="340">
        <f ca="1">-(OFFSET('Annexe H  Métriques Géographiqu'!AF4,0,-$C$24)*$B$18+OFFSET('Annexe H  Métriques Géographiqu'!AF5,0,-$C$24)*$C$18+OFFSET('Annexe H  Métriques Géographiqu'!AF6,0,-$C$24)*$D$18+OFFSET('Annexe H  Métriques Géographiqu'!AF7,0,-$C$24)*$E$18+OFFSET('Annexe H  Métriques Géographiqu'!AF8,0,-$C$24)*$F$18)</f>
        <v>-22308.919492574034</v>
      </c>
      <c r="AG5" s="341">
        <f ca="1">-(OFFSET('Annexe H  Métriques Géographiqu'!AG4,0,-$C$24)*$B$18+OFFSET('Annexe H  Métriques Géographiqu'!AG5,0,-$C$24)*$C$18+OFFSET('Annexe H  Métriques Géographiqu'!AG6,0,-$C$24)*$D$18+OFFSET('Annexe H  Métriques Géographiqu'!AG7,0,-$C$24)*$E$18+OFFSET('Annexe H  Métriques Géographiqu'!AG8,0,-$C$24)*$F$18)</f>
        <v>-22804.977758197845</v>
      </c>
      <c r="AH5" s="339">
        <f ca="1">-(OFFSET('Annexe H  Métriques Géographiqu'!AH4,0,-$C$24)*$B$18+OFFSET('Annexe H  Métriques Géographiqu'!AH5,0,-$C$24)*$C$18+OFFSET('Annexe H  Métriques Géographiqu'!AH6,0,-$C$24)*$D$18+OFFSET('Annexe H  Métriques Géographiqu'!AH7,0,-$C$24)*$E$18+OFFSET('Annexe H  Métriques Géographiqu'!AH8,0,-$C$24)*$F$18)</f>
        <v>-23298.828214312758</v>
      </c>
      <c r="AI5" s="340">
        <f ca="1">-(OFFSET('Annexe H  Métriques Géographiqu'!AI4,0,-$C$24)*$B$18+OFFSET('Annexe H  Métriques Géographiqu'!AI5,0,-$C$24)*$C$18+OFFSET('Annexe H  Métriques Géographiqu'!AI6,0,-$C$24)*$D$18+OFFSET('Annexe H  Métriques Géographiqu'!AI7,0,-$C$24)*$E$18+OFFSET('Annexe H  Métriques Géographiqu'!AI8,0,-$C$24)*$F$18)</f>
        <v>-25675.066108247018</v>
      </c>
      <c r="AJ5" s="340">
        <f ca="1">-(OFFSET('Annexe H  Métriques Géographiqu'!AJ4,0,-$C$24)*$B$18+OFFSET('Annexe H  Métriques Géographiqu'!AJ5,0,-$C$24)*$C$18+OFFSET('Annexe H  Métriques Géographiqu'!AJ6,0,-$C$24)*$D$18+OFFSET('Annexe H  Métriques Géographiqu'!AJ7,0,-$C$24)*$E$18+OFFSET('Annexe H  Métriques Géographiqu'!AJ8,0,-$C$24)*$F$18)</f>
        <v>-26257.868905672025</v>
      </c>
      <c r="AK5" s="340">
        <f ca="1">-(OFFSET('Annexe H  Métriques Géographiqu'!AK4,0,-$C$24)*$B$18+OFFSET('Annexe H  Métriques Géographiqu'!AK5,0,-$C$24)*$C$18+OFFSET('Annexe H  Métriques Géographiqu'!AK6,0,-$C$24)*$D$18+OFFSET('Annexe H  Métriques Géographiqu'!AK7,0,-$C$24)*$E$18+OFFSET('Annexe H  Métriques Géographiqu'!AK8,0,-$C$24)*$F$18)</f>
        <v>-26840.062895195369</v>
      </c>
      <c r="AL5" s="340">
        <f ca="1">-(OFFSET('Annexe H  Métriques Géographiqu'!AL4,0,-$C$24)*$B$18+OFFSET('Annexe H  Métriques Géographiqu'!AL5,0,-$C$24)*$C$18+OFFSET('Annexe H  Métriques Géographiqu'!AL6,0,-$C$24)*$D$18+OFFSET('Annexe H  Métriques Géographiqu'!AL7,0,-$C$24)*$E$18+OFFSET('Annexe H  Métriques Géographiqu'!AL8,0,-$C$24)*$F$18)</f>
        <v>-27421.640512472502</v>
      </c>
      <c r="AM5" s="340">
        <f ca="1">-(OFFSET('Annexe H  Métriques Géographiqu'!AM4,0,-$C$24)*$B$18+OFFSET('Annexe H  Métriques Géographiqu'!AM5,0,-$C$24)*$C$18+OFFSET('Annexe H  Métriques Géographiqu'!AM6,0,-$C$24)*$D$18+OFFSET('Annexe H  Métriques Géographiqu'!AM7,0,-$C$24)*$E$18+OFFSET('Annexe H  Métriques Géographiqu'!AM8,0,-$C$24)*$F$18)</f>
        <v>-28002.594506623853</v>
      </c>
      <c r="AN5" s="340">
        <f ca="1">-(OFFSET('Annexe H  Métriques Géographiqu'!AN4,0,-$C$24)*$B$18+OFFSET('Annexe H  Métriques Géographiqu'!AN5,0,-$C$24)*$C$18+OFFSET('Annexe H  Métriques Géographiqu'!AN6,0,-$C$24)*$D$18+OFFSET('Annexe H  Métriques Géographiqu'!AN7,0,-$C$24)*$E$18+OFFSET('Annexe H  Métriques Géographiqu'!AN8,0,-$C$24)*$F$18)</f>
        <v>-28582.917932139815</v>
      </c>
      <c r="AO5" s="340">
        <f ca="1">-(OFFSET('Annexe H  Métriques Géographiqu'!AO4,0,-$C$24)*$B$18+OFFSET('Annexe H  Métriques Géographiqu'!AO5,0,-$C$24)*$C$18+OFFSET('Annexe H  Métriques Géographiqu'!AO6,0,-$C$24)*$D$18+OFFSET('Annexe H  Métriques Géographiqu'!AO7,0,-$C$24)*$E$18+OFFSET('Annexe H  Métriques Géographiqu'!AO8,0,-$C$24)*$F$18)</f>
        <v>-29162.604140967418</v>
      </c>
      <c r="AP5" s="340">
        <f ca="1">-(OFFSET('Annexe H  Métriques Géographiqu'!AP4,0,-$C$24)*$B$18+OFFSET('Annexe H  Métriques Géographiqu'!AP5,0,-$C$24)*$C$18+OFFSET('Annexe H  Métriques Géographiqu'!AP6,0,-$C$24)*$D$18+OFFSET('Annexe H  Métriques Géographiqu'!AP7,0,-$C$24)*$E$18+OFFSET('Annexe H  Métriques Géographiqu'!AP8,0,-$C$24)*$F$18)</f>
        <v>-29741.646774774956</v>
      </c>
      <c r="AQ5" s="340">
        <f ca="1">-(OFFSET('Annexe H  Métriques Géographiqu'!AQ4,0,-$C$24)*$B$18+OFFSET('Annexe H  Métriques Géographiqu'!AQ5,0,-$C$24)*$C$18+OFFSET('Annexe H  Métriques Géographiqu'!AQ6,0,-$C$24)*$D$18+OFFSET('Annexe H  Métriques Géographiqu'!AQ7,0,-$C$24)*$E$18+OFFSET('Annexe H  Métriques Géographiqu'!AQ8,0,-$C$24)*$F$18)</f>
        <v>-30320.039757390805</v>
      </c>
      <c r="AR5" s="340">
        <f ca="1">-(OFFSET('Annexe H  Métriques Géographiqu'!AR4,0,-$C$24)*$B$18+OFFSET('Annexe H  Métriques Géographiqu'!AR5,0,-$C$24)*$C$18+OFFSET('Annexe H  Métriques Géographiqu'!AR6,0,-$C$24)*$D$18+OFFSET('Annexe H  Métriques Géographiqu'!AR7,0,-$C$24)*$E$18+OFFSET('Annexe H  Métriques Géographiqu'!AR8,0,-$C$24)*$F$18)</f>
        <v>-30897.777287413322</v>
      </c>
      <c r="AS5" s="341">
        <f ca="1">-(OFFSET('Annexe H  Métriques Géographiqu'!AS4,0,-$C$24)*$B$18+OFFSET('Annexe H  Métriques Géographiqu'!AS5,0,-$C$24)*$C$18+OFFSET('Annexe H  Métriques Géographiqu'!AS6,0,-$C$24)*$D$18+OFFSET('Annexe H  Métriques Géographiqu'!AS7,0,-$C$24)*$E$18+OFFSET('Annexe H  Métriques Géographiqu'!AS8,0,-$C$24)*$F$18)</f>
        <v>-31474.853830987704</v>
      </c>
      <c r="AT5" s="339">
        <f ca="1">-(OFFSET('Annexe H  Métriques Géographiqu'!AT4,0,-$C$24)*$B$18+OFFSET('Annexe H  Métriques Géographiqu'!AT5,0,-$C$24)*$C$18+OFFSET('Annexe H  Métriques Géographiqu'!AT6,0,-$C$24)*$D$18+OFFSET('Annexe H  Métriques Géographiqu'!AT7,0,-$C$24)*$E$18+OFFSET('Annexe H  Métriques Géographiqu'!AT8,0,-$C$24)*$F$18)</f>
        <v>-32051.264114746955</v>
      </c>
      <c r="AU5" s="340">
        <f ca="1">-(OFFSET('Annexe H  Métriques Géographiqu'!AU4,0,-$C$24)*$B$18+OFFSET('Annexe H  Métriques Géographiqu'!AU5,0,-$C$24)*$C$18+OFFSET('Annexe H  Métriques Géographiqu'!AU6,0,-$C$24)*$D$18+OFFSET('Annexe H  Métriques Géographiqu'!AU7,0,-$C$24)*$E$18+OFFSET('Annexe H  Métriques Géographiqu'!AU8,0,-$C$24)*$F$18)</f>
        <v>-35784.810586604137</v>
      </c>
      <c r="AV5" s="340">
        <f ca="1">-(OFFSET('Annexe H  Métriques Géographiqu'!AV4,0,-$C$24)*$B$18+OFFSET('Annexe H  Métriques Géographiqu'!AV5,0,-$C$24)*$C$18+OFFSET('Annexe H  Métriques Géographiqu'!AV6,0,-$C$24)*$D$18+OFFSET('Annexe H  Métriques Géographiqu'!AV7,0,-$C$24)*$E$18+OFFSET('Annexe H  Métriques Géographiqu'!AV8,0,-$C$24)*$F$18)</f>
        <v>-36364.552939918525</v>
      </c>
      <c r="AW5" s="340">
        <f ca="1">-(OFFSET('Annexe H  Métriques Géographiqu'!AW4,0,-$C$24)*$B$18+OFFSET('Annexe H  Métriques Géographiqu'!AW5,0,-$C$24)*$C$18+OFFSET('Annexe H  Métriques Géographiqu'!AW6,0,-$C$24)*$D$18+OFFSET('Annexe H  Métriques Géographiqu'!AW7,0,-$C$24)*$E$18+OFFSET('Annexe H  Métriques Géographiqu'!AW8,0,-$C$24)*$F$18)</f>
        <v>-36942.740731147795</v>
      </c>
      <c r="AX5" s="340">
        <f ca="1">-(OFFSET('Annexe H  Métriques Géographiqu'!AX4,0,-$C$24)*$B$18+OFFSET('Annexe H  Métriques Géographiqu'!AX5,0,-$C$24)*$C$18+OFFSET('Annexe H  Métriques Géographiqu'!AX6,0,-$C$24)*$D$18+OFFSET('Annexe H  Métriques Géographiqu'!AX7,0,-$C$24)*$E$18+OFFSET('Annexe H  Métriques Géographiqu'!AX8,0,-$C$24)*$F$18)</f>
        <v>-37519.359383884534</v>
      </c>
      <c r="AY5" s="340">
        <f ca="1">-(OFFSET('Annexe H  Métriques Géographiqu'!AY4,0,-$C$24)*$B$18+OFFSET('Annexe H  Métriques Géographiqu'!AY5,0,-$C$24)*$C$18+OFFSET('Annexe H  Métriques Géographiqu'!AY6,0,-$C$24)*$D$18+OFFSET('Annexe H  Métriques Géographiqu'!AY7,0,-$C$24)*$E$18+OFFSET('Annexe H  Métriques Géographiqu'!AY8,0,-$C$24)*$F$18)</f>
        <v>-38094.395188725706</v>
      </c>
      <c r="AZ5" s="340">
        <f ca="1">-(OFFSET('Annexe H  Métriques Géographiqu'!AZ4,0,-$C$24)*$B$18+OFFSET('Annexe H  Métriques Géographiqu'!AZ5,0,-$C$24)*$C$18+OFFSET('Annexe H  Métriques Géographiqu'!AZ6,0,-$C$24)*$D$18+OFFSET('Annexe H  Métriques Géographiqu'!AZ7,0,-$C$24)*$E$18+OFFSET('Annexe H  Métriques Géographiqu'!AZ8,0,-$C$24)*$F$18)</f>
        <v>-38667.835274815945</v>
      </c>
      <c r="BA5" s="340">
        <f ca="1">-(OFFSET('Annexe H  Métriques Géographiqu'!BA4,0,-$C$24)*$B$18+OFFSET('Annexe H  Métriques Géographiqu'!BA5,0,-$C$24)*$C$18+OFFSET('Annexe H  Métriques Géographiqu'!BA6,0,-$C$24)*$D$18+OFFSET('Annexe H  Métriques Géographiqu'!BA7,0,-$C$24)*$E$18+OFFSET('Annexe H  Métriques Géographiqu'!BA8,0,-$C$24)*$F$18)</f>
        <v>-39239.667582225142</v>
      </c>
      <c r="BB5" s="340">
        <f ca="1">-(OFFSET('Annexe H  Métriques Géographiqu'!BB4,0,-$C$24)*$B$18+OFFSET('Annexe H  Métriques Géographiqu'!BB5,0,-$C$24)*$C$18+OFFSET('Annexe H  Métriques Géographiqu'!BB6,0,-$C$24)*$D$18+OFFSET('Annexe H  Métriques Géographiqu'!BB7,0,-$C$24)*$E$18+OFFSET('Annexe H  Métriques Géographiqu'!BB8,0,-$C$24)*$F$18)</f>
        <v>-40052.185447566728</v>
      </c>
      <c r="BC5" s="340">
        <f ca="1">-(OFFSET('Annexe H  Métriques Géographiqu'!BC4,0,-$C$24)*$B$18+OFFSET('Annexe H  Métriques Géographiqu'!BC5,0,-$C$24)*$C$18+OFFSET('Annexe H  Métriques Géographiqu'!BC6,0,-$C$24)*$D$18+OFFSET('Annexe H  Métriques Géographiqu'!BC7,0,-$C$24)*$E$18+OFFSET('Annexe H  Métriques Géographiqu'!BC8,0,-$C$24)*$F$18)</f>
        <v>-40789.277857157969</v>
      </c>
      <c r="BD5" s="340">
        <f ca="1">-(OFFSET('Annexe H  Métriques Géographiqu'!BD4,0,-$C$24)*$B$18+OFFSET('Annexe H  Métriques Géographiqu'!BD5,0,-$C$24)*$C$18+OFFSET('Annexe H  Métriques Géographiqu'!BD6,0,-$C$24)*$D$18+OFFSET('Annexe H  Métriques Géographiqu'!BD7,0,-$C$24)*$E$18+OFFSET('Annexe H  Métriques Géographiqu'!BD8,0,-$C$24)*$F$18)</f>
        <v>-41523.417171728703</v>
      </c>
      <c r="BE5" s="341">
        <f ca="1">-(OFFSET('Annexe H  Métriques Géographiqu'!BE4,0,-$C$24)*$B$18+OFFSET('Annexe H  Métriques Géographiqu'!BE5,0,-$C$24)*$C$18+OFFSET('Annexe H  Métriques Géographiqu'!BE6,0,-$C$24)*$D$18+OFFSET('Annexe H  Métriques Géographiqu'!BE7,0,-$C$24)*$E$18+OFFSET('Annexe H  Métriques Géographiqu'!BE8,0,-$C$24)*$F$18)</f>
        <v>-42254.614338399348</v>
      </c>
      <c r="BF5" s="339">
        <f ca="1">-(OFFSET('Annexe H  Métriques Géographiqu'!BF4,0,-$C$24)*$B$18+OFFSET('Annexe H  Métriques Géographiqu'!BF5,0,-$C$24)*$C$18+OFFSET('Annexe H  Métriques Géographiqu'!BF6,0,-$C$24)*$D$18+OFFSET('Annexe H  Métriques Géographiqu'!BF7,0,-$C$24)*$E$18+OFFSET('Annexe H  Métriques Géographiqu'!BF8,0,-$C$24)*$F$18)</f>
        <v>-42982.880566867389</v>
      </c>
      <c r="BG5" s="340">
        <f ca="1">-(OFFSET('Annexe H  Métriques Géographiqu'!BG4,0,-$C$24)*$B$18+OFFSET('Annexe H  Métriques Géographiqu'!BG5,0,-$C$24)*$C$18+OFFSET('Annexe H  Métriques Géographiqu'!BG6,0,-$C$24)*$D$18+OFFSET('Annexe H  Métriques Géographiqu'!BG7,0,-$C$24)*$E$18+OFFSET('Annexe H  Métriques Géographiqu'!BG8,0,-$C$24)*$F$18)</f>
        <v>-50872.484143562826</v>
      </c>
      <c r="BH5" s="340">
        <f ca="1">-(OFFSET('Annexe H  Métriques Géographiqu'!BH4,0,-$C$24)*$B$18+OFFSET('Annexe H  Métriques Géographiqu'!BH5,0,-$C$24)*$C$18+OFFSET('Annexe H  Métriques Géographiqu'!BH6,0,-$C$24)*$D$18+OFFSET('Annexe H  Métriques Géographiqu'!BH7,0,-$C$24)*$E$18+OFFSET('Annexe H  Métriques Géographiqu'!BH8,0,-$C$24)*$F$18)</f>
        <v>-51675.713949347293</v>
      </c>
      <c r="BI5" s="340">
        <f ca="1">-(OFFSET('Annexe H  Métriques Géographiqu'!BI4,0,-$C$24)*$B$18+OFFSET('Annexe H  Métriques Géographiqu'!BI5,0,-$C$24)*$C$18+OFFSET('Annexe H  Métriques Géographiqu'!BI6,0,-$C$24)*$D$18+OFFSET('Annexe H  Métriques Géographiqu'!BI7,0,-$C$24)*$E$18+OFFSET('Annexe H  Métriques Géographiqu'!BI8,0,-$C$24)*$F$18)</f>
        <v>-53095.003460142616</v>
      </c>
      <c r="BJ5" s="340">
        <f ca="1">-(OFFSET('Annexe H  Métriques Géographiqu'!BJ4,0,-$C$24)*$B$18+OFFSET('Annexe H  Métriques Géographiqu'!BJ5,0,-$C$24)*$C$18+OFFSET('Annexe H  Métriques Géographiqu'!BJ6,0,-$C$24)*$D$18+OFFSET('Annexe H  Métriques Géographiqu'!BJ7,0,-$C$24)*$E$18+OFFSET('Annexe H  Métriques Géographiqu'!BJ8,0,-$C$24)*$F$18)</f>
        <v>-54235.09230082811</v>
      </c>
      <c r="BK5" s="340">
        <f ca="1">-(OFFSET('Annexe H  Métriques Géographiqu'!BK4,0,-$C$24)*$B$18+OFFSET('Annexe H  Métriques Géographiqu'!BK5,0,-$C$24)*$C$18+OFFSET('Annexe H  Métriques Géographiqu'!BK6,0,-$C$24)*$D$18+OFFSET('Annexe H  Métriques Géographiqu'!BK7,0,-$C$24)*$E$18+OFFSET('Annexe H  Métriques Géographiqu'!BK8,0,-$C$24)*$F$18)</f>
        <v>-56345.335816856357</v>
      </c>
      <c r="BL5" s="340">
        <f ca="1">-(OFFSET('Annexe H  Métriques Géographiqu'!BL4,0,-$C$24)*$B$18+OFFSET('Annexe H  Métriques Géographiqu'!BL5,0,-$C$24)*$C$18+OFFSET('Annexe H  Métriques Géographiqu'!BL6,0,-$C$24)*$D$18+OFFSET('Annexe H  Métriques Géographiqu'!BL7,0,-$C$24)*$E$18+OFFSET('Annexe H  Métriques Géographiqu'!BL8,0,-$C$24)*$F$18)</f>
        <v>-59151.161215700908</v>
      </c>
      <c r="BM5" s="340">
        <f ca="1">-(OFFSET('Annexe H  Métriques Géographiqu'!BM4,0,-$C$24)*$B$18+OFFSET('Annexe H  Métriques Géographiqu'!BM5,0,-$C$24)*$C$18+OFFSET('Annexe H  Métriques Géographiqu'!BM6,0,-$C$24)*$D$18+OFFSET('Annexe H  Métriques Géographiqu'!BM7,0,-$C$24)*$E$18+OFFSET('Annexe H  Métriques Géographiqu'!BM8,0,-$C$24)*$F$18)</f>
        <v>-61669.632447547221</v>
      </c>
      <c r="BN5" s="340">
        <f ca="1">-(OFFSET('Annexe H  Métriques Géographiqu'!BN4,0,-$C$24)*$B$18+OFFSET('Annexe H  Métriques Géographiqu'!BN5,0,-$C$24)*$C$18+OFFSET('Annexe H  Métriques Géographiqu'!BN6,0,-$C$24)*$D$18+OFFSET('Annexe H  Métriques Géographiqu'!BN7,0,-$C$24)*$E$18+OFFSET('Annexe H  Métriques Géographiqu'!BN8,0,-$C$24)*$F$18)</f>
        <v>-64971.111069233135</v>
      </c>
      <c r="BO5" s="340">
        <f ca="1">-(OFFSET('Annexe H  Métriques Géographiqu'!BO4,0,-$C$24)*$B$18+OFFSET('Annexe H  Métriques Géographiqu'!BO5,0,-$C$24)*$C$18+OFFSET('Annexe H  Métriques Géographiqu'!BO6,0,-$C$24)*$D$18+OFFSET('Annexe H  Métriques Géographiqu'!BO7,0,-$C$24)*$E$18+OFFSET('Annexe H  Métriques Géographiqu'!BO8,0,-$C$24)*$F$18)</f>
        <v>-67123.082593269355</v>
      </c>
      <c r="BP5" s="340">
        <f ca="1">-(OFFSET('Annexe H  Métriques Géographiqu'!BP4,0,-$C$24)*$B$18+OFFSET('Annexe H  Métriques Géographiqu'!BP5,0,-$C$24)*$C$18+OFFSET('Annexe H  Métriques Géographiqu'!BP6,0,-$C$24)*$D$18+OFFSET('Annexe H  Métriques Géographiqu'!BP7,0,-$C$24)*$E$18+OFFSET('Annexe H  Métriques Géographiqu'!BP8,0,-$C$24)*$F$18)</f>
        <v>-69308.61317831307</v>
      </c>
      <c r="BQ5" s="341">
        <f ca="1">-(OFFSET('Annexe H  Métriques Géographiqu'!BQ4,0,-$C$24)*$B$18+OFFSET('Annexe H  Métriques Géographiqu'!BQ5,0,-$C$24)*$C$18+OFFSET('Annexe H  Métriques Géographiqu'!BQ6,0,-$C$24)*$D$18+OFFSET('Annexe H  Métriques Géographiqu'!BQ7,0,-$C$24)*$E$18+OFFSET('Annexe H  Métriques Géographiqu'!BQ8,0,-$C$24)*$F$18)</f>
        <v>-71514.169145712163</v>
      </c>
      <c r="BR5" s="191">
        <f ca="1">-(OFFSET('Annexe H  Métriques Géographiqu'!BR4,0,-$C$24)*$B$18+OFFSET('Annexe H  Métriques Géographiqu'!BR5,0,-$C$24)*$C$18+OFFSET('Annexe H  Métriques Géographiqu'!BR6,0,-$C$24)*$D$18+OFFSET('Annexe H  Métriques Géographiqu'!BR7,0,-$C$24)*$E$18+OFFSET('Annexe H  Métriques Géographiqu'!BR8,0,-$C$24)*$F$18)</f>
        <v>-73730.43843867851</v>
      </c>
      <c r="BS5" s="192">
        <f ca="1">-(OFFSET('Annexe H  Métriques Géographiqu'!BS4,0,-$C$24)*$B$18+OFFSET('Annexe H  Métriques Géographiqu'!BS5,0,-$C$24)*$C$18+OFFSET('Annexe H  Métriques Géographiqu'!BS6,0,-$C$24)*$D$18+OFFSET('Annexe H  Métriques Géographiqu'!BS7,0,-$C$24)*$E$18+OFFSET('Annexe H  Métriques Géographiqu'!BS8,0,-$C$24)*$F$18)</f>
        <v>-84249.498201702489</v>
      </c>
      <c r="BT5" s="192">
        <f ca="1">-(OFFSET('Annexe H  Métriques Géographiqu'!BT4,0,-$C$24)*$B$18+OFFSET('Annexe H  Métriques Géographiqu'!BT5,0,-$C$24)*$C$18+OFFSET('Annexe H  Métriques Géographiqu'!BT6,0,-$C$24)*$D$18+OFFSET('Annexe H  Métriques Géographiqu'!BT7,0,-$C$24)*$E$18+OFFSET('Annexe H  Métriques Géographiqu'!BT8,0,-$C$24)*$F$18)</f>
        <v>-86772.437951154527</v>
      </c>
      <c r="BU5" s="192">
        <f ca="1">-(OFFSET('Annexe H  Métriques Géographiqu'!BU4,0,-$C$24)*$B$18+OFFSET('Annexe H  Métriques Géographiqu'!BU5,0,-$C$24)*$C$18+OFFSET('Annexe H  Métriques Géographiqu'!BU6,0,-$C$24)*$D$18+OFFSET('Annexe H  Métriques Géographiqu'!BU7,0,-$C$24)*$E$18+OFFSET('Annexe H  Métriques Géographiqu'!BU8,0,-$C$24)*$F$18)</f>
        <v>-89196.595507042439</v>
      </c>
      <c r="BV5" s="192">
        <f ca="1">-(OFFSET('Annexe H  Métriques Géographiqu'!BV4,0,-$C$24)*$B$18+OFFSET('Annexe H  Métriques Géographiqu'!BV5,0,-$C$24)*$C$18+OFFSET('Annexe H  Métriques Géographiqu'!BV6,0,-$C$24)*$D$18+OFFSET('Annexe H  Métriques Géographiqu'!BV7,0,-$C$24)*$E$18+OFFSET('Annexe H  Métriques Géographiqu'!BV8,0,-$C$24)*$F$18)</f>
        <v>-91743.425458621641</v>
      </c>
      <c r="BW5" s="192">
        <f ca="1">-(OFFSET('Annexe H  Métriques Géographiqu'!BW4,0,-$C$24)*$B$18+OFFSET('Annexe H  Métriques Géographiqu'!BW5,0,-$C$24)*$C$18+OFFSET('Annexe H  Métriques Géographiqu'!BW6,0,-$C$24)*$D$18+OFFSET('Annexe H  Métriques Géographiqu'!BW7,0,-$C$24)*$E$18+OFFSET('Annexe H  Métriques Géographiqu'!BW8,0,-$C$24)*$F$18)</f>
        <v>-94189.645700230059</v>
      </c>
      <c r="BX5" s="192">
        <f ca="1">-(OFFSET('Annexe H  Métriques Géographiqu'!BX4,0,-$C$24)*$B$18+OFFSET('Annexe H  Métriques Géographiqu'!BX5,0,-$C$24)*$C$18+OFFSET('Annexe H  Métriques Géographiqu'!BX6,0,-$C$24)*$D$18+OFFSET('Annexe H  Métriques Géographiqu'!BX7,0,-$C$24)*$E$18+OFFSET('Annexe H  Métriques Géographiqu'!BX8,0,-$C$24)*$F$18)</f>
        <v>-96624.240295022377</v>
      </c>
      <c r="BY5" s="192">
        <f ca="1">-(OFFSET('Annexe H  Métriques Géographiqu'!BY4,0,-$C$24)*$B$18+OFFSET('Annexe H  Métriques Géographiqu'!BY5,0,-$C$24)*$C$18+OFFSET('Annexe H  Métriques Géographiqu'!BY6,0,-$C$24)*$D$18+OFFSET('Annexe H  Métriques Géographiqu'!BY7,0,-$C$24)*$E$18+OFFSET('Annexe H  Métriques Géographiqu'!BY8,0,-$C$24)*$F$18)</f>
        <v>-99335.770575610441</v>
      </c>
      <c r="BZ5" s="192">
        <f ca="1">-(OFFSET('Annexe H  Métriques Géographiqu'!BZ4,0,-$C$24)*$B$18+OFFSET('Annexe H  Métriques Géographiqu'!BZ5,0,-$C$24)*$C$18+OFFSET('Annexe H  Métriques Géographiqu'!BZ6,0,-$C$24)*$D$18+OFFSET('Annexe H  Métriques Géographiqu'!BZ7,0,-$C$24)*$E$18+OFFSET('Annexe H  Métriques Géographiqu'!BZ8,0,-$C$24)*$F$18)</f>
        <v>-107392.66258097238</v>
      </c>
      <c r="CA5" s="192">
        <f ca="1">-(OFFSET('Annexe H  Métriques Géographiqu'!CA4,0,-$C$24)*$B$18+OFFSET('Annexe H  Métriques Géographiqu'!CA5,0,-$C$24)*$C$18+OFFSET('Annexe H  Métriques Géographiqu'!CA6,0,-$C$24)*$D$18+OFFSET('Annexe H  Métriques Géographiqu'!CA7,0,-$C$24)*$E$18+OFFSET('Annexe H  Métriques Géographiqu'!CA8,0,-$C$24)*$F$18)</f>
        <v>-113663.81076208885</v>
      </c>
      <c r="CB5" s="192">
        <f ca="1">-(OFFSET('Annexe H  Métriques Géographiqu'!CB4,0,-$C$24)*$B$18+OFFSET('Annexe H  Métriques Géographiqu'!CB5,0,-$C$24)*$C$18+OFFSET('Annexe H  Métriques Géographiqu'!CB6,0,-$C$24)*$D$18+OFFSET('Annexe H  Métriques Géographiqu'!CB7,0,-$C$24)*$E$18+OFFSET('Annexe H  Métriques Géographiqu'!CB8,0,-$C$24)*$F$18)</f>
        <v>-119823.51503420135</v>
      </c>
      <c r="CC5" s="193">
        <f ca="1">-(OFFSET('Annexe H  Métriques Géographiqu'!CC4,0,-$C$24)*$B$18+OFFSET('Annexe H  Métriques Géographiqu'!CC5,0,-$C$24)*$C$18+OFFSET('Annexe H  Métriques Géographiqu'!CC6,0,-$C$24)*$D$18+OFFSET('Annexe H  Métriques Géographiqu'!CC7,0,-$C$24)*$E$18+OFFSET('Annexe H  Métriques Géographiqu'!CC8,0,-$C$24)*$F$18)</f>
        <v>-126080.70672685554</v>
      </c>
    </row>
    <row r="6" spans="1:82" ht="15.75" customHeight="1">
      <c r="A6" s="630" t="s">
        <v>452</v>
      </c>
      <c r="B6" s="631"/>
      <c r="C6" s="632"/>
      <c r="D6" s="633">
        <f ca="1">-(OFFSET('Couts variables'!D3,0,-$C$25)*$B$18+OFFSET('Couts fixes'!D2,0,-$C$25)*$B$18+OFFSET(CAPEX!D3,0,-$C$25)*$B$18)</f>
        <v>2376.0393232326387</v>
      </c>
      <c r="E6" s="633">
        <f ca="1">-(OFFSET('Couts variables'!E3,0,-$C$25)*$B$18+OFFSET('Couts fixes'!E2,0,-$C$25)*$B$18+OFFSET(CAPEX!E3,0,-$C$25)*$B$18)</f>
        <v>2007.3174497556186</v>
      </c>
      <c r="F6" s="633">
        <f ca="1">-(OFFSET('Couts variables'!F3,0,-$C$25)*$B$18+OFFSET('Couts fixes'!F2,0,-$C$25)*$B$18+OFFSET(CAPEX!F3,0,-$C$25)*$B$18)</f>
        <v>2198.3970547853496</v>
      </c>
      <c r="G6" s="633">
        <f ca="1">-(OFFSET('Couts variables'!G3,0,-$C$25)*$B$18+OFFSET('Couts fixes'!G2,0,-$C$25)*$B$18+OFFSET(CAPEX!G3,0,-$C$25)*$B$18)</f>
        <v>2409.2827019091965</v>
      </c>
      <c r="H6" s="633">
        <f ca="1">-(OFFSET('Couts variables'!H3,0,-$C$25)*$B$18+OFFSET('Couts fixes'!H2,0,-$C$25)*$B$18+OFFSET(CAPEX!H3,0,-$C$25)*$B$18)</f>
        <v>2239.9788291949822</v>
      </c>
      <c r="I6" s="634">
        <f ca="1">-(OFFSET('Couts variables'!I3,0,-$C$25)*$B$18+OFFSET('Couts fixes'!I2,0,-$C$25)*$B$18+OFFSET(CAPEX!I3,0,-$C$25)*$B$18)</f>
        <v>2534.3015518077455</v>
      </c>
      <c r="J6" s="635">
        <f ca="1">-(OFFSET('Couts variables'!J3,0,-$C$25)*$B$18+OFFSET('Couts fixes'!J2,0,-$C$25)*$B$18+OFFSET(CAPEX!J3,0,-$C$25)*$B$18)</f>
        <v>3464.6748529902216</v>
      </c>
      <c r="K6" s="633">
        <f ca="1">-(OFFSET('Couts variables'!K3,0,-$C$25)*$B$18+OFFSET('Couts fixes'!K2,0,-$C$25)*$B$18+OFFSET(CAPEX!K3,0,-$C$25)*$B$18)</f>
        <v>10008.493866397592</v>
      </c>
      <c r="L6" s="633">
        <f ca="1">-(OFFSET('Couts variables'!L3,0,-$C$25)*$B$18+OFFSET('Couts fixes'!L2,0,-$C$25)*$B$18+OFFSET(CAPEX!L3,0,-$C$25)*$B$18)</f>
        <v>4348.5150750039866</v>
      </c>
      <c r="M6" s="633">
        <f ca="1">-(OFFSET('Couts variables'!M3,0,-$C$25)*$B$18+OFFSET('Couts fixes'!M2,0,-$C$25)*$B$18+OFFSET(CAPEX!M3,0,-$C$25)*$B$18)</f>
        <v>6310.1664423976263</v>
      </c>
      <c r="N6" s="633">
        <f ca="1">-(OFFSET('Couts variables'!N3,0,-$C$25)*$B$18+OFFSET('Couts fixes'!N2,0,-$C$25)*$B$18+OFFSET(CAPEX!N3,0,-$C$25)*$B$18)</f>
        <v>4568.533303195406</v>
      </c>
      <c r="O6" s="633">
        <f ca="1">-(OFFSET('Couts variables'!O3,0,-$C$25)*$B$18+OFFSET('Couts fixes'!O2,0,-$C$25)*$B$18+OFFSET(CAPEX!O3,0,-$C$25)*$B$18)</f>
        <v>4703.9668312767926</v>
      </c>
      <c r="P6" s="633">
        <f ca="1">-(OFFSET('Couts variables'!P3,0,-$C$25)*$B$18+OFFSET('Couts fixes'!P2,0,-$C$25)*$B$18+OFFSET(CAPEX!P3,0,-$C$25)*$B$18)</f>
        <v>5421.2051792371194</v>
      </c>
      <c r="Q6" s="633">
        <f ca="1">-(OFFSET('Couts variables'!Q3,0,-$C$25)*$B$18+OFFSET('Couts fixes'!Q2,0,-$C$25)*$B$18+OFFSET(CAPEX!Q3,0,-$C$25)*$B$18)</f>
        <v>5256.8399743537057</v>
      </c>
      <c r="R6" s="633">
        <f ca="1">-(OFFSET('Couts variables'!R3,0,-$C$25)*$B$18+OFFSET('Couts fixes'!R2,0,-$C$25)*$B$18+OFFSET(CAPEX!R3,0,-$C$25)*$B$18)</f>
        <v>5415.5238053000439</v>
      </c>
      <c r="S6" s="633">
        <f ca="1">-(OFFSET('Couts variables'!S3,0,-$C$25)*$B$18+OFFSET('Couts fixes'!S2,0,-$C$25)*$B$18+OFFSET(CAPEX!S3,0,-$C$25)*$B$18)</f>
        <v>10536.419167292881</v>
      </c>
      <c r="T6" s="633">
        <f ca="1">-(OFFSET('Couts variables'!T3,0,-$C$25)*$B$18+OFFSET('Couts fixes'!T2,0,-$C$25)*$B$18+OFFSET(CAPEX!T3,0,-$C$25)*$B$18)</f>
        <v>10699.471039608072</v>
      </c>
      <c r="U6" s="634">
        <f ca="1">-(OFFSET('Couts variables'!U3,0,-$C$25)*$B$18+OFFSET('Couts fixes'!U2,0,-$C$25)*$B$18+OFFSET(CAPEX!U3,0,-$C$25)*$B$18)</f>
        <v>5844.625856908714</v>
      </c>
      <c r="V6" s="635">
        <f ca="1">-(OFFSET('Couts variables'!V3,0,-$C$25)*$B$18+OFFSET('Couts fixes'!V2,0,-$C$25)*$B$18+OFFSET(CAPEX!V3,0,-$C$25)*$B$18)</f>
        <v>6220.3259609484803</v>
      </c>
      <c r="W6" s="633">
        <f ca="1">-(OFFSET('Couts variables'!W3,0,-$C$25)*$B$18+OFFSET('Couts fixes'!W2,0,-$C$25)*$B$18+OFFSET(CAPEX!W3,0,-$C$25)*$B$18)</f>
        <v>6623.0640877284213</v>
      </c>
      <c r="X6" s="633">
        <f ca="1">-(OFFSET('Couts variables'!X3,0,-$C$25)*$B$18+OFFSET('Couts fixes'!X2,0,-$C$25)*$B$18+OFFSET(CAPEX!X3,0,-$C$25)*$B$18)</f>
        <v>6882.7260542751237</v>
      </c>
      <c r="Y6" s="633">
        <f ca="1">-(OFFSET('Couts variables'!Y3,0,-$C$25)*$B$18+OFFSET('Couts fixes'!Y2,0,-$C$25)*$B$18+OFFSET(CAPEX!Y3,0,-$C$25)*$B$18)</f>
        <v>9367.6232411405836</v>
      </c>
      <c r="Z6" s="633">
        <f ca="1">-(OFFSET('Couts variables'!Z3,0,-$C$25)*$B$18+OFFSET('Couts fixes'!Z2,0,-$C$25)*$B$18+OFFSET(CAPEX!Z3,0,-$C$25)*$B$18)</f>
        <v>7292.4476611030586</v>
      </c>
      <c r="AA6" s="633">
        <f ca="1">-(OFFSET('Couts variables'!AA3,0,-$C$25)*$B$18+OFFSET('Couts fixes'!AA2,0,-$C$25)*$B$18+OFFSET(CAPEX!AA3,0,-$C$25)*$B$18)</f>
        <v>7502.4821470934121</v>
      </c>
      <c r="AB6" s="633">
        <f ca="1">-(OFFSET('Couts variables'!AB3,0,-$C$25)*$B$18+OFFSET('Couts fixes'!AB2,0,-$C$25)*$B$18+OFFSET(CAPEX!AB3,0,-$C$25)*$B$18)</f>
        <v>7715.8856619930139</v>
      </c>
      <c r="AC6" s="633">
        <f ca="1">-(OFFSET('Couts variables'!AC3,0,-$C$25)*$B$18+OFFSET('Couts fixes'!AC2,0,-$C$25)*$B$18+OFFSET(CAPEX!AC3,0,-$C$25)*$B$18)</f>
        <v>7986.4182703927327</v>
      </c>
      <c r="AD6" s="633">
        <f ca="1">-(OFFSET('Couts variables'!AD3,0,-$C$25)*$B$18+OFFSET('Couts fixes'!AD2,0,-$C$25)*$B$18+OFFSET(CAPEX!AD3,0,-$C$25)*$B$18)</f>
        <v>8219.8578784591609</v>
      </c>
      <c r="AE6" s="633">
        <f ca="1">-(OFFSET('Couts variables'!AE3,0,-$C$25)*$B$18+OFFSET('Couts fixes'!AE2,0,-$C$25)*$B$18+OFFSET(CAPEX!AE3,0,-$C$25)*$B$18)</f>
        <v>8456.8825174112117</v>
      </c>
      <c r="AF6" s="633">
        <f ca="1">-(OFFSET('Couts variables'!AF3,0,-$C$25)*$B$18+OFFSET('Couts fixes'!AF2,0,-$C$25)*$B$18+OFFSET(CAPEX!AF3,0,-$C$25)*$B$18)</f>
        <v>8697.427580094778</v>
      </c>
      <c r="AG6" s="634">
        <f ca="1">-(OFFSET('Couts variables'!AG3,0,-$C$25)*$B$18+OFFSET('Couts fixes'!AG2,0,-$C$25)*$B$18+OFFSET(CAPEX!AG3,0,-$C$25)*$B$18)</f>
        <v>8941.4297384851034</v>
      </c>
      <c r="AH6" s="635">
        <f ca="1">-(OFFSET('Couts variables'!AH3,0,-$C$25)*$B$18+OFFSET('Couts fixes'!AH2,0,-$C$25)*$B$18+OFFSET(CAPEX!AH3,0,-$C$25)*$B$18)</f>
        <v>8985.8985641516574</v>
      </c>
      <c r="AI6" s="633">
        <f ca="1">-(OFFSET('Couts variables'!AI3,0,-$C$25)*$B$18+OFFSET('Couts fixes'!AI2,0,-$C$25)*$B$18+OFFSET(CAPEX!AI3,0,-$C$25)*$B$18)</f>
        <v>9286.0496654210965</v>
      </c>
      <c r="AJ6" s="633">
        <f ca="1">-(OFFSET('Couts variables'!AJ3,0,-$C$25)*$B$18+OFFSET('Couts fixes'!AJ2,0,-$C$25)*$B$18+OFFSET(CAPEX!AJ3,0,-$C$25)*$B$18)</f>
        <v>9511.9887141380186</v>
      </c>
      <c r="AK6" s="633">
        <f ca="1">-(OFFSET('Couts variables'!AK3,0,-$C$25)*$B$18+OFFSET('Couts fixes'!AK2,0,-$C$25)*$B$18+OFFSET(CAPEX!AK3,0,-$C$25)*$B$18)</f>
        <v>12022.63485101623</v>
      </c>
      <c r="AL6" s="633">
        <f ca="1">-(OFFSET('Couts variables'!AL3,0,-$C$25)*$B$18+OFFSET('Couts fixes'!AL2,0,-$C$25)*$B$18+OFFSET(CAPEX!AL3,0,-$C$25)*$B$18)</f>
        <v>9972.5446805468</v>
      </c>
      <c r="AM6" s="633">
        <f ca="1">-(OFFSET('Couts variables'!AM3,0,-$C$25)*$B$18+OFFSET('Couts fixes'!AM2,0,-$C$25)*$B$18+OFFSET(CAPEX!AM3,0,-$C$25)*$B$18)</f>
        <v>10207.022839776448</v>
      </c>
      <c r="AN6" s="633">
        <f ca="1">-(OFFSET('Couts variables'!AN3,0,-$C$25)*$B$18+OFFSET('Couts fixes'!AN2,0,-$C$25)*$B$18+OFFSET(CAPEX!AN3,0,-$C$25)*$B$18)</f>
        <v>10444.24949242913</v>
      </c>
      <c r="AO6" s="633">
        <f ca="1">-(OFFSET('Couts variables'!AO3,0,-$C$25)*$B$18+OFFSET('Couts fixes'!AO2,0,-$C$25)*$B$18+OFFSET(CAPEX!AO3,0,-$C$25)*$B$18)</f>
        <v>10684.186573029405</v>
      </c>
      <c r="AP6" s="633">
        <f ca="1">-(OFFSET('Couts variables'!AP3,0,-$C$25)*$B$18+OFFSET('Couts fixes'!AP2,0,-$C$25)*$B$18+OFFSET(CAPEX!AP3,0,-$C$25)*$B$18)</f>
        <v>10926.796531030195</v>
      </c>
      <c r="AQ6" s="633">
        <f ca="1">-(OFFSET('Couts variables'!AQ3,0,-$C$25)*$B$18+OFFSET('Couts fixes'!AQ2,0,-$C$25)*$B$18+OFFSET(CAPEX!AQ3,0,-$C$25)*$B$18)</f>
        <v>11172.042324948843</v>
      </c>
      <c r="AR6" s="633">
        <f ca="1">-(OFFSET('Couts variables'!AR3,0,-$C$25)*$B$18+OFFSET('Couts fixes'!AR2,0,-$C$25)*$B$18+OFFSET(CAPEX!AR3,0,-$C$25)*$B$18)</f>
        <v>11419.887416513726</v>
      </c>
      <c r="AS6" s="634">
        <f ca="1">-(OFFSET('Couts variables'!AS3,0,-$C$25)*$B$18+OFFSET('Couts fixes'!AS2,0,-$C$25)*$B$18+OFFSET(CAPEX!AS3,0,-$C$25)*$B$18)</f>
        <v>11670.295764824792</v>
      </c>
      <c r="AT6" s="635">
        <f ca="1">-(OFFSET('Couts variables'!AT3,0,-$C$25)*$B$18+OFFSET('Couts fixes'!AT2,0,-$C$25)*$B$18+OFFSET(CAPEX!AT3,0,-$C$25)*$B$18)</f>
        <v>11332.879628675899</v>
      </c>
      <c r="AU6" s="633">
        <f ca="1">-(OFFSET('Couts variables'!AU3,0,-$C$25)*$B$18+OFFSET('Couts fixes'!AU2,0,-$C$25)*$B$18+OFFSET(CAPEX!AU3,0,-$C$25)*$B$18)</f>
        <v>17080.601355486786</v>
      </c>
      <c r="AV6" s="633">
        <f ca="1">-(OFFSET('Couts variables'!AV3,0,-$C$25)*$B$18+OFFSET('Couts fixes'!AV2,0,-$C$25)*$B$18+OFFSET(CAPEX!AV3,0,-$C$25)*$B$18)</f>
        <v>12242.376721833614</v>
      </c>
      <c r="AW6" s="633">
        <f ca="1">-(OFFSET('Couts variables'!AW3,0,-$C$25)*$B$18+OFFSET('Couts fixes'!AW2,0,-$C$25)*$B$18+OFFSET(CAPEX!AW3,0,-$C$25)*$B$18)</f>
        <v>15183.936484836979</v>
      </c>
      <c r="AX6" s="633">
        <f ca="1">-(OFFSET('Couts variables'!AX3,0,-$C$25)*$B$18+OFFSET('Couts fixes'!AX2,0,-$C$25)*$B$18+OFFSET(CAPEX!AX3,0,-$C$25)*$B$18)</f>
        <v>12567.463735707057</v>
      </c>
      <c r="AY6" s="633">
        <f ca="1">-(OFFSET('Couts variables'!AY3,0,-$C$25)*$B$18+OFFSET('Couts fixes'!AY2,0,-$C$25)*$B$18+OFFSET(CAPEX!AY3,0,-$C$25)*$B$18)</f>
        <v>12730.754249260144</v>
      </c>
      <c r="AZ6" s="633">
        <f ca="1">-(OFFSET('Couts variables'!AZ3,0,-$C$25)*$B$18+OFFSET('Couts fixes'!AZ2,0,-$C$25)*$B$18+OFFSET(CAPEX!AZ3,0,-$C$25)*$B$18)</f>
        <v>12894.528981205822</v>
      </c>
      <c r="BA6" s="633">
        <f ca="1">-(OFFSET('Couts variables'!BA3,0,-$C$25)*$B$18+OFFSET('Couts fixes'!BA2,0,-$C$25)*$B$18+OFFSET(CAPEX!BA3,0,-$C$25)*$B$18)</f>
        <v>13281.072630734261</v>
      </c>
      <c r="BB6" s="633">
        <f ca="1">-(OFFSET('Couts variables'!BB3,0,-$C$25)*$B$18+OFFSET('Couts fixes'!BB2,0,-$C$25)*$B$18+OFFSET(CAPEX!BB3,0,-$C$25)*$B$18)</f>
        <v>13683.85289151912</v>
      </c>
      <c r="BC6" s="633">
        <f ca="1">-(OFFSET('Couts variables'!BC3,0,-$C$25)*$B$18+OFFSET('Couts fixes'!BC2,0,-$C$25)*$B$18+OFFSET(CAPEX!BC3,0,-$C$25)*$B$18)</f>
        <v>13991.247755975286</v>
      </c>
      <c r="BD6" s="633">
        <f ca="1">-(OFFSET('Couts variables'!BD3,0,-$C$25)*$B$18+OFFSET('Couts fixes'!BD2,0,-$C$25)*$B$18+OFFSET(CAPEX!BD3,0,-$C$25)*$B$18)</f>
        <v>14299.078724013301</v>
      </c>
      <c r="BE6" s="634">
        <f ca="1">-(OFFSET('Couts variables'!BE3,0,-$C$25)*$B$18+OFFSET('Couts fixes'!BE2,0,-$C$25)*$B$18+OFFSET(CAPEX!BE3,0,-$C$25)*$B$18)</f>
        <v>14407.336212910139</v>
      </c>
      <c r="BF6" s="635">
        <f ca="1">-(OFFSET('Couts variables'!BF3,0,-$C$25)*$B$18+OFFSET('Couts fixes'!BF2,0,-$C$25)*$B$18+OFFSET(CAPEX!BF3,0,-$C$25)*$B$18)</f>
        <v>14293.157124283643</v>
      </c>
      <c r="BG6" s="633">
        <f ca="1">-(OFFSET('Couts variables'!BG3,0,-$C$25)*$B$18+OFFSET('Couts fixes'!BG2,0,-$C$25)*$B$18+OFFSET(CAPEX!BG3,0,-$C$25)*$B$18)</f>
        <v>27948.139412545104</v>
      </c>
      <c r="BH6" s="633">
        <f ca="1">-(OFFSET('Couts variables'!BH3,0,-$C$25)*$B$18+OFFSET('Couts fixes'!BH2,0,-$C$25)*$B$18+OFFSET(CAPEX!BH3,0,-$C$25)*$B$18)</f>
        <v>19822.141669105138</v>
      </c>
      <c r="BI6" s="633">
        <f ca="1">-(OFFSET('Couts variables'!BI3,0,-$C$25)*$B$18+OFFSET('Couts fixes'!BI2,0,-$C$25)*$B$18+OFFSET(CAPEX!BI3,0,-$C$25)*$B$18)</f>
        <v>25823.076796135094</v>
      </c>
      <c r="BJ6" s="633">
        <f ca="1">-(OFFSET('Couts variables'!BJ3,0,-$C$25)*$B$18+OFFSET('Couts fixes'!BJ2,0,-$C$25)*$B$18+OFFSET(CAPEX!BJ3,0,-$C$25)*$B$18)</f>
        <v>22251.312524433411</v>
      </c>
      <c r="BK6" s="633">
        <f ca="1">-(OFFSET('Couts variables'!BK3,0,-$C$25)*$B$18+OFFSET('Couts fixes'!BK2,0,-$C$25)*$B$18+OFFSET(CAPEX!BK3,0,-$C$25)*$B$18)</f>
        <v>23832.346039013435</v>
      </c>
      <c r="BL6" s="633">
        <f ca="1">-(OFFSET('Couts variables'!BL3,0,-$C$25)*$B$18+OFFSET('Couts fixes'!BL2,0,-$C$25)*$B$18+OFFSET(CAPEX!BL3,0,-$C$25)*$B$18)</f>
        <v>25007.069958171789</v>
      </c>
      <c r="BM6" s="633">
        <f ca="1">-(OFFSET('Couts variables'!BM3,0,-$C$25)*$B$18+OFFSET('Couts fixes'!BM2,0,-$C$25)*$B$18+OFFSET(CAPEX!BM3,0,-$C$25)*$B$18)</f>
        <v>29422.923461320777</v>
      </c>
      <c r="BN6" s="633">
        <f ca="1">-(OFFSET('Couts variables'!BN3,0,-$C$25)*$B$18+OFFSET('Couts fixes'!BN2,0,-$C$25)*$B$18+OFFSET(CAPEX!BN3,0,-$C$25)*$B$18)</f>
        <v>30839.898438591346</v>
      </c>
      <c r="BO6" s="633">
        <f ca="1">-(OFFSET('Couts variables'!BO3,0,-$C$25)*$B$18+OFFSET('Couts fixes'!BO2,0,-$C$25)*$B$18+OFFSET(CAPEX!BO3,0,-$C$25)*$B$18)</f>
        <v>31918.400714737698</v>
      </c>
      <c r="BP6" s="633">
        <f ca="1">-(OFFSET('Couts variables'!BP3,0,-$C$25)*$B$18+OFFSET('Couts fixes'!BP2,0,-$C$25)*$B$18+OFFSET(CAPEX!BP3,0,-$C$25)*$B$18)</f>
        <v>33285.063009867845</v>
      </c>
      <c r="BQ6" s="634">
        <f ca="1">-(OFFSET('Couts variables'!BQ3,0,-$C$25)*$B$18+OFFSET('Couts fixes'!BQ2,0,-$C$25)*$B$18+OFFSET(CAPEX!BQ3,0,-$C$25)*$B$18)</f>
        <v>34846.136656276452</v>
      </c>
      <c r="BR6" s="635">
        <f ca="1">-(OFFSET('Couts variables'!BR3,0,-$C$25)*$B$18+OFFSET('Couts fixes'!BR2,0,-$C$25)*$B$18+OFFSET(CAPEX!BR3,0,-$C$25)*$B$18)</f>
        <v>36030.007943923134</v>
      </c>
      <c r="BS6" s="633">
        <f ca="1">-(OFFSET('Couts variables'!BS3,0,-$C$25)*$B$18+OFFSET('Couts fixes'!BS2,0,-$C$25)*$B$18+OFFSET(CAPEX!BS3,0,-$C$25)*$B$18)</f>
        <v>56359.777617893378</v>
      </c>
      <c r="BT6" s="633">
        <f ca="1">-(OFFSET('Couts variables'!BT3,0,-$C$25)*$B$18+OFFSET('Couts fixes'!BT2,0,-$C$25)*$B$18+OFFSET(CAPEX!BT3,0,-$C$25)*$B$18)</f>
        <v>48693.689652490204</v>
      </c>
      <c r="BU6" s="633">
        <f ca="1">-(OFFSET('Couts variables'!BU3,0,-$C$25)*$B$18+OFFSET('Couts fixes'!BU2,0,-$C$25)*$B$18+OFFSET(CAPEX!BU3,0,-$C$25)*$B$18)</f>
        <v>56742.934422936123</v>
      </c>
      <c r="BV6" s="633">
        <f ca="1">-(OFFSET('Couts variables'!BV3,0,-$C$25)*$B$18+OFFSET('Couts fixes'!BV2,0,-$C$25)*$B$18+OFFSET(CAPEX!BV3,0,-$C$25)*$B$18)</f>
        <v>51789.916203407811</v>
      </c>
      <c r="BW6" s="633">
        <f ca="1">-(OFFSET('Couts variables'!BW3,0,-$C$25)*$B$18+OFFSET('Couts fixes'!BW2,0,-$C$25)*$B$18+OFFSET(CAPEX!BW3,0,-$C$25)*$B$18)</f>
        <v>53645.872932330101</v>
      </c>
      <c r="BX6" s="633">
        <f ca="1">-(OFFSET('Couts variables'!BX3,0,-$C$25)*$B$18+OFFSET('Couts fixes'!BX2,0,-$C$25)*$B$18+OFFSET(CAPEX!BX3,0,-$C$25)*$B$18)</f>
        <v>56313.320280807413</v>
      </c>
      <c r="BY6" s="633">
        <f ca="1">-(OFFSET('Couts variables'!BY3,0,-$C$25)*$B$18+OFFSET('Couts fixes'!BY2,0,-$C$25)*$B$18+OFFSET(CAPEX!BY3,0,-$C$25)*$B$18)</f>
        <v>69573.187942159188</v>
      </c>
      <c r="BZ6" s="633">
        <f ca="1">-(OFFSET('Couts variables'!BZ3,0,-$C$25)*$B$18+OFFSET('Couts fixes'!BZ2,0,-$C$25)*$B$18+OFFSET(CAPEX!BZ3,0,-$C$25)*$B$18)</f>
        <v>73177.468225172939</v>
      </c>
      <c r="CA6" s="633">
        <f ca="1">-(OFFSET('Couts variables'!CA3,0,-$C$25)*$B$18+OFFSET('Couts fixes'!CA2,0,-$C$25)*$B$18+OFFSET(CAPEX!CA3,0,-$C$25)*$B$18)</f>
        <v>77047.471735136525</v>
      </c>
      <c r="CB6" s="633">
        <f ca="1">-(OFFSET('Couts variables'!CB3,0,-$C$25)*$B$18+OFFSET('Couts fixes'!CB2,0,-$C$25)*$B$18+OFFSET(CAPEX!CB3,0,-$C$25)*$B$18)</f>
        <v>81217.074915550184</v>
      </c>
      <c r="CC6" s="634">
        <f ca="1">-(OFFSET('Couts variables'!CC3,0,-$C$25)*$B$18+OFFSET('Couts fixes'!CC2,0,-$C$25)*$B$18+OFFSET(CAPEX!CC3,0,-$C$25)*$B$18)</f>
        <v>84719.038953530049</v>
      </c>
    </row>
    <row r="7" spans="1:82" ht="15.75" customHeight="1">
      <c r="A7" s="58" t="s">
        <v>453</v>
      </c>
      <c r="B7" s="121"/>
      <c r="C7" s="348"/>
      <c r="D7" s="337">
        <f t="shared" ref="D7:CC7" ca="1" si="0">D5+D6</f>
        <v>-8186.6743383992798</v>
      </c>
      <c r="E7" s="337">
        <f t="shared" ca="1" si="0"/>
        <v>-8835.2799882771778</v>
      </c>
      <c r="F7" s="337">
        <f t="shared" ca="1" si="0"/>
        <v>-8858.235458926305</v>
      </c>
      <c r="G7" s="337">
        <f t="shared" ca="1" si="0"/>
        <v>-8857.2486305454604</v>
      </c>
      <c r="H7" s="337">
        <f t="shared" ca="1" si="0"/>
        <v>-9232.411589718271</v>
      </c>
      <c r="I7" s="338">
        <f t="shared" ca="1" si="0"/>
        <v>-9140.0020663820578</v>
      </c>
      <c r="J7" s="336">
        <f t="shared" ca="1" si="0"/>
        <v>-8407.6873284400826</v>
      </c>
      <c r="K7" s="337">
        <f t="shared" ca="1" si="0"/>
        <v>-2603.1099513432546</v>
      </c>
      <c r="L7" s="337">
        <f t="shared" ca="1" si="0"/>
        <v>-8566.2038094433774</v>
      </c>
      <c r="M7" s="337">
        <f t="shared" ca="1" si="0"/>
        <v>-6665.678409749703</v>
      </c>
      <c r="N7" s="337">
        <f t="shared" ca="1" si="0"/>
        <v>-8730.6251108119504</v>
      </c>
      <c r="O7" s="337">
        <f t="shared" ca="1" si="0"/>
        <v>-8889.2210885859349</v>
      </c>
      <c r="P7" s="337">
        <f t="shared" ca="1" si="0"/>
        <v>-8463.0257236580364</v>
      </c>
      <c r="Q7" s="337">
        <f t="shared" ca="1" si="0"/>
        <v>-8915.4977116260925</v>
      </c>
      <c r="R7" s="337">
        <f t="shared" ca="1" si="0"/>
        <v>-9153.5708029429043</v>
      </c>
      <c r="S7" s="337">
        <f t="shared" ca="1" si="0"/>
        <v>-4408.7029709180442</v>
      </c>
      <c r="T7" s="337">
        <f t="shared" ca="1" si="0"/>
        <v>-4617.4103088027678</v>
      </c>
      <c r="U7" s="338">
        <f t="shared" ca="1" si="0"/>
        <v>-9839.8282302592233</v>
      </c>
      <c r="V7" s="336">
        <f t="shared" ca="1" si="0"/>
        <v>-9827.5942831809989</v>
      </c>
      <c r="W7" s="337">
        <f t="shared" ca="1" si="0"/>
        <v>-11437.266590362113</v>
      </c>
      <c r="X7" s="337">
        <f t="shared" ca="1" si="0"/>
        <v>-11637.348199479282</v>
      </c>
      <c r="Y7" s="337">
        <f t="shared" ca="1" si="0"/>
        <v>-9610.3105394837112</v>
      </c>
      <c r="Z7" s="337">
        <f t="shared" ca="1" si="0"/>
        <v>-12141.480459072289</v>
      </c>
      <c r="AA7" s="337">
        <f t="shared" ca="1" si="0"/>
        <v>-12385.593746645198</v>
      </c>
      <c r="AB7" s="337">
        <f t="shared" ca="1" si="0"/>
        <v>-12624.509824839506</v>
      </c>
      <c r="AC7" s="337">
        <f t="shared" ca="1" si="0"/>
        <v>-12804.486782990556</v>
      </c>
      <c r="AD7" s="337">
        <f t="shared" ca="1" si="0"/>
        <v>-13090.211558495872</v>
      </c>
      <c r="AE7" s="337">
        <f t="shared" ca="1" si="0"/>
        <v>-13353.743498175349</v>
      </c>
      <c r="AF7" s="337">
        <f t="shared" ca="1" si="0"/>
        <v>-13611.491912479256</v>
      </c>
      <c r="AG7" s="338">
        <f t="shared" ca="1" si="0"/>
        <v>-13863.548019712742</v>
      </c>
      <c r="AH7" s="336">
        <f t="shared" ca="1" si="0"/>
        <v>-14312.929650161101</v>
      </c>
      <c r="AI7" s="337">
        <f t="shared" ca="1" si="0"/>
        <v>-16389.016442825923</v>
      </c>
      <c r="AJ7" s="337">
        <f t="shared" ca="1" si="0"/>
        <v>-16745.880191534008</v>
      </c>
      <c r="AK7" s="337">
        <f t="shared" ca="1" si="0"/>
        <v>-14817.42804417914</v>
      </c>
      <c r="AL7" s="337">
        <f t="shared" ca="1" si="0"/>
        <v>-17449.095831925704</v>
      </c>
      <c r="AM7" s="337">
        <f t="shared" ca="1" si="0"/>
        <v>-17795.571666847405</v>
      </c>
      <c r="AN7" s="337">
        <f t="shared" ca="1" si="0"/>
        <v>-18138.668439710687</v>
      </c>
      <c r="AO7" s="337">
        <f t="shared" ca="1" si="0"/>
        <v>-18478.417567938013</v>
      </c>
      <c r="AP7" s="337">
        <f t="shared" ca="1" si="0"/>
        <v>-18814.850243744761</v>
      </c>
      <c r="AQ7" s="337">
        <f t="shared" ca="1" si="0"/>
        <v>-19147.99743244196</v>
      </c>
      <c r="AR7" s="337">
        <f t="shared" ca="1" si="0"/>
        <v>-19477.889870899598</v>
      </c>
      <c r="AS7" s="338">
        <f t="shared" ca="1" si="0"/>
        <v>-19804.558066162914</v>
      </c>
      <c r="AT7" s="336">
        <f t="shared" ca="1" si="0"/>
        <v>-20718.384486071056</v>
      </c>
      <c r="AU7" s="337">
        <f t="shared" ca="1" si="0"/>
        <v>-18704.209231117351</v>
      </c>
      <c r="AV7" s="337">
        <f t="shared" ca="1" si="0"/>
        <v>-24122.176218084911</v>
      </c>
      <c r="AW7" s="337">
        <f t="shared" ca="1" si="0"/>
        <v>-21758.804246310814</v>
      </c>
      <c r="AX7" s="337">
        <f t="shared" ca="1" si="0"/>
        <v>-24951.895648177477</v>
      </c>
      <c r="AY7" s="337">
        <f t="shared" ca="1" si="0"/>
        <v>-25363.640939465564</v>
      </c>
      <c r="AZ7" s="337">
        <f t="shared" ca="1" si="0"/>
        <v>-25773.306293610123</v>
      </c>
      <c r="BA7" s="337">
        <f t="shared" ca="1" si="0"/>
        <v>-25958.594951490879</v>
      </c>
      <c r="BB7" s="337">
        <f t="shared" ca="1" si="0"/>
        <v>-26368.332556047608</v>
      </c>
      <c r="BC7" s="337">
        <f t="shared" ca="1" si="0"/>
        <v>-26798.030101182681</v>
      </c>
      <c r="BD7" s="337">
        <f t="shared" ca="1" si="0"/>
        <v>-27224.338447715403</v>
      </c>
      <c r="BE7" s="338">
        <f t="shared" ca="1" si="0"/>
        <v>-27847.278125489211</v>
      </c>
      <c r="BF7" s="336">
        <f t="shared" ca="1" si="0"/>
        <v>-28689.723442583745</v>
      </c>
      <c r="BG7" s="337">
        <f t="shared" ca="1" si="0"/>
        <v>-22924.344731017722</v>
      </c>
      <c r="BH7" s="337">
        <f t="shared" ca="1" si="0"/>
        <v>-31853.572280242155</v>
      </c>
      <c r="BI7" s="337">
        <f t="shared" ca="1" si="0"/>
        <v>-27271.926664007522</v>
      </c>
      <c r="BJ7" s="337">
        <f t="shared" ca="1" si="0"/>
        <v>-31983.779776394698</v>
      </c>
      <c r="BK7" s="337">
        <f t="shared" ca="1" si="0"/>
        <v>-32512.989777842922</v>
      </c>
      <c r="BL7" s="337">
        <f t="shared" ca="1" si="0"/>
        <v>-34144.091257529115</v>
      </c>
      <c r="BM7" s="337">
        <f t="shared" ca="1" si="0"/>
        <v>-32246.708986226444</v>
      </c>
      <c r="BN7" s="337">
        <f t="shared" ca="1" si="0"/>
        <v>-34131.212630641792</v>
      </c>
      <c r="BO7" s="337">
        <f t="shared" ca="1" si="0"/>
        <v>-35204.681878531657</v>
      </c>
      <c r="BP7" s="337">
        <f t="shared" ca="1" si="0"/>
        <v>-36023.550168445225</v>
      </c>
      <c r="BQ7" s="338">
        <f t="shared" ca="1" si="0"/>
        <v>-36668.032489435711</v>
      </c>
      <c r="BR7" s="336">
        <f t="shared" ca="1" si="0"/>
        <v>-37700.430494755376</v>
      </c>
      <c r="BS7" s="337">
        <f t="shared" ca="1" si="0"/>
        <v>-27889.72058380911</v>
      </c>
      <c r="BT7" s="337">
        <f t="shared" ca="1" si="0"/>
        <v>-38078.748298664323</v>
      </c>
      <c r="BU7" s="337">
        <f t="shared" ca="1" si="0"/>
        <v>-32453.661084106316</v>
      </c>
      <c r="BV7" s="337">
        <f t="shared" ca="1" si="0"/>
        <v>-39953.50925521383</v>
      </c>
      <c r="BW7" s="337">
        <f t="shared" ca="1" si="0"/>
        <v>-40543.772767899958</v>
      </c>
      <c r="BX7" s="337">
        <f t="shared" ca="1" si="0"/>
        <v>-40310.920014214964</v>
      </c>
      <c r="BY7" s="337">
        <f t="shared" ca="1" si="0"/>
        <v>-29762.582633451253</v>
      </c>
      <c r="BZ7" s="337">
        <f t="shared" ca="1" si="0"/>
        <v>-34215.194355799438</v>
      </c>
      <c r="CA7" s="337">
        <f t="shared" ca="1" si="0"/>
        <v>-36616.339026952322</v>
      </c>
      <c r="CB7" s="337">
        <f t="shared" ca="1" si="0"/>
        <v>-38606.440118651168</v>
      </c>
      <c r="CC7" s="338">
        <f t="shared" ca="1" si="0"/>
        <v>-41361.667773325491</v>
      </c>
    </row>
    <row r="14" spans="1:82" ht="15.75" customHeight="1">
      <c r="A14" s="3" t="s">
        <v>454</v>
      </c>
      <c r="B14" s="636">
        <v>0</v>
      </c>
      <c r="C14" s="4"/>
    </row>
    <row r="15" spans="1:82" ht="15.75" customHeight="1">
      <c r="A15" s="4"/>
      <c r="B15" s="4"/>
      <c r="C15" s="4"/>
    </row>
    <row r="16" spans="1:82" ht="15.75" customHeight="1">
      <c r="A16" s="4"/>
      <c r="B16" s="4"/>
      <c r="C16" s="4"/>
    </row>
    <row r="17" spans="1:6" ht="15.75" customHeight="1">
      <c r="A17" s="4"/>
      <c r="B17" s="435" t="s">
        <v>83</v>
      </c>
      <c r="C17" s="5" t="s">
        <v>84</v>
      </c>
      <c r="D17" s="5" t="s">
        <v>85</v>
      </c>
      <c r="E17" s="5" t="s">
        <v>86</v>
      </c>
      <c r="F17" s="5" t="s">
        <v>87</v>
      </c>
    </row>
    <row r="18" spans="1:6" ht="15">
      <c r="A18" s="401" t="s">
        <v>455</v>
      </c>
      <c r="B18" s="436">
        <v>0.2</v>
      </c>
      <c r="C18" s="436">
        <v>0</v>
      </c>
      <c r="D18" s="436">
        <v>0</v>
      </c>
      <c r="E18" s="436">
        <v>0</v>
      </c>
      <c r="F18" s="436">
        <v>0</v>
      </c>
    </row>
    <row r="19" spans="1:6" ht="15.75" customHeight="1">
      <c r="A19" s="4"/>
      <c r="B19" s="4"/>
      <c r="C19" s="4"/>
    </row>
    <row r="20" spans="1:6" ht="15.75" customHeight="1">
      <c r="A20" s="4"/>
      <c r="B20" s="4"/>
      <c r="C20" s="4"/>
    </row>
    <row r="21" spans="1:6" ht="15.75" customHeight="1">
      <c r="A21" s="4"/>
      <c r="B21" s="4"/>
      <c r="C21" s="4"/>
    </row>
    <row r="22" spans="1:6" ht="15.75" customHeight="1">
      <c r="A22" s="4"/>
      <c r="B22" s="4"/>
      <c r="C22" s="4"/>
    </row>
    <row r="23" spans="1:6" ht="15.75" customHeight="1">
      <c r="A23" s="4"/>
      <c r="B23" s="166" t="s">
        <v>230</v>
      </c>
      <c r="C23" s="166" t="s">
        <v>231</v>
      </c>
    </row>
    <row r="24" spans="1:6" ht="15.75" customHeight="1">
      <c r="A24" s="3" t="s">
        <v>456</v>
      </c>
      <c r="B24" s="4"/>
      <c r="C24" s="637">
        <v>1</v>
      </c>
    </row>
    <row r="25" spans="1:6" ht="15.75" customHeight="1">
      <c r="A25" s="3" t="s">
        <v>457</v>
      </c>
      <c r="B25" s="4"/>
      <c r="C25" s="637">
        <v>1</v>
      </c>
    </row>
  </sheetData>
  <mergeCells count="7">
    <mergeCell ref="BF3:BQ3"/>
    <mergeCell ref="BR3:CC3"/>
    <mergeCell ref="C3:I3"/>
    <mergeCell ref="J3:U3"/>
    <mergeCell ref="V3:AG3"/>
    <mergeCell ref="AH3:AS3"/>
    <mergeCell ref="AT3:B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83"/>
  <sheetViews>
    <sheetView workbookViewId="0">
      <selection activeCell="I23" sqref="I23"/>
    </sheetView>
  </sheetViews>
  <sheetFormatPr baseColWidth="10" defaultColWidth="12.6640625" defaultRowHeight="15.75" customHeight="1" outlineLevelRow="1"/>
  <cols>
    <col min="1" max="1" width="26" customWidth="1"/>
  </cols>
  <sheetData>
    <row r="1" spans="1:26" ht="16">
      <c r="A1" s="180" t="s">
        <v>458</v>
      </c>
    </row>
    <row r="3" spans="1:26" ht="14">
      <c r="A3" s="2" t="s">
        <v>459</v>
      </c>
      <c r="B3" s="61"/>
      <c r="C3" s="61"/>
      <c r="D3" s="61"/>
      <c r="E3" s="61"/>
      <c r="F3" s="61"/>
      <c r="G3" s="61"/>
    </row>
    <row r="4" spans="1:26" ht="14">
      <c r="A4" s="61"/>
      <c r="B4" s="61"/>
      <c r="C4" s="61"/>
      <c r="D4" s="61"/>
      <c r="E4" s="61"/>
      <c r="F4" s="61"/>
      <c r="G4" s="61"/>
    </row>
    <row r="5" spans="1:26" ht="14">
      <c r="A5" s="61"/>
      <c r="B5" s="166">
        <v>2024</v>
      </c>
      <c r="C5" s="166">
        <v>2025</v>
      </c>
      <c r="D5" s="166">
        <v>2026</v>
      </c>
      <c r="E5" s="166">
        <v>2027</v>
      </c>
      <c r="F5" s="166">
        <v>2028</v>
      </c>
      <c r="G5" s="166">
        <v>2029</v>
      </c>
      <c r="H5" s="166">
        <v>2030</v>
      </c>
      <c r="I5" s="166">
        <v>2031</v>
      </c>
    </row>
    <row r="6" spans="1:26" ht="14">
      <c r="A6" s="638" t="s">
        <v>141</v>
      </c>
      <c r="B6" s="639">
        <f>N44</f>
        <v>0.10466174574128359</v>
      </c>
      <c r="C6" s="639">
        <f>$N$44</f>
        <v>0.10466174574128359</v>
      </c>
      <c r="D6" s="639">
        <f>$N$45</f>
        <v>8.4563143338394722E-2</v>
      </c>
      <c r="E6" s="639">
        <f>$N$46</f>
        <v>6.4055215891049067E-2</v>
      </c>
      <c r="F6" s="639">
        <f>$N$47</f>
        <v>5.3645420186557116E-2</v>
      </c>
      <c r="G6" s="639">
        <f>$N$48</f>
        <v>5.3645420186557116E-2</v>
      </c>
      <c r="H6" s="639">
        <f>$N$49</f>
        <v>5.3645420186557116E-2</v>
      </c>
      <c r="I6" s="639">
        <f>$N$50</f>
        <v>5.3645420186557116E-2</v>
      </c>
      <c r="J6" s="640"/>
      <c r="K6" s="640"/>
      <c r="L6" s="640"/>
      <c r="M6" s="640"/>
      <c r="N6" s="640"/>
      <c r="O6" s="640"/>
      <c r="P6" s="640"/>
      <c r="Q6" s="640"/>
      <c r="R6" s="640"/>
      <c r="S6" s="640"/>
      <c r="T6" s="640"/>
      <c r="U6" s="640"/>
      <c r="V6" s="640"/>
      <c r="W6" s="640"/>
      <c r="X6" s="640"/>
      <c r="Y6" s="640"/>
      <c r="Z6" s="640"/>
    </row>
    <row r="7" spans="1:26" ht="14">
      <c r="A7" s="638" t="s">
        <v>147</v>
      </c>
      <c r="B7" s="639">
        <f>N51</f>
        <v>0.23919697156069106</v>
      </c>
      <c r="C7" s="639">
        <f>$N$51</f>
        <v>0.23919697156069106</v>
      </c>
      <c r="D7" s="639">
        <f>$N$52</f>
        <v>0.17651034166339671</v>
      </c>
      <c r="E7" s="639">
        <f>$N$53</f>
        <v>0.15316551437474402</v>
      </c>
      <c r="F7" s="639">
        <f>$N$54</f>
        <v>0.13405824919795337</v>
      </c>
      <c r="G7" s="639">
        <f>$N$55</f>
        <v>0.12435839071261355</v>
      </c>
      <c r="H7" s="639">
        <f>$N$56</f>
        <v>0.11455985706349622</v>
      </c>
      <c r="I7" s="639">
        <f>$N$57</f>
        <v>0.12435839071261355</v>
      </c>
      <c r="J7" s="640"/>
      <c r="K7" s="640"/>
      <c r="L7" s="640"/>
      <c r="M7" s="640"/>
      <c r="N7" s="640"/>
      <c r="O7" s="640"/>
      <c r="P7" s="640"/>
      <c r="Q7" s="640"/>
      <c r="R7" s="640"/>
      <c r="S7" s="640"/>
      <c r="T7" s="640"/>
      <c r="U7" s="640"/>
      <c r="V7" s="640"/>
      <c r="W7" s="640"/>
      <c r="X7" s="640"/>
      <c r="Y7" s="640"/>
      <c r="Z7" s="640"/>
    </row>
    <row r="8" spans="1:26" ht="14">
      <c r="A8" s="638" t="s">
        <v>148</v>
      </c>
      <c r="B8" s="639">
        <f t="shared" ref="B8:C8" si="0">$N$58</f>
        <v>0.41913340363833024</v>
      </c>
      <c r="C8" s="639">
        <f t="shared" si="0"/>
        <v>0.41913340363833024</v>
      </c>
      <c r="D8" s="639">
        <f>$N$59</f>
        <v>0.35910133890419332</v>
      </c>
      <c r="E8" s="639">
        <f>$N$60</f>
        <v>0.33050480340064964</v>
      </c>
      <c r="F8" s="639">
        <f>$N$61</f>
        <v>0.31436174457055743</v>
      </c>
      <c r="G8" s="639">
        <f>$N$62</f>
        <v>0.41308270992622942</v>
      </c>
      <c r="H8" s="639">
        <f>$N$63</f>
        <v>0.28911929371106099</v>
      </c>
      <c r="I8" s="639">
        <f>$N$64</f>
        <v>0.27879920389676033</v>
      </c>
      <c r="J8" s="640"/>
      <c r="K8" s="640"/>
      <c r="L8" s="640"/>
      <c r="M8" s="640"/>
      <c r="N8" s="640"/>
      <c r="O8" s="640"/>
      <c r="P8" s="640"/>
      <c r="Q8" s="640"/>
      <c r="R8" s="640"/>
      <c r="S8" s="640"/>
      <c r="T8" s="640"/>
      <c r="U8" s="640"/>
      <c r="V8" s="640"/>
      <c r="W8" s="640"/>
      <c r="X8" s="640"/>
      <c r="Y8" s="640"/>
      <c r="Z8" s="640"/>
    </row>
    <row r="9" spans="1:26" ht="14">
      <c r="A9" s="3" t="s">
        <v>460</v>
      </c>
      <c r="B9" s="639">
        <f t="shared" ref="B9:I9" si="1">B36</f>
        <v>0.31724137931034485</v>
      </c>
      <c r="C9" s="639">
        <f t="shared" si="1"/>
        <v>0.31426632523322845</v>
      </c>
      <c r="D9" s="639">
        <f t="shared" ca="1" si="1"/>
        <v>0.32331654915794672</v>
      </c>
      <c r="E9" s="639">
        <f t="shared" ca="1" si="1"/>
        <v>0.34689334120549226</v>
      </c>
      <c r="F9" s="639">
        <f t="shared" ca="1" si="1"/>
        <v>0.37681320970277377</v>
      </c>
      <c r="G9" s="639">
        <f t="shared" ca="1" si="1"/>
        <v>0.40900154427912649</v>
      </c>
      <c r="H9" s="639">
        <f t="shared" ca="1" si="1"/>
        <v>0.43420690994648736</v>
      </c>
      <c r="I9" s="639">
        <f t="shared" ca="1" si="1"/>
        <v>0.4397554514794344</v>
      </c>
    </row>
    <row r="10" spans="1:26" ht="14">
      <c r="A10" s="3" t="s">
        <v>461</v>
      </c>
      <c r="B10" s="639">
        <f t="shared" ref="B10:I10" si="2">B37</f>
        <v>0.41379310344827586</v>
      </c>
      <c r="C10" s="639">
        <f t="shared" si="2"/>
        <v>0.43181088760004754</v>
      </c>
      <c r="D10" s="639">
        <f t="shared" ca="1" si="2"/>
        <v>0.46238286471069201</v>
      </c>
      <c r="E10" s="639">
        <f t="shared" ca="1" si="2"/>
        <v>0.47840519113232066</v>
      </c>
      <c r="F10" s="639">
        <f t="shared" ca="1" si="2"/>
        <v>0.48440475674590139</v>
      </c>
      <c r="G10" s="639">
        <f t="shared" ca="1" si="2"/>
        <v>0.48580234279859408</v>
      </c>
      <c r="H10" s="639">
        <f t="shared" ca="1" si="2"/>
        <v>0.4748696036290036</v>
      </c>
      <c r="I10" s="639">
        <f t="shared" ca="1" si="2"/>
        <v>0.4775511071516505</v>
      </c>
    </row>
    <row r="11" spans="1:26" ht="14">
      <c r="A11" s="3" t="s">
        <v>462</v>
      </c>
      <c r="B11" s="639">
        <f t="shared" ref="B11:I11" si="3">B38</f>
        <v>0.26896551724137929</v>
      </c>
      <c r="C11" s="639">
        <f t="shared" si="3"/>
        <v>0.25392278716672406</v>
      </c>
      <c r="D11" s="639">
        <f t="shared" ca="1" si="3"/>
        <v>0.21430058613136119</v>
      </c>
      <c r="E11" s="639">
        <f t="shared" ca="1" si="3"/>
        <v>0.17470146766218717</v>
      </c>
      <c r="F11" s="639">
        <f t="shared" ca="1" si="3"/>
        <v>0.13878203355132479</v>
      </c>
      <c r="G11" s="639">
        <f t="shared" ca="1" si="3"/>
        <v>0.10519611292227951</v>
      </c>
      <c r="H11" s="639">
        <f t="shared" ca="1" si="3"/>
        <v>9.0923486424508995E-2</v>
      </c>
      <c r="I11" s="639">
        <f t="shared" ca="1" si="3"/>
        <v>8.2693441368915113E-2</v>
      </c>
    </row>
    <row r="12" spans="1:26" ht="14">
      <c r="A12" s="2" t="s">
        <v>463</v>
      </c>
      <c r="B12" s="641">
        <f t="shared" ref="B12:I12" si="4">B6*B9+B7*B10+B8*B11</f>
        <v>0.24491352648024406</v>
      </c>
      <c r="C12" s="641">
        <f t="shared" si="4"/>
        <v>0.24260704087399343</v>
      </c>
      <c r="D12" s="641">
        <f t="shared" ca="1" si="4"/>
        <v>0.18591164852722819</v>
      </c>
      <c r="E12" s="641">
        <f t="shared" ca="1" si="4"/>
        <v>0.1532351792649109</v>
      </c>
      <c r="F12" s="641">
        <f t="shared" ca="1" si="4"/>
        <v>0.12878051874111068</v>
      </c>
      <c r="G12" s="641">
        <f t="shared" ca="1" si="4"/>
        <v>0.12580935265429594</v>
      </c>
      <c r="H12" s="641">
        <f t="shared" ca="1" si="4"/>
        <v>0.10398194022432491</v>
      </c>
      <c r="I12" s="641">
        <f t="shared" ca="1" si="4"/>
        <v>0.10603321876348648</v>
      </c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7" spans="1:26" ht="14">
      <c r="A17" s="2" t="s">
        <v>464</v>
      </c>
      <c r="B17" s="61"/>
      <c r="C17" s="61"/>
      <c r="D17" s="61"/>
      <c r="E17" s="61"/>
      <c r="F17" s="61"/>
      <c r="G17" s="61"/>
    </row>
    <row r="18" spans="1:26" ht="14">
      <c r="A18" s="61"/>
      <c r="B18" s="61"/>
      <c r="C18" s="61"/>
      <c r="D18" s="61"/>
      <c r="E18" s="61"/>
      <c r="F18" s="61"/>
      <c r="G18" s="61"/>
    </row>
    <row r="19" spans="1:26" ht="14">
      <c r="A19" s="61"/>
      <c r="B19" s="166">
        <v>2024</v>
      </c>
      <c r="C19" s="166">
        <v>2025</v>
      </c>
      <c r="D19" s="166">
        <v>2026</v>
      </c>
      <c r="E19" s="166">
        <v>2027</v>
      </c>
      <c r="F19" s="166">
        <v>2028</v>
      </c>
      <c r="G19" s="166">
        <v>2029</v>
      </c>
      <c r="H19" s="166">
        <v>2029</v>
      </c>
      <c r="I19" s="166">
        <v>2029</v>
      </c>
    </row>
    <row r="20" spans="1:26" ht="14">
      <c r="A20" s="194" t="s">
        <v>141</v>
      </c>
      <c r="B20" s="642">
        <v>1.2E-2</v>
      </c>
      <c r="C20" s="643" cm="1">
        <f t="array" ref="C20">_xlfn.IFS('Prévisionnel annuel'!$O$6="Standard",1%,'Prévisionnel annuel'!$O$6="Optimiste",0.8%,'Prévisionnel annuel'!$O$6="Conservateur",1.2%)</f>
        <v>0.01</v>
      </c>
      <c r="D20" s="643" cm="1">
        <f t="array" ref="D20">_xlfn.IFS('Prévisionnel annuel'!$O$6="Standard",0.8%,'Prévisionnel annuel'!$O$6="Optimiste",0.6%,'Prévisionnel annuel'!$O$6="Conservateur",1%)</f>
        <v>8.0000000000000002E-3</v>
      </c>
      <c r="E20" s="643" cm="1">
        <f t="array" ref="E20">_xlfn.IFS('Prévisionnel annuel'!$O$6="Standard",0.6%,'Prévisionnel annuel'!$O$6="Optimiste",0.5%,'Prévisionnel annuel'!$O$6="Conservateur",0.9%)</f>
        <v>6.0000000000000001E-3</v>
      </c>
      <c r="F20" s="643" cm="1">
        <f t="array" ref="F20">_xlfn.IFS('Prévisionnel annuel'!$O$6="Standard",0.5%,'Prévisionnel annuel'!$O$6="Optimiste",0.4%,'Prévisionnel annuel'!$O$6="Conservateur",0.8%)</f>
        <v>5.0000000000000001E-3</v>
      </c>
      <c r="G20" s="643" cm="1">
        <f t="array" ref="G20">_xlfn.IFS('Prévisionnel annuel'!$O$6="Standard",0.5%,'Prévisionnel annuel'!$O$6="Optimiste",0.4%,'Prévisionnel annuel'!$O$6="Conservateur",0.9%)</f>
        <v>5.0000000000000001E-3</v>
      </c>
      <c r="H20" s="643" cm="1">
        <f t="array" ref="H20">_xlfn.IFS('Prévisionnel annuel'!$O$6="Standard",0.5%,'Prévisionnel annuel'!$O$6="Optimiste",0.4%,'Prévisionnel annuel'!$O$6="Conservateur",0.9%)</f>
        <v>5.0000000000000001E-3</v>
      </c>
      <c r="I20" s="639" cm="1">
        <f t="array" ref="I20">_xlfn.IFS('Prévisionnel annuel'!$O$6="Standard",0.5%,'Prévisionnel annuel'!$O$6="Optimiste",0.4%,'Prévisionnel annuel'!$O$6="Conservateur",0.9%)</f>
        <v>5.0000000000000001E-3</v>
      </c>
    </row>
    <row r="21" spans="1:26" ht="14">
      <c r="A21" s="194" t="s">
        <v>147</v>
      </c>
      <c r="B21" s="644">
        <v>2.5000000000000001E-2</v>
      </c>
      <c r="C21" s="643" cm="1">
        <f t="array" ref="C21">_xlfn.IFS('Prévisionnel annuel'!$O$6="Standard",2%,'Prévisionnel annuel'!$O$6="Optimiste",1.7%,'Prévisionnel annuel'!$O$6="Conservateur",2.5%)</f>
        <v>0.02</v>
      </c>
      <c r="D21" s="643" cm="1">
        <f t="array" ref="D21">_xlfn.IFS('Prévisionnel annuel'!$O$6="Standard",1.75%,'Prévisionnel annuel'!$O$6="Optimiste",1.5%,'Prévisionnel annuel'!$O$6="Conservateur",2.25%)</f>
        <v>1.7500000000000002E-2</v>
      </c>
      <c r="E21" s="643" cm="1">
        <f t="array" ref="E21">_xlfn.IFS('Prévisionnel annuel'!$O$6="Standard",1.5%,'Prévisionnel annuel'!$O$6="Optimiste",1.3%,'Prévisionnel annuel'!$O$6="Conservateur",2%)</f>
        <v>1.4999999999999999E-2</v>
      </c>
      <c r="F21" s="643" cm="1">
        <f t="array" ref="F21">_xlfn.IFS('Prévisionnel annuel'!$O$6="Standard",1.3%,'Prévisionnel annuel'!$O$6="Optimiste",1%,'Prévisionnel annuel'!$O$6="Conservateur",1.9%)</f>
        <v>1.3000000000000001E-2</v>
      </c>
      <c r="G21" s="643" cm="1">
        <f t="array" ref="G21">_xlfn.IFS('Prévisionnel annuel'!$O$6="Standard",1.2%,'Prévisionnel annuel'!$O$6="Optimiste",0.9%,'Prévisionnel annuel'!$O$6="Conservateur",2%)</f>
        <v>1.2E-2</v>
      </c>
      <c r="H21" s="643" cm="1">
        <f t="array" ref="H21">_xlfn.IFS('Prévisionnel annuel'!$O$6="Standard",1.1%,'Prévisionnel annuel'!$O$6="Optimiste",0.8%,'Prévisionnel annuel'!$O$6="Conservateur",2%)</f>
        <v>1.1000000000000001E-2</v>
      </c>
      <c r="I21" s="643" cm="1">
        <f t="array" ref="I21">_xlfn.IFS('Prévisionnel annuel'!$O$6="Standard",1.2%,'Prévisionnel annuel'!$O$6="Optimiste",0.9%,'Prévisionnel annuel'!$O$6="Conservateur",2%)</f>
        <v>1.2E-2</v>
      </c>
    </row>
    <row r="22" spans="1:26" ht="14">
      <c r="A22" s="638" t="s">
        <v>148</v>
      </c>
      <c r="B22" s="644">
        <v>4.9000000000000002E-2</v>
      </c>
      <c r="C22" s="643" cm="1">
        <f t="array" ref="C22">_xlfn.IFS('Prévisionnel annuel'!$O$6="Standard",4%,'Prévisionnel annuel'!$O$6="Optimiste",3.5%,'Prévisionnel annuel'!$O$6="Conservateur",4.5%)</f>
        <v>0.04</v>
      </c>
      <c r="D22" s="643" cm="1">
        <f t="array" ref="D22">_xlfn.IFS('Prévisionnel annuel'!$O$6="Standard",3.6%,'Prévisionnel annuel'!$O$6="Optimiste",3.2%,'Prévisionnel annuel'!$O$6="Conservateur",4%)</f>
        <v>3.6000000000000004E-2</v>
      </c>
      <c r="E22" s="643" cm="1">
        <f t="array" ref="E22">_xlfn.IFS('Prévisionnel annuel'!$O$6="Standard",3.4%,'Prévisionnel annuel'!$O$6="Optimiste",3%,'Prévisionnel annuel'!$O$6="Conservateur",3.8%)</f>
        <v>3.4000000000000002E-2</v>
      </c>
      <c r="F22" s="643" cm="1">
        <f t="array" ref="F22">_xlfn.IFS('Prévisionnel annuel'!$O$6="Standard",3.1%,'Prévisionnel annuel'!$O$6="Optimiste",2.75%,'Prévisionnel annuel'!$O$6="Conservateur",3.8%)</f>
        <v>3.1E-2</v>
      </c>
      <c r="G22" s="643" cm="1">
        <f t="array" ref="G22">_xlfn.IFS('Prévisionnel annuel'!$O$6="Standard",3%,'Prévisionnel annuel'!$O$6="Optimiste",2.6%,'Prévisionnel annuel'!$O$6="Conservateur",3.6%)</f>
        <v>0.03</v>
      </c>
      <c r="H22" s="643" cm="1">
        <f t="array" ref="H22">_xlfn.IFS('Prévisionnel annuel'!$O$6="Standard",2.6%,'Prévisionnel annuel'!$O$6="Optimiste",2.2%,'Prévisionnel annuel'!$O$6="Conservateur",3.4%)</f>
        <v>2.6000000000000002E-2</v>
      </c>
      <c r="I22" s="643" cm="1">
        <f t="array" ref="I22">_xlfn.IFS('Prévisionnel annuel'!$O$6="Standard",2.2%,'Prévisionnel annuel'!$O$6="Optimiste",1.8%,'Prévisionnel annuel'!$O$6="Conservateur",3.4%)</f>
        <v>2.2000000000000002E-2</v>
      </c>
      <c r="J22" s="640"/>
      <c r="K22" s="640"/>
      <c r="L22" s="640"/>
      <c r="M22" s="640"/>
      <c r="N22" s="640"/>
      <c r="O22" s="640"/>
      <c r="P22" s="640"/>
      <c r="Q22" s="640"/>
      <c r="R22" s="640"/>
      <c r="S22" s="640"/>
      <c r="T22" s="640"/>
      <c r="U22" s="640"/>
      <c r="V22" s="640"/>
      <c r="W22" s="640"/>
      <c r="X22" s="640"/>
      <c r="Y22" s="640"/>
      <c r="Z22" s="640"/>
    </row>
    <row r="23" spans="1:26" ht="14">
      <c r="A23" s="3" t="s">
        <v>460</v>
      </c>
      <c r="B23" s="639">
        <f t="shared" ref="B23:I23" si="5">B36</f>
        <v>0.31724137931034485</v>
      </c>
      <c r="C23" s="639">
        <f t="shared" si="5"/>
        <v>0.31426632523322845</v>
      </c>
      <c r="D23" s="639">
        <f t="shared" ca="1" si="5"/>
        <v>0.32331654915794672</v>
      </c>
      <c r="E23" s="639">
        <f t="shared" ca="1" si="5"/>
        <v>0.34689334120549226</v>
      </c>
      <c r="F23" s="639">
        <f t="shared" ca="1" si="5"/>
        <v>0.37681320970277377</v>
      </c>
      <c r="G23" s="639">
        <f t="shared" ca="1" si="5"/>
        <v>0.40900154427912649</v>
      </c>
      <c r="H23" s="639">
        <f t="shared" ca="1" si="5"/>
        <v>0.43420690994648736</v>
      </c>
      <c r="I23" s="639">
        <f t="shared" ca="1" si="5"/>
        <v>0.4397554514794344</v>
      </c>
    </row>
    <row r="24" spans="1:26" ht="14">
      <c r="A24" s="3" t="s">
        <v>461</v>
      </c>
      <c r="B24" s="639">
        <f t="shared" ref="B24:I24" si="6">B37</f>
        <v>0.41379310344827586</v>
      </c>
      <c r="C24" s="639">
        <f t="shared" si="6"/>
        <v>0.43181088760004754</v>
      </c>
      <c r="D24" s="639">
        <f t="shared" ca="1" si="6"/>
        <v>0.46238286471069201</v>
      </c>
      <c r="E24" s="639">
        <f t="shared" ca="1" si="6"/>
        <v>0.47840519113232066</v>
      </c>
      <c r="F24" s="639">
        <f t="shared" ca="1" si="6"/>
        <v>0.48440475674590139</v>
      </c>
      <c r="G24" s="639">
        <f t="shared" ca="1" si="6"/>
        <v>0.48580234279859408</v>
      </c>
      <c r="H24" s="639">
        <f t="shared" ca="1" si="6"/>
        <v>0.4748696036290036</v>
      </c>
      <c r="I24" s="639">
        <f t="shared" ca="1" si="6"/>
        <v>0.4775511071516505</v>
      </c>
    </row>
    <row r="25" spans="1:26" ht="14">
      <c r="A25" s="3" t="s">
        <v>462</v>
      </c>
      <c r="B25" s="639">
        <f t="shared" ref="B25:I25" si="7">B38</f>
        <v>0.26896551724137929</v>
      </c>
      <c r="C25" s="639">
        <f t="shared" si="7"/>
        <v>0.25392278716672406</v>
      </c>
      <c r="D25" s="639">
        <f t="shared" ca="1" si="7"/>
        <v>0.21430058613136119</v>
      </c>
      <c r="E25" s="639">
        <f t="shared" ca="1" si="7"/>
        <v>0.17470146766218717</v>
      </c>
      <c r="F25" s="639">
        <f t="shared" ca="1" si="7"/>
        <v>0.13878203355132479</v>
      </c>
      <c r="G25" s="639">
        <f t="shared" ca="1" si="7"/>
        <v>0.10519611292227951</v>
      </c>
      <c r="H25" s="639">
        <f t="shared" ca="1" si="7"/>
        <v>9.0923486424508995E-2</v>
      </c>
      <c r="I25" s="639">
        <f t="shared" ca="1" si="7"/>
        <v>8.2693441368915113E-2</v>
      </c>
    </row>
    <row r="26" spans="1:26" ht="14">
      <c r="A26" s="2" t="s">
        <v>463</v>
      </c>
      <c r="B26" s="639">
        <f t="shared" ref="B26:I26" si="8">B20*B23+B21*B24+B22*B25</f>
        <v>2.7331034482758622E-2</v>
      </c>
      <c r="C26" s="639">
        <f t="shared" si="8"/>
        <v>2.19357924910022E-2</v>
      </c>
      <c r="D26" s="639">
        <f t="shared" ca="1" si="8"/>
        <v>1.8393053626429685E-2</v>
      </c>
      <c r="E26" s="639">
        <f t="shared" ca="1" si="8"/>
        <v>1.5197287814732129E-2</v>
      </c>
      <c r="F26" s="639">
        <f t="shared" ca="1" si="8"/>
        <v>1.2483570926301656E-2</v>
      </c>
      <c r="G26" s="639">
        <f t="shared" ca="1" si="8"/>
        <v>1.1030519222647146E-2</v>
      </c>
      <c r="H26" s="639">
        <f t="shared" ca="1" si="8"/>
        <v>9.7586108366887105E-3</v>
      </c>
      <c r="I26" s="639">
        <f t="shared" ca="1" si="8"/>
        <v>9.7486462533331111E-3</v>
      </c>
    </row>
    <row r="30" spans="1:26" ht="13">
      <c r="A30" s="24" t="s">
        <v>465</v>
      </c>
    </row>
    <row r="31" spans="1:26" ht="13">
      <c r="B31" s="8">
        <v>2024</v>
      </c>
      <c r="C31" s="8">
        <v>2025</v>
      </c>
      <c r="D31" s="8">
        <v>2026</v>
      </c>
      <c r="E31" s="8">
        <v>2027</v>
      </c>
      <c r="F31" s="8">
        <v>2028</v>
      </c>
      <c r="G31" s="8">
        <v>2029</v>
      </c>
      <c r="H31" s="8">
        <v>2030</v>
      </c>
      <c r="I31" s="8">
        <v>2031</v>
      </c>
    </row>
    <row r="32" spans="1:26" ht="13">
      <c r="A32" s="645" t="s">
        <v>466</v>
      </c>
      <c r="B32" s="646">
        <f>SUM(B33:B35)</f>
        <v>145</v>
      </c>
      <c r="C32" s="647">
        <f>Ventes!I19</f>
        <v>177.65662834061996</v>
      </c>
      <c r="D32" s="647">
        <f ca="1">OFFSET(Ventes!$I$19,0,12)</f>
        <v>224.53008230862687</v>
      </c>
      <c r="E32" s="49">
        <f ca="1">OFFSET(Ventes!$I$19,0,24)</f>
        <v>284.65376406112449</v>
      </c>
      <c r="F32" s="49">
        <f ca="1">OFFSET(Ventes!$I$19,0,36)</f>
        <v>348.07281468626542</v>
      </c>
      <c r="G32" s="49">
        <f ca="1">OFFSET(Ventes!$I$19,0,48)</f>
        <v>416.7312120587128</v>
      </c>
      <c r="H32" s="49">
        <f ca="1">OFFSET(Ventes!$I$19,0,60)</f>
        <v>826.35105791968954</v>
      </c>
      <c r="I32" s="49">
        <f ca="1">OFFSET(Ventes!$I$19,0,72)</f>
        <v>2128.5564734016216</v>
      </c>
    </row>
    <row r="33" spans="1:26" ht="13">
      <c r="A33" s="645" t="s">
        <v>467</v>
      </c>
      <c r="B33" s="648">
        <v>46</v>
      </c>
      <c r="C33" s="49">
        <f>Ventes!$I21+Ventes!$I52</f>
        <v>55.831495741932059</v>
      </c>
      <c r="D33" s="49">
        <f ca="1">OFFSET(Ventes!$I21,0,12)+OFFSET(Ventes!$I52,0,12)</f>
        <v>72.594291394174988</v>
      </c>
      <c r="E33" s="49">
        <f ca="1">OFFSET(Ventes!$I21,0,24)+OFFSET(Ventes!$I52,0,24)</f>
        <v>98.744495301883347</v>
      </c>
      <c r="F33" s="49">
        <f ca="1">OFFSET(Ventes!$I21,0,36)+OFFSET(Ventes!$I52,0,36)</f>
        <v>131.15843451221045</v>
      </c>
      <c r="G33" s="49">
        <f ca="1">OFFSET(Ventes!$I21,0,48)+OFFSET(Ventes!$I52,0,48)</f>
        <v>170.44370928132568</v>
      </c>
      <c r="H33" s="49">
        <f ca="1">OFFSET(Ventes!$I21,0,60)+OFFSET(Ventes!$I52,0,60)</f>
        <v>358.80733939031921</v>
      </c>
      <c r="I33" s="49">
        <f ca="1">OFFSET(Ventes!$I21,0,72)+OFFSET(Ventes!$I52,0,72)</f>
        <v>936.04431296020277</v>
      </c>
    </row>
    <row r="34" spans="1:26" ht="13">
      <c r="A34" s="645" t="s">
        <v>468</v>
      </c>
      <c r="B34" s="648">
        <v>60</v>
      </c>
      <c r="C34" s="49">
        <f>Ventes!$I28+Ventes!$I59</f>
        <v>76.714066371794871</v>
      </c>
      <c r="D34" s="49">
        <f ca="1">OFFSET(Ventes!$I28,0,12)+OFFSET(Ventes!$I59,0,12)</f>
        <v>103.81886267159037</v>
      </c>
      <c r="E34" s="49">
        <f ca="1">OFFSET(Ventes!$I28,0,24)+OFFSET(Ventes!$I59,0,24)</f>
        <v>136.17983840219676</v>
      </c>
      <c r="F34" s="49">
        <f ca="1">OFFSET(Ventes!$I28,0,36)+OFFSET(Ventes!$I59,0,36)</f>
        <v>168.60812712796161</v>
      </c>
      <c r="G34" s="49">
        <f ca="1">OFFSET(Ventes!$I28,0,48)+OFFSET(Ventes!$I59,0,48)</f>
        <v>202.44899913542039</v>
      </c>
      <c r="H34" s="49">
        <f ca="1">OFFSET(Ventes!$I28,0,60)+OFFSET(Ventes!$I59,0,60)</f>
        <v>392.40899933273079</v>
      </c>
      <c r="I34" s="49">
        <f ca="1">OFFSET(Ventes!$I28,0,72)+OFFSET(Ventes!$I59,0,72)</f>
        <v>1016.4945005077572</v>
      </c>
    </row>
    <row r="35" spans="1:26" ht="13">
      <c r="A35" s="645" t="s">
        <v>467</v>
      </c>
      <c r="B35" s="648">
        <v>39</v>
      </c>
      <c r="C35" s="49">
        <f>Ventes!$I35+Ventes!$I66</f>
        <v>45.111066226893037</v>
      </c>
      <c r="D35" s="49">
        <f ca="1">OFFSET(Ventes!$I35,0,12)+OFFSET(Ventes!$I66,0,12)</f>
        <v>48.116928242861512</v>
      </c>
      <c r="E35" s="49">
        <f ca="1">OFFSET(Ventes!$I35,0,24)+OFFSET(Ventes!$I66,0,24)</f>
        <v>49.729430357044393</v>
      </c>
      <c r="F35" s="49">
        <f ca="1">OFFSET(Ventes!$I35,0,36)+OFFSET(Ventes!$I66,0,36)</f>
        <v>48.306253046093339</v>
      </c>
      <c r="G35" s="49">
        <f ca="1">OFFSET(Ventes!$I35,0,48)+OFFSET(Ventes!$I66,0,48)</f>
        <v>43.83850364196676</v>
      </c>
      <c r="H35" s="49">
        <f ca="1">OFFSET(Ventes!$I35,0,60)+OFFSET(Ventes!$I66,0,60)</f>
        <v>75.134719196639537</v>
      </c>
      <c r="I35" s="49">
        <f ca="1">OFFSET(Ventes!$I35,0,72)+OFFSET(Ventes!$I66,0,72)</f>
        <v>176.01765993366172</v>
      </c>
    </row>
    <row r="36" spans="1:26" ht="14">
      <c r="A36" s="3" t="s">
        <v>460</v>
      </c>
      <c r="B36" s="649">
        <f t="shared" ref="B36:I36" si="9">B33/B$32</f>
        <v>0.31724137931034485</v>
      </c>
      <c r="C36" s="649">
        <f t="shared" si="9"/>
        <v>0.31426632523322845</v>
      </c>
      <c r="D36" s="649">
        <f t="shared" ca="1" si="9"/>
        <v>0.32331654915794672</v>
      </c>
      <c r="E36" s="649">
        <f t="shared" ca="1" si="9"/>
        <v>0.34689334120549226</v>
      </c>
      <c r="F36" s="649">
        <f t="shared" ca="1" si="9"/>
        <v>0.37681320970277377</v>
      </c>
      <c r="G36" s="649">
        <f t="shared" ca="1" si="9"/>
        <v>0.40900154427912649</v>
      </c>
      <c r="H36" s="649">
        <f t="shared" ca="1" si="9"/>
        <v>0.43420690994648736</v>
      </c>
      <c r="I36" s="649">
        <f t="shared" ca="1" si="9"/>
        <v>0.4397554514794344</v>
      </c>
    </row>
    <row r="37" spans="1:26" ht="14">
      <c r="A37" s="3" t="s">
        <v>461</v>
      </c>
      <c r="B37" s="649">
        <f t="shared" ref="B37:I37" si="10">B34/B$32</f>
        <v>0.41379310344827586</v>
      </c>
      <c r="C37" s="649">
        <f t="shared" si="10"/>
        <v>0.43181088760004754</v>
      </c>
      <c r="D37" s="649">
        <f t="shared" ca="1" si="10"/>
        <v>0.46238286471069201</v>
      </c>
      <c r="E37" s="649">
        <f t="shared" ca="1" si="10"/>
        <v>0.47840519113232066</v>
      </c>
      <c r="F37" s="649">
        <f t="shared" ca="1" si="10"/>
        <v>0.48440475674590139</v>
      </c>
      <c r="G37" s="649">
        <f t="shared" ca="1" si="10"/>
        <v>0.48580234279859408</v>
      </c>
      <c r="H37" s="649">
        <f t="shared" ca="1" si="10"/>
        <v>0.4748696036290036</v>
      </c>
      <c r="I37" s="649">
        <f t="shared" ca="1" si="10"/>
        <v>0.4775511071516505</v>
      </c>
    </row>
    <row r="38" spans="1:26" ht="14">
      <c r="A38" s="3" t="s">
        <v>462</v>
      </c>
      <c r="B38" s="649">
        <f t="shared" ref="B38:I38" si="11">B35/B$32</f>
        <v>0.26896551724137929</v>
      </c>
      <c r="C38" s="649">
        <f t="shared" si="11"/>
        <v>0.25392278716672406</v>
      </c>
      <c r="D38" s="649">
        <f t="shared" ca="1" si="11"/>
        <v>0.21430058613136119</v>
      </c>
      <c r="E38" s="649">
        <f t="shared" ca="1" si="11"/>
        <v>0.17470146766218717</v>
      </c>
      <c r="F38" s="649">
        <f t="shared" ca="1" si="11"/>
        <v>0.13878203355132479</v>
      </c>
      <c r="G38" s="649">
        <f t="shared" ca="1" si="11"/>
        <v>0.10519611292227951</v>
      </c>
      <c r="H38" s="649">
        <f t="shared" ca="1" si="11"/>
        <v>9.0923486424508995E-2</v>
      </c>
      <c r="I38" s="649">
        <f t="shared" ca="1" si="11"/>
        <v>8.2693441368915113E-2</v>
      </c>
    </row>
    <row r="39" spans="1:26" ht="14">
      <c r="A39" s="3"/>
      <c r="B39" s="649"/>
      <c r="C39" s="649"/>
      <c r="D39" s="649"/>
      <c r="E39" s="649"/>
      <c r="F39" s="649"/>
      <c r="G39" s="649"/>
      <c r="H39" s="649"/>
      <c r="I39" s="649"/>
    </row>
    <row r="41" spans="1:26" ht="13" collapsed="1"/>
    <row r="42" spans="1:26" ht="13" hidden="1" outlineLevel="1">
      <c r="A42" s="24" t="s">
        <v>469</v>
      </c>
    </row>
    <row r="43" spans="1:26" ht="13" hidden="1" outlineLevel="1">
      <c r="A43" s="29"/>
      <c r="B43" s="29">
        <v>1</v>
      </c>
      <c r="C43" s="29">
        <v>2</v>
      </c>
      <c r="D43" s="29">
        <v>3</v>
      </c>
      <c r="E43" s="29">
        <v>4</v>
      </c>
      <c r="F43" s="29">
        <v>5</v>
      </c>
      <c r="G43" s="29">
        <v>6</v>
      </c>
      <c r="H43" s="29">
        <v>7</v>
      </c>
      <c r="I43" s="29">
        <v>8</v>
      </c>
      <c r="J43" s="29">
        <v>9</v>
      </c>
      <c r="K43" s="29">
        <v>10</v>
      </c>
      <c r="L43" s="29">
        <v>11</v>
      </c>
      <c r="M43" s="29">
        <v>12</v>
      </c>
      <c r="N43" s="8" t="s">
        <v>470</v>
      </c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4" hidden="1" outlineLevel="1">
      <c r="A44" s="194" t="s">
        <v>471</v>
      </c>
      <c r="B44" s="11">
        <v>100</v>
      </c>
      <c r="C44" s="49">
        <f t="shared" ref="C44:M44" si="12">B44*(1-$C$20)</f>
        <v>99</v>
      </c>
      <c r="D44" s="49">
        <f t="shared" si="12"/>
        <v>98.01</v>
      </c>
      <c r="E44" s="49">
        <f t="shared" si="12"/>
        <v>97.029899999999998</v>
      </c>
      <c r="F44" s="49">
        <f t="shared" si="12"/>
        <v>96.059601000000001</v>
      </c>
      <c r="G44" s="49">
        <f t="shared" si="12"/>
        <v>95.099004989999997</v>
      </c>
      <c r="H44" s="49">
        <f t="shared" si="12"/>
        <v>94.148014940099998</v>
      </c>
      <c r="I44" s="49">
        <f t="shared" si="12"/>
        <v>93.206534790698996</v>
      </c>
      <c r="J44" s="49">
        <f t="shared" si="12"/>
        <v>92.274469442792011</v>
      </c>
      <c r="K44" s="49">
        <f t="shared" si="12"/>
        <v>91.351724748364092</v>
      </c>
      <c r="L44" s="49">
        <f t="shared" si="12"/>
        <v>90.438207500880452</v>
      </c>
      <c r="M44" s="49">
        <f t="shared" si="12"/>
        <v>89.53382542587164</v>
      </c>
      <c r="N44" s="640">
        <f t="shared" ref="N44:N64" si="13">(B44-M44)/100</f>
        <v>0.10466174574128359</v>
      </c>
    </row>
    <row r="45" spans="1:26" ht="13" hidden="1" outlineLevel="1">
      <c r="A45" s="11" t="s">
        <v>472</v>
      </c>
      <c r="B45" s="11">
        <v>100</v>
      </c>
      <c r="C45" s="49">
        <f t="shared" ref="C45:M45" si="14">B45*(1-$D$20)</f>
        <v>99.2</v>
      </c>
      <c r="D45" s="49">
        <f t="shared" si="14"/>
        <v>98.406400000000005</v>
      </c>
      <c r="E45" s="49">
        <f t="shared" si="14"/>
        <v>97.619148800000005</v>
      </c>
      <c r="F45" s="49">
        <f t="shared" si="14"/>
        <v>96.838195609600007</v>
      </c>
      <c r="G45" s="49">
        <f t="shared" si="14"/>
        <v>96.06349004472321</v>
      </c>
      <c r="H45" s="49">
        <f t="shared" si="14"/>
        <v>95.294982124365418</v>
      </c>
      <c r="I45" s="49">
        <f t="shared" si="14"/>
        <v>94.532622267370499</v>
      </c>
      <c r="J45" s="49">
        <f t="shared" si="14"/>
        <v>93.776361289231531</v>
      </c>
      <c r="K45" s="49">
        <f t="shared" si="14"/>
        <v>93.026150398917679</v>
      </c>
      <c r="L45" s="49">
        <f t="shared" si="14"/>
        <v>92.281941195726333</v>
      </c>
      <c r="M45" s="49">
        <f t="shared" si="14"/>
        <v>91.543685666160528</v>
      </c>
      <c r="N45" s="640">
        <f t="shared" si="13"/>
        <v>8.4563143338394722E-2</v>
      </c>
    </row>
    <row r="46" spans="1:26" ht="13" hidden="1" outlineLevel="1">
      <c r="A46" s="11" t="s">
        <v>473</v>
      </c>
      <c r="B46" s="11">
        <v>100</v>
      </c>
      <c r="C46" s="49">
        <f t="shared" ref="C46:M46" si="15">B46*(1-$E$20)</f>
        <v>99.4</v>
      </c>
      <c r="D46" s="49">
        <f t="shared" si="15"/>
        <v>98.803600000000003</v>
      </c>
      <c r="E46" s="49">
        <f t="shared" si="15"/>
        <v>98.210778400000009</v>
      </c>
      <c r="F46" s="49">
        <f t="shared" si="15"/>
        <v>97.621513729600011</v>
      </c>
      <c r="G46" s="49">
        <f t="shared" si="15"/>
        <v>97.035784647222414</v>
      </c>
      <c r="H46" s="49">
        <f t="shared" si="15"/>
        <v>96.453569939339076</v>
      </c>
      <c r="I46" s="49">
        <f t="shared" si="15"/>
        <v>95.874848519703036</v>
      </c>
      <c r="J46" s="49">
        <f t="shared" si="15"/>
        <v>95.299599428584813</v>
      </c>
      <c r="K46" s="49">
        <f t="shared" si="15"/>
        <v>94.727801832013299</v>
      </c>
      <c r="L46" s="49">
        <f t="shared" si="15"/>
        <v>94.159435021021224</v>
      </c>
      <c r="M46" s="49">
        <f t="shared" si="15"/>
        <v>93.594478410895093</v>
      </c>
      <c r="N46" s="640">
        <f t="shared" si="13"/>
        <v>6.4055215891049067E-2</v>
      </c>
    </row>
    <row r="47" spans="1:26" ht="13" hidden="1" outlineLevel="1">
      <c r="A47" s="11" t="s">
        <v>474</v>
      </c>
      <c r="B47" s="11">
        <v>100</v>
      </c>
      <c r="C47" s="49">
        <f t="shared" ref="C47:M47" si="16">B47*(1-$F$20)</f>
        <v>99.5</v>
      </c>
      <c r="D47" s="49">
        <f t="shared" si="16"/>
        <v>99.002499999999998</v>
      </c>
      <c r="E47" s="49">
        <f t="shared" si="16"/>
        <v>98.507487499999996</v>
      </c>
      <c r="F47" s="49">
        <f t="shared" si="16"/>
        <v>98.014950062499992</v>
      </c>
      <c r="G47" s="49">
        <f t="shared" si="16"/>
        <v>97.52487531218749</v>
      </c>
      <c r="H47" s="49">
        <f t="shared" si="16"/>
        <v>97.037250935626545</v>
      </c>
      <c r="I47" s="49">
        <f t="shared" si="16"/>
        <v>96.552064680948419</v>
      </c>
      <c r="J47" s="49">
        <f t="shared" si="16"/>
        <v>96.069304357543672</v>
      </c>
      <c r="K47" s="49">
        <f t="shared" si="16"/>
        <v>95.588957835755949</v>
      </c>
      <c r="L47" s="49">
        <f t="shared" si="16"/>
        <v>95.11101304657717</v>
      </c>
      <c r="M47" s="49">
        <f t="shared" si="16"/>
        <v>94.635457981344288</v>
      </c>
      <c r="N47" s="640">
        <f t="shared" si="13"/>
        <v>5.3645420186557116E-2</v>
      </c>
    </row>
    <row r="48" spans="1:26" ht="13" hidden="1" outlineLevel="1">
      <c r="A48" s="11" t="s">
        <v>475</v>
      </c>
      <c r="B48" s="11">
        <v>100</v>
      </c>
      <c r="C48" s="49">
        <f t="shared" ref="C48:M48" si="17">B48*(1-$G$20)</f>
        <v>99.5</v>
      </c>
      <c r="D48" s="49">
        <f t="shared" si="17"/>
        <v>99.002499999999998</v>
      </c>
      <c r="E48" s="49">
        <f t="shared" si="17"/>
        <v>98.507487499999996</v>
      </c>
      <c r="F48" s="49">
        <f t="shared" si="17"/>
        <v>98.014950062499992</v>
      </c>
      <c r="G48" s="49">
        <f t="shared" si="17"/>
        <v>97.52487531218749</v>
      </c>
      <c r="H48" s="49">
        <f t="shared" si="17"/>
        <v>97.037250935626545</v>
      </c>
      <c r="I48" s="49">
        <f t="shared" si="17"/>
        <v>96.552064680948419</v>
      </c>
      <c r="J48" s="49">
        <f t="shared" si="17"/>
        <v>96.069304357543672</v>
      </c>
      <c r="K48" s="49">
        <f t="shared" si="17"/>
        <v>95.588957835755949</v>
      </c>
      <c r="L48" s="49">
        <f t="shared" si="17"/>
        <v>95.11101304657717</v>
      </c>
      <c r="M48" s="49">
        <f t="shared" si="17"/>
        <v>94.635457981344288</v>
      </c>
      <c r="N48" s="640">
        <f t="shared" si="13"/>
        <v>5.3645420186557116E-2</v>
      </c>
    </row>
    <row r="49" spans="1:14" ht="13" hidden="1" outlineLevel="1">
      <c r="A49" s="11" t="s">
        <v>476</v>
      </c>
      <c r="B49" s="11">
        <v>100</v>
      </c>
      <c r="C49" s="49">
        <f t="shared" ref="C49:M49" si="18">B49*(1-$H$20)</f>
        <v>99.5</v>
      </c>
      <c r="D49" s="49">
        <f t="shared" si="18"/>
        <v>99.002499999999998</v>
      </c>
      <c r="E49" s="49">
        <f t="shared" si="18"/>
        <v>98.507487499999996</v>
      </c>
      <c r="F49" s="49">
        <f t="shared" si="18"/>
        <v>98.014950062499992</v>
      </c>
      <c r="G49" s="49">
        <f t="shared" si="18"/>
        <v>97.52487531218749</v>
      </c>
      <c r="H49" s="49">
        <f t="shared" si="18"/>
        <v>97.037250935626545</v>
      </c>
      <c r="I49" s="49">
        <f t="shared" si="18"/>
        <v>96.552064680948419</v>
      </c>
      <c r="J49" s="49">
        <f t="shared" si="18"/>
        <v>96.069304357543672</v>
      </c>
      <c r="K49" s="49">
        <f t="shared" si="18"/>
        <v>95.588957835755949</v>
      </c>
      <c r="L49" s="49">
        <f t="shared" si="18"/>
        <v>95.11101304657717</v>
      </c>
      <c r="M49" s="49">
        <f t="shared" si="18"/>
        <v>94.635457981344288</v>
      </c>
      <c r="N49" s="640">
        <f t="shared" si="13"/>
        <v>5.3645420186557116E-2</v>
      </c>
    </row>
    <row r="50" spans="1:14" ht="13" hidden="1" outlineLevel="1">
      <c r="A50" s="11" t="s">
        <v>477</v>
      </c>
      <c r="B50" s="11">
        <v>100</v>
      </c>
      <c r="C50" s="49">
        <f t="shared" ref="C50:M50" si="19">B50*(1-$I$20)</f>
        <v>99.5</v>
      </c>
      <c r="D50" s="49">
        <f t="shared" si="19"/>
        <v>99.002499999999998</v>
      </c>
      <c r="E50" s="49">
        <f t="shared" si="19"/>
        <v>98.507487499999996</v>
      </c>
      <c r="F50" s="49">
        <f t="shared" si="19"/>
        <v>98.014950062499992</v>
      </c>
      <c r="G50" s="49">
        <f t="shared" si="19"/>
        <v>97.52487531218749</v>
      </c>
      <c r="H50" s="49">
        <f t="shared" si="19"/>
        <v>97.037250935626545</v>
      </c>
      <c r="I50" s="49">
        <f t="shared" si="19"/>
        <v>96.552064680948419</v>
      </c>
      <c r="J50" s="49">
        <f t="shared" si="19"/>
        <v>96.069304357543672</v>
      </c>
      <c r="K50" s="49">
        <f t="shared" si="19"/>
        <v>95.588957835755949</v>
      </c>
      <c r="L50" s="49">
        <f t="shared" si="19"/>
        <v>95.11101304657717</v>
      </c>
      <c r="M50" s="49">
        <f t="shared" si="19"/>
        <v>94.635457981344288</v>
      </c>
      <c r="N50" s="640">
        <f t="shared" si="13"/>
        <v>5.3645420186557116E-2</v>
      </c>
    </row>
    <row r="51" spans="1:14" ht="14" hidden="1" outlineLevel="1">
      <c r="A51" s="194" t="s">
        <v>478</v>
      </c>
      <c r="B51" s="11">
        <v>100</v>
      </c>
      <c r="C51" s="49">
        <f>B51*(1-$C$21)</f>
        <v>98</v>
      </c>
      <c r="D51" s="49">
        <f t="shared" ref="D51:M51" si="20">C51*(1-$B$21)</f>
        <v>95.55</v>
      </c>
      <c r="E51" s="49">
        <f t="shared" si="20"/>
        <v>93.161249999999995</v>
      </c>
      <c r="F51" s="49">
        <f t="shared" si="20"/>
        <v>90.832218749999996</v>
      </c>
      <c r="G51" s="49">
        <f t="shared" si="20"/>
        <v>88.561413281249997</v>
      </c>
      <c r="H51" s="49">
        <f t="shared" si="20"/>
        <v>86.347377949218739</v>
      </c>
      <c r="I51" s="49">
        <f t="shared" si="20"/>
        <v>84.18869350048827</v>
      </c>
      <c r="J51" s="49">
        <f t="shared" si="20"/>
        <v>82.083976162976057</v>
      </c>
      <c r="K51" s="49">
        <f t="shared" si="20"/>
        <v>80.03187675890166</v>
      </c>
      <c r="L51" s="49">
        <f t="shared" si="20"/>
        <v>78.03107983992912</v>
      </c>
      <c r="M51" s="49">
        <f t="shared" si="20"/>
        <v>76.080302843930895</v>
      </c>
      <c r="N51" s="640">
        <f t="shared" si="13"/>
        <v>0.23919697156069106</v>
      </c>
    </row>
    <row r="52" spans="1:14" ht="13" hidden="1" outlineLevel="1">
      <c r="A52" s="11" t="s">
        <v>479</v>
      </c>
      <c r="B52" s="11">
        <v>100</v>
      </c>
      <c r="C52" s="49">
        <f t="shared" ref="C52:M52" si="21">B52*(1-$D$21)</f>
        <v>98.25</v>
      </c>
      <c r="D52" s="49">
        <f t="shared" si="21"/>
        <v>96.530625000000001</v>
      </c>
      <c r="E52" s="49">
        <f t="shared" si="21"/>
        <v>94.841339062499998</v>
      </c>
      <c r="F52" s="49">
        <f t="shared" si="21"/>
        <v>93.181615628906258</v>
      </c>
      <c r="G52" s="49">
        <f t="shared" si="21"/>
        <v>91.550937355400407</v>
      </c>
      <c r="H52" s="49">
        <f t="shared" si="21"/>
        <v>89.948795951680907</v>
      </c>
      <c r="I52" s="49">
        <f t="shared" si="21"/>
        <v>88.374692022526489</v>
      </c>
      <c r="J52" s="49">
        <f t="shared" si="21"/>
        <v>86.828134912132285</v>
      </c>
      <c r="K52" s="49">
        <f t="shared" si="21"/>
        <v>85.308642551169967</v>
      </c>
      <c r="L52" s="49">
        <f t="shared" si="21"/>
        <v>83.815741306524501</v>
      </c>
      <c r="M52" s="49">
        <f t="shared" si="21"/>
        <v>82.34896583366033</v>
      </c>
      <c r="N52" s="640">
        <f t="shared" si="13"/>
        <v>0.17651034166339671</v>
      </c>
    </row>
    <row r="53" spans="1:14" ht="13" hidden="1" outlineLevel="1">
      <c r="A53" s="11" t="s">
        <v>480</v>
      </c>
      <c r="B53" s="11">
        <v>100</v>
      </c>
      <c r="C53" s="49">
        <f t="shared" ref="C53:M53" si="22">B53*(1-$E$21)</f>
        <v>98.5</v>
      </c>
      <c r="D53" s="49">
        <f t="shared" si="22"/>
        <v>97.022499999999994</v>
      </c>
      <c r="E53" s="49">
        <f t="shared" si="22"/>
        <v>95.567162499999995</v>
      </c>
      <c r="F53" s="49">
        <f t="shared" si="22"/>
        <v>94.133655062499997</v>
      </c>
      <c r="G53" s="49">
        <f t="shared" si="22"/>
        <v>92.721650236562496</v>
      </c>
      <c r="H53" s="49">
        <f t="shared" si="22"/>
        <v>91.330825483014053</v>
      </c>
      <c r="I53" s="49">
        <f t="shared" si="22"/>
        <v>89.960863100768847</v>
      </c>
      <c r="J53" s="49">
        <f t="shared" si="22"/>
        <v>88.611450154257312</v>
      </c>
      <c r="K53" s="49">
        <f t="shared" si="22"/>
        <v>87.282278401943458</v>
      </c>
      <c r="L53" s="49">
        <f t="shared" si="22"/>
        <v>85.973044225914308</v>
      </c>
      <c r="M53" s="49">
        <f t="shared" si="22"/>
        <v>84.683448562525598</v>
      </c>
      <c r="N53" s="640">
        <f t="shared" si="13"/>
        <v>0.15316551437474402</v>
      </c>
    </row>
    <row r="54" spans="1:14" ht="13" hidden="1" outlineLevel="1">
      <c r="A54" s="11" t="s">
        <v>481</v>
      </c>
      <c r="B54" s="11">
        <v>100</v>
      </c>
      <c r="C54" s="49">
        <f t="shared" ref="C54:M54" si="23">B54*(1-$F$21)</f>
        <v>98.7</v>
      </c>
      <c r="D54" s="49">
        <f t="shared" si="23"/>
        <v>97.416899999999998</v>
      </c>
      <c r="E54" s="49">
        <f t="shared" si="23"/>
        <v>96.150480299999998</v>
      </c>
      <c r="F54" s="49">
        <f t="shared" si="23"/>
        <v>94.900524056099997</v>
      </c>
      <c r="G54" s="49">
        <f t="shared" si="23"/>
        <v>93.666817243370701</v>
      </c>
      <c r="H54" s="49">
        <f t="shared" si="23"/>
        <v>92.449148619206881</v>
      </c>
      <c r="I54" s="49">
        <f t="shared" si="23"/>
        <v>91.247309687157184</v>
      </c>
      <c r="J54" s="49">
        <f t="shared" si="23"/>
        <v>90.061094661224146</v>
      </c>
      <c r="K54" s="49">
        <f t="shared" si="23"/>
        <v>88.89030043062823</v>
      </c>
      <c r="L54" s="49">
        <f t="shared" si="23"/>
        <v>87.734726525030055</v>
      </c>
      <c r="M54" s="49">
        <f t="shared" si="23"/>
        <v>86.594175080204664</v>
      </c>
      <c r="N54" s="640">
        <f t="shared" si="13"/>
        <v>0.13405824919795337</v>
      </c>
    </row>
    <row r="55" spans="1:14" ht="13" hidden="1" outlineLevel="1">
      <c r="A55" s="11" t="s">
        <v>482</v>
      </c>
      <c r="B55" s="11">
        <v>100</v>
      </c>
      <c r="C55" s="49">
        <f t="shared" ref="C55:M55" si="24">B55*(1-$G$21)</f>
        <v>98.8</v>
      </c>
      <c r="D55" s="49">
        <f t="shared" si="24"/>
        <v>97.614399999999989</v>
      </c>
      <c r="E55" s="49">
        <f t="shared" si="24"/>
        <v>96.443027199999989</v>
      </c>
      <c r="F55" s="49">
        <f t="shared" si="24"/>
        <v>95.285710873599982</v>
      </c>
      <c r="G55" s="49">
        <f t="shared" si="24"/>
        <v>94.142282343116776</v>
      </c>
      <c r="H55" s="49">
        <f t="shared" si="24"/>
        <v>93.01257495499938</v>
      </c>
      <c r="I55" s="49">
        <f t="shared" si="24"/>
        <v>91.896424055539384</v>
      </c>
      <c r="J55" s="49">
        <f t="shared" si="24"/>
        <v>90.793666966872905</v>
      </c>
      <c r="K55" s="49">
        <f t="shared" si="24"/>
        <v>89.704142963270428</v>
      </c>
      <c r="L55" s="49">
        <f t="shared" si="24"/>
        <v>88.627693247711179</v>
      </c>
      <c r="M55" s="49">
        <f t="shared" si="24"/>
        <v>87.564160928738644</v>
      </c>
      <c r="N55" s="640">
        <f t="shared" si="13"/>
        <v>0.12435839071261355</v>
      </c>
    </row>
    <row r="56" spans="1:14" ht="13" hidden="1" outlineLevel="1">
      <c r="A56" s="11" t="s">
        <v>483</v>
      </c>
      <c r="B56" s="11">
        <v>100</v>
      </c>
      <c r="C56" s="49">
        <f t="shared" ref="C56:M56" si="25">B56*(1-$H$21)</f>
        <v>98.9</v>
      </c>
      <c r="D56" s="49">
        <f t="shared" si="25"/>
        <v>97.812100000000001</v>
      </c>
      <c r="E56" s="49">
        <f t="shared" si="25"/>
        <v>96.736166900000001</v>
      </c>
      <c r="F56" s="49">
        <f t="shared" si="25"/>
        <v>95.6720690641</v>
      </c>
      <c r="G56" s="49">
        <f t="shared" si="25"/>
        <v>94.619676304394901</v>
      </c>
      <c r="H56" s="49">
        <f t="shared" si="25"/>
        <v>93.578859865046553</v>
      </c>
      <c r="I56" s="49">
        <f t="shared" si="25"/>
        <v>92.549492406531044</v>
      </c>
      <c r="J56" s="49">
        <f t="shared" si="25"/>
        <v>91.531447990059206</v>
      </c>
      <c r="K56" s="49">
        <f t="shared" si="25"/>
        <v>90.524602062168555</v>
      </c>
      <c r="L56" s="49">
        <f t="shared" si="25"/>
        <v>89.528831439484705</v>
      </c>
      <c r="M56" s="49">
        <f t="shared" si="25"/>
        <v>88.544014293650378</v>
      </c>
      <c r="N56" s="640">
        <f t="shared" si="13"/>
        <v>0.11455985706349622</v>
      </c>
    </row>
    <row r="57" spans="1:14" ht="13" hidden="1" outlineLevel="1">
      <c r="A57" s="11" t="s">
        <v>484</v>
      </c>
      <c r="B57" s="11">
        <v>100</v>
      </c>
      <c r="C57" s="49">
        <f t="shared" ref="C57:M57" si="26">B57*(1-$I$21)</f>
        <v>98.8</v>
      </c>
      <c r="D57" s="49">
        <f t="shared" si="26"/>
        <v>97.614399999999989</v>
      </c>
      <c r="E57" s="49">
        <f t="shared" si="26"/>
        <v>96.443027199999989</v>
      </c>
      <c r="F57" s="49">
        <f t="shared" si="26"/>
        <v>95.285710873599982</v>
      </c>
      <c r="G57" s="49">
        <f t="shared" si="26"/>
        <v>94.142282343116776</v>
      </c>
      <c r="H57" s="49">
        <f t="shared" si="26"/>
        <v>93.01257495499938</v>
      </c>
      <c r="I57" s="49">
        <f t="shared" si="26"/>
        <v>91.896424055539384</v>
      </c>
      <c r="J57" s="49">
        <f t="shared" si="26"/>
        <v>90.793666966872905</v>
      </c>
      <c r="K57" s="49">
        <f t="shared" si="26"/>
        <v>89.704142963270428</v>
      </c>
      <c r="L57" s="49">
        <f t="shared" si="26"/>
        <v>88.627693247711179</v>
      </c>
      <c r="M57" s="49">
        <f t="shared" si="26"/>
        <v>87.564160928738644</v>
      </c>
      <c r="N57" s="640">
        <f t="shared" si="13"/>
        <v>0.12435839071261355</v>
      </c>
    </row>
    <row r="58" spans="1:14" ht="14" hidden="1" outlineLevel="1">
      <c r="A58" s="194" t="s">
        <v>485</v>
      </c>
      <c r="B58" s="11">
        <v>100</v>
      </c>
      <c r="C58" s="49">
        <f>B58*(1-$C$22)</f>
        <v>96</v>
      </c>
      <c r="D58" s="49">
        <f t="shared" ref="D58:M58" si="27">C58*(1-$B$22)</f>
        <v>91.295999999999992</v>
      </c>
      <c r="E58" s="49">
        <f t="shared" si="27"/>
        <v>86.822495999999987</v>
      </c>
      <c r="F58" s="49">
        <f t="shared" si="27"/>
        <v>82.56819369599998</v>
      </c>
      <c r="G58" s="49">
        <f t="shared" si="27"/>
        <v>78.522352204895981</v>
      </c>
      <c r="H58" s="49">
        <f t="shared" si="27"/>
        <v>74.674756946856078</v>
      </c>
      <c r="I58" s="49">
        <f t="shared" si="27"/>
        <v>71.015693856460132</v>
      </c>
      <c r="J58" s="49">
        <f t="shared" si="27"/>
        <v>67.535924857493583</v>
      </c>
      <c r="K58" s="49">
        <f t="shared" si="27"/>
        <v>64.226664539476388</v>
      </c>
      <c r="L58" s="49">
        <f t="shared" si="27"/>
        <v>61.079557977042043</v>
      </c>
      <c r="M58" s="49">
        <f t="shared" si="27"/>
        <v>58.086659636166978</v>
      </c>
      <c r="N58" s="640">
        <f t="shared" si="13"/>
        <v>0.41913340363833024</v>
      </c>
    </row>
    <row r="59" spans="1:14" ht="13" hidden="1" outlineLevel="1">
      <c r="A59" s="11" t="s">
        <v>486</v>
      </c>
      <c r="B59" s="11">
        <v>100</v>
      </c>
      <c r="C59" s="49">
        <f>B59*(1-$D$22)</f>
        <v>96.399999999999991</v>
      </c>
      <c r="D59" s="49">
        <f t="shared" ref="D59:M59" si="28">C59*(1-$C$22)</f>
        <v>92.543999999999983</v>
      </c>
      <c r="E59" s="49">
        <f t="shared" si="28"/>
        <v>88.842239999999975</v>
      </c>
      <c r="F59" s="49">
        <f t="shared" si="28"/>
        <v>85.288550399999977</v>
      </c>
      <c r="G59" s="49">
        <f t="shared" si="28"/>
        <v>81.877008383999978</v>
      </c>
      <c r="H59" s="49">
        <f t="shared" si="28"/>
        <v>78.601928048639977</v>
      </c>
      <c r="I59" s="49">
        <f t="shared" si="28"/>
        <v>75.457850926694377</v>
      </c>
      <c r="J59" s="49">
        <f t="shared" si="28"/>
        <v>72.439536889626595</v>
      </c>
      <c r="K59" s="49">
        <f t="shared" si="28"/>
        <v>69.541955414041524</v>
      </c>
      <c r="L59" s="49">
        <f t="shared" si="28"/>
        <v>66.760277197479866</v>
      </c>
      <c r="M59" s="49">
        <f t="shared" si="28"/>
        <v>64.089866109580669</v>
      </c>
      <c r="N59" s="640">
        <f t="shared" si="13"/>
        <v>0.35910133890419332</v>
      </c>
    </row>
    <row r="60" spans="1:14" ht="13" hidden="1" outlineLevel="1">
      <c r="A60" s="11" t="s">
        <v>487</v>
      </c>
      <c r="B60" s="11">
        <v>100</v>
      </c>
      <c r="C60" s="49">
        <f>B60*(1-$E$22)</f>
        <v>96.6</v>
      </c>
      <c r="D60" s="49">
        <f t="shared" ref="D60:M60" si="29">C60*(1-$D$22)</f>
        <v>93.122399999999985</v>
      </c>
      <c r="E60" s="49">
        <f t="shared" si="29"/>
        <v>89.769993599999978</v>
      </c>
      <c r="F60" s="49">
        <f t="shared" si="29"/>
        <v>86.538273830399973</v>
      </c>
      <c r="G60" s="49">
        <f t="shared" si="29"/>
        <v>83.422895972505572</v>
      </c>
      <c r="H60" s="49">
        <f t="shared" si="29"/>
        <v>80.419671717495362</v>
      </c>
      <c r="I60" s="49">
        <f t="shared" si="29"/>
        <v>77.524563535665521</v>
      </c>
      <c r="J60" s="49">
        <f t="shared" si="29"/>
        <v>74.733679248381563</v>
      </c>
      <c r="K60" s="49">
        <f t="shared" si="29"/>
        <v>72.04326679543982</v>
      </c>
      <c r="L60" s="49">
        <f t="shared" si="29"/>
        <v>69.449709190803986</v>
      </c>
      <c r="M60" s="49">
        <f t="shared" si="29"/>
        <v>66.949519659935035</v>
      </c>
      <c r="N60" s="640">
        <f t="shared" si="13"/>
        <v>0.33050480340064964</v>
      </c>
    </row>
    <row r="61" spans="1:14" ht="13" hidden="1" outlineLevel="1">
      <c r="A61" s="11" t="s">
        <v>488</v>
      </c>
      <c r="B61" s="11">
        <v>100</v>
      </c>
      <c r="C61" s="49">
        <f>B61*(1-$F$22)</f>
        <v>96.899999999999991</v>
      </c>
      <c r="D61" s="49">
        <f t="shared" ref="D61:M61" si="30">C61*(1-$E$22)</f>
        <v>93.605399999999989</v>
      </c>
      <c r="E61" s="49">
        <f t="shared" si="30"/>
        <v>90.422816399999988</v>
      </c>
      <c r="F61" s="49">
        <f t="shared" si="30"/>
        <v>87.348440642399979</v>
      </c>
      <c r="G61" s="49">
        <f t="shared" si="30"/>
        <v>84.37859366055838</v>
      </c>
      <c r="H61" s="49">
        <f t="shared" si="30"/>
        <v>81.509721476099386</v>
      </c>
      <c r="I61" s="49">
        <f t="shared" si="30"/>
        <v>78.738390945912002</v>
      </c>
      <c r="J61" s="49">
        <f t="shared" si="30"/>
        <v>76.061285653750986</v>
      </c>
      <c r="K61" s="49">
        <f t="shared" si="30"/>
        <v>73.475201941523451</v>
      </c>
      <c r="L61" s="49">
        <f t="shared" si="30"/>
        <v>70.977045075511654</v>
      </c>
      <c r="M61" s="49">
        <f t="shared" si="30"/>
        <v>68.563825542944258</v>
      </c>
      <c r="N61" s="640">
        <f t="shared" si="13"/>
        <v>0.31436174457055743</v>
      </c>
    </row>
    <row r="62" spans="1:14" ht="13" hidden="1" outlineLevel="1">
      <c r="A62" s="11" t="s">
        <v>489</v>
      </c>
      <c r="B62" s="11">
        <v>100</v>
      </c>
      <c r="C62" s="49">
        <f>B62*(1-$G$22)</f>
        <v>97</v>
      </c>
      <c r="D62" s="49">
        <f t="shared" ref="D62:M62" si="31">C62*(1-$B$22)</f>
        <v>92.247</v>
      </c>
      <c r="E62" s="49">
        <f t="shared" si="31"/>
        <v>87.726896999999994</v>
      </c>
      <c r="F62" s="49">
        <f t="shared" si="31"/>
        <v>83.42827904699999</v>
      </c>
      <c r="G62" s="49">
        <f t="shared" si="31"/>
        <v>79.34029337369698</v>
      </c>
      <c r="H62" s="49">
        <f t="shared" si="31"/>
        <v>75.45261899838583</v>
      </c>
      <c r="I62" s="49">
        <f t="shared" si="31"/>
        <v>71.755440667464924</v>
      </c>
      <c r="J62" s="49">
        <f t="shared" si="31"/>
        <v>68.239424074759143</v>
      </c>
      <c r="K62" s="49">
        <f t="shared" si="31"/>
        <v>64.895692295095941</v>
      </c>
      <c r="L62" s="49">
        <f t="shared" si="31"/>
        <v>61.715803372636238</v>
      </c>
      <c r="M62" s="49">
        <f t="shared" si="31"/>
        <v>58.691729007377056</v>
      </c>
      <c r="N62" s="640">
        <f t="shared" si="13"/>
        <v>0.41308270992622942</v>
      </c>
    </row>
    <row r="63" spans="1:14" ht="13" hidden="1" outlineLevel="1">
      <c r="A63" s="11" t="s">
        <v>490</v>
      </c>
      <c r="B63" s="11">
        <v>100</v>
      </c>
      <c r="C63" s="49">
        <f>B63*(1-$H$22)</f>
        <v>97.399999999999991</v>
      </c>
      <c r="D63" s="49">
        <f t="shared" ref="D63:M63" si="32">C63*(1-$F$22)</f>
        <v>94.380599999999987</v>
      </c>
      <c r="E63" s="49">
        <f t="shared" si="32"/>
        <v>91.45480139999998</v>
      </c>
      <c r="F63" s="49">
        <f t="shared" si="32"/>
        <v>88.619702556599975</v>
      </c>
      <c r="G63" s="49">
        <f t="shared" si="32"/>
        <v>85.872491777345374</v>
      </c>
      <c r="H63" s="49">
        <f t="shared" si="32"/>
        <v>83.210444532247664</v>
      </c>
      <c r="I63" s="49">
        <f t="shared" si="32"/>
        <v>80.630920751747979</v>
      </c>
      <c r="J63" s="49">
        <f t="shared" si="32"/>
        <v>78.13136220844379</v>
      </c>
      <c r="K63" s="49">
        <f t="shared" si="32"/>
        <v>75.709289979982032</v>
      </c>
      <c r="L63" s="49">
        <f t="shared" si="32"/>
        <v>73.362301990602589</v>
      </c>
      <c r="M63" s="49">
        <f t="shared" si="32"/>
        <v>71.088070628893902</v>
      </c>
      <c r="N63" s="640">
        <f t="shared" si="13"/>
        <v>0.28911929371106099</v>
      </c>
    </row>
    <row r="64" spans="1:14" ht="13" hidden="1" outlineLevel="1">
      <c r="A64" s="11" t="s">
        <v>491</v>
      </c>
      <c r="B64" s="11">
        <v>100</v>
      </c>
      <c r="C64" s="49">
        <f>B64*(1-$I$22)</f>
        <v>97.8</v>
      </c>
      <c r="D64" s="49">
        <f t="shared" ref="D64:M64" si="33">C64*(1-$G$22)</f>
        <v>94.866</v>
      </c>
      <c r="E64" s="49">
        <f t="shared" si="33"/>
        <v>92.020020000000002</v>
      </c>
      <c r="F64" s="49">
        <f t="shared" si="33"/>
        <v>89.259419399999999</v>
      </c>
      <c r="G64" s="49">
        <f t="shared" si="33"/>
        <v>86.581636817999993</v>
      </c>
      <c r="H64" s="49">
        <f t="shared" si="33"/>
        <v>83.984187713459988</v>
      </c>
      <c r="I64" s="49">
        <f t="shared" si="33"/>
        <v>81.464662082056194</v>
      </c>
      <c r="J64" s="49">
        <f t="shared" si="33"/>
        <v>79.020722219594504</v>
      </c>
      <c r="K64" s="49">
        <f t="shared" si="33"/>
        <v>76.650100553006666</v>
      </c>
      <c r="L64" s="49">
        <f t="shared" si="33"/>
        <v>74.350597536416458</v>
      </c>
      <c r="M64" s="49">
        <f t="shared" si="33"/>
        <v>72.12007961032397</v>
      </c>
      <c r="N64" s="640">
        <f t="shared" si="13"/>
        <v>0.27879920389676033</v>
      </c>
    </row>
    <row r="65" spans="1:11" ht="13">
      <c r="K65" s="11" t="s">
        <v>492</v>
      </c>
    </row>
    <row r="67" spans="1:11" ht="13">
      <c r="A67" s="24" t="s">
        <v>493</v>
      </c>
    </row>
    <row r="70" spans="1:11" ht="13">
      <c r="A70" s="645" t="s">
        <v>494</v>
      </c>
      <c r="B70" s="650">
        <f>88/92</f>
        <v>0.95652173913043481</v>
      </c>
    </row>
    <row r="71" spans="1:11" ht="13">
      <c r="A71" s="645" t="s">
        <v>495</v>
      </c>
      <c r="B71" s="650">
        <f>1-B70</f>
        <v>4.3478260869565188E-2</v>
      </c>
    </row>
    <row r="74" spans="1:11" ht="13">
      <c r="A74" s="645"/>
      <c r="B74" s="651" t="s">
        <v>496</v>
      </c>
      <c r="C74" s="651" t="s">
        <v>497</v>
      </c>
    </row>
    <row r="75" spans="1:11" ht="13">
      <c r="A75" s="645" t="s">
        <v>498</v>
      </c>
      <c r="B75" s="652">
        <v>1090</v>
      </c>
      <c r="C75" s="652">
        <v>2100</v>
      </c>
    </row>
    <row r="76" spans="1:11" ht="13">
      <c r="A76" s="645" t="s">
        <v>499</v>
      </c>
      <c r="B76" s="652">
        <v>2100</v>
      </c>
      <c r="C76" s="652">
        <v>3800</v>
      </c>
    </row>
    <row r="77" spans="1:11" ht="13">
      <c r="A77" s="645" t="s">
        <v>500</v>
      </c>
      <c r="B77" s="652">
        <v>3800</v>
      </c>
      <c r="C77" s="652">
        <v>5900</v>
      </c>
    </row>
    <row r="80" spans="1:11" ht="13">
      <c r="A80" s="653" t="s">
        <v>501</v>
      </c>
      <c r="B80" s="33">
        <v>2024</v>
      </c>
      <c r="C80" s="35">
        <v>2025</v>
      </c>
      <c r="D80" s="35">
        <v>2026</v>
      </c>
      <c r="E80" s="35">
        <v>2027</v>
      </c>
      <c r="F80" s="35">
        <v>2028</v>
      </c>
      <c r="G80" s="35">
        <v>2029</v>
      </c>
      <c r="H80" s="35">
        <v>2030</v>
      </c>
      <c r="I80" s="36">
        <v>2031</v>
      </c>
    </row>
    <row r="81" spans="1:9" ht="13">
      <c r="A81" s="17"/>
      <c r="B81" s="654">
        <f t="shared" ref="B81:I81" si="34">(B38*($B$75*$B$71+$C$75*$B$70)+ B37*($B$76*$B$71+$C$76*$B$70)+ B36*($B$77*$B$71+$C$77*$B$70))*(1+B83)</f>
        <v>3937.6041979010497</v>
      </c>
      <c r="C81" s="655">
        <f t="shared" si="34"/>
        <v>3956.5296836346861</v>
      </c>
      <c r="D81" s="656">
        <f t="shared" ca="1" si="34"/>
        <v>4041.5468344069591</v>
      </c>
      <c r="E81" s="656">
        <f t="shared" ca="1" si="34"/>
        <v>4364.6175241034962</v>
      </c>
      <c r="F81" s="656">
        <f t="shared" ca="1" si="34"/>
        <v>4493.0291990373607</v>
      </c>
      <c r="G81" s="656">
        <f t="shared" ca="1" si="34"/>
        <v>4622.3096016220306</v>
      </c>
      <c r="H81" s="656">
        <f t="shared" ca="1" si="34"/>
        <v>4926.3806026155871</v>
      </c>
      <c r="I81" s="93">
        <f t="shared" ca="1" si="34"/>
        <v>4954.2101803118858</v>
      </c>
    </row>
    <row r="83" spans="1:9" ht="13">
      <c r="A83" s="11" t="s">
        <v>502</v>
      </c>
      <c r="D83" s="111"/>
      <c r="E83" s="111">
        <v>0.05</v>
      </c>
      <c r="F83" s="111">
        <v>0.05</v>
      </c>
      <c r="G83" s="111">
        <v>0.05</v>
      </c>
      <c r="H83" s="111">
        <v>0.1</v>
      </c>
      <c r="I83" s="111">
        <v>0.1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2:CC65"/>
  <sheetViews>
    <sheetView workbookViewId="0"/>
  </sheetViews>
  <sheetFormatPr baseColWidth="10" defaultColWidth="12.6640625" defaultRowHeight="15.75" customHeight="1"/>
  <cols>
    <col min="1" max="1" width="19" customWidth="1"/>
  </cols>
  <sheetData>
    <row r="2" spans="1:81" ht="15.75" customHeight="1">
      <c r="A2" s="167"/>
      <c r="B2" s="67"/>
      <c r="C2" s="168">
        <v>45809</v>
      </c>
      <c r="D2" s="169">
        <v>45839</v>
      </c>
      <c r="E2" s="169">
        <v>45870</v>
      </c>
      <c r="F2" s="169">
        <v>45901</v>
      </c>
      <c r="G2" s="169">
        <v>45931</v>
      </c>
      <c r="H2" s="169">
        <v>45962</v>
      </c>
      <c r="I2" s="170">
        <v>45992</v>
      </c>
      <c r="J2" s="171">
        <v>46023</v>
      </c>
      <c r="K2" s="171">
        <v>46054</v>
      </c>
      <c r="L2" s="171">
        <v>46082</v>
      </c>
      <c r="M2" s="171">
        <v>46113</v>
      </c>
      <c r="N2" s="171">
        <v>46143</v>
      </c>
      <c r="O2" s="171">
        <v>46174</v>
      </c>
      <c r="P2" s="171">
        <v>46204</v>
      </c>
      <c r="Q2" s="171">
        <v>46235</v>
      </c>
      <c r="R2" s="171">
        <v>46266</v>
      </c>
      <c r="S2" s="171">
        <v>46296</v>
      </c>
      <c r="T2" s="171">
        <v>46327</v>
      </c>
      <c r="U2" s="171">
        <v>46357</v>
      </c>
      <c r="V2" s="171">
        <v>46388</v>
      </c>
      <c r="W2" s="171">
        <v>46419</v>
      </c>
      <c r="X2" s="171">
        <v>46447</v>
      </c>
      <c r="Y2" s="171">
        <v>46478</v>
      </c>
      <c r="Z2" s="171">
        <v>46508</v>
      </c>
      <c r="AA2" s="171">
        <v>46539</v>
      </c>
      <c r="AB2" s="171">
        <v>46569</v>
      </c>
      <c r="AC2" s="171">
        <v>46600</v>
      </c>
      <c r="AD2" s="171">
        <v>46631</v>
      </c>
      <c r="AE2" s="171">
        <v>46661</v>
      </c>
      <c r="AF2" s="171">
        <v>46692</v>
      </c>
      <c r="AG2" s="171">
        <v>46722</v>
      </c>
      <c r="AH2" s="171">
        <v>46753</v>
      </c>
      <c r="AI2" s="171">
        <v>46784</v>
      </c>
      <c r="AJ2" s="171">
        <v>46813</v>
      </c>
      <c r="AK2" s="171">
        <v>46844</v>
      </c>
      <c r="AL2" s="171">
        <v>46874</v>
      </c>
      <c r="AM2" s="171">
        <v>46905</v>
      </c>
      <c r="AN2" s="171">
        <v>46935</v>
      </c>
      <c r="AO2" s="171">
        <v>46966</v>
      </c>
      <c r="AP2" s="171">
        <v>46997</v>
      </c>
      <c r="AQ2" s="171">
        <v>47027</v>
      </c>
      <c r="AR2" s="171">
        <v>47058</v>
      </c>
      <c r="AS2" s="171">
        <v>47088</v>
      </c>
      <c r="AT2" s="168">
        <v>47119</v>
      </c>
      <c r="AU2" s="169">
        <v>47150</v>
      </c>
      <c r="AV2" s="169">
        <v>47178</v>
      </c>
      <c r="AW2" s="169">
        <v>47209</v>
      </c>
      <c r="AX2" s="169">
        <v>47239</v>
      </c>
      <c r="AY2" s="169">
        <v>47270</v>
      </c>
      <c r="AZ2" s="169">
        <v>47300</v>
      </c>
      <c r="BA2" s="169">
        <v>47331</v>
      </c>
      <c r="BB2" s="169">
        <v>47362</v>
      </c>
      <c r="BC2" s="169">
        <v>47392</v>
      </c>
      <c r="BD2" s="169">
        <v>47423</v>
      </c>
      <c r="BE2" s="170">
        <v>47453</v>
      </c>
      <c r="BF2" s="172">
        <v>47484</v>
      </c>
      <c r="BG2" s="171">
        <v>47515</v>
      </c>
      <c r="BH2" s="171">
        <v>47543</v>
      </c>
      <c r="BI2" s="171">
        <v>47574</v>
      </c>
      <c r="BJ2" s="171">
        <v>47604</v>
      </c>
      <c r="BK2" s="171">
        <v>47635</v>
      </c>
      <c r="BL2" s="171">
        <v>47665</v>
      </c>
      <c r="BM2" s="171">
        <v>47696</v>
      </c>
      <c r="BN2" s="171">
        <v>47727</v>
      </c>
      <c r="BO2" s="171">
        <v>47757</v>
      </c>
      <c r="BP2" s="171">
        <v>47788</v>
      </c>
      <c r="BQ2" s="173">
        <v>47818</v>
      </c>
      <c r="BR2" s="168">
        <v>47849</v>
      </c>
      <c r="BS2" s="169">
        <v>47880</v>
      </c>
      <c r="BT2" s="169">
        <v>47908</v>
      </c>
      <c r="BU2" s="169">
        <v>47939</v>
      </c>
      <c r="BV2" s="169">
        <v>47969</v>
      </c>
      <c r="BW2" s="169">
        <v>48000</v>
      </c>
      <c r="BX2" s="169">
        <v>48030</v>
      </c>
      <c r="BY2" s="169">
        <v>48061</v>
      </c>
      <c r="BZ2" s="169">
        <v>48092</v>
      </c>
      <c r="CA2" s="169">
        <v>48122</v>
      </c>
      <c r="CB2" s="169">
        <v>48153</v>
      </c>
      <c r="CC2" s="170">
        <v>48183</v>
      </c>
    </row>
    <row r="3" spans="1:81" ht="16">
      <c r="A3" s="175" t="s">
        <v>127</v>
      </c>
      <c r="B3" s="176"/>
      <c r="C3" s="177">
        <f t="shared" ref="C3:CC3" si="0">C4+C5+C6</f>
        <v>52813.568308159593</v>
      </c>
      <c r="D3" s="178">
        <f t="shared" si="0"/>
        <v>54212.987190163985</v>
      </c>
      <c r="E3" s="178">
        <f t="shared" si="0"/>
        <v>55283.162568558269</v>
      </c>
      <c r="F3" s="178">
        <f t="shared" si="0"/>
        <v>56332.656662273279</v>
      </c>
      <c r="G3" s="178">
        <f t="shared" si="0"/>
        <v>57361.952094566266</v>
      </c>
      <c r="H3" s="178">
        <f t="shared" si="0"/>
        <v>58371.518090949008</v>
      </c>
      <c r="I3" s="179">
        <f t="shared" si="0"/>
        <v>59361.810907151521</v>
      </c>
      <c r="J3" s="177">
        <f t="shared" ca="1" si="0"/>
        <v>63058.019088704226</v>
      </c>
      <c r="K3" s="178">
        <f t="shared" ca="1" si="0"/>
        <v>64573.59442223682</v>
      </c>
      <c r="L3" s="178">
        <f t="shared" ca="1" si="0"/>
        <v>64879.224260736642</v>
      </c>
      <c r="M3" s="178">
        <f t="shared" ca="1" si="0"/>
        <v>66495.792070036783</v>
      </c>
      <c r="N3" s="178">
        <f t="shared" ca="1" si="0"/>
        <v>67965.939599313628</v>
      </c>
      <c r="O3" s="178">
        <f t="shared" ca="1" si="0"/>
        <v>69421.154514475784</v>
      </c>
      <c r="P3" s="178">
        <f t="shared" ca="1" si="0"/>
        <v>70861.68842989899</v>
      </c>
      <c r="Q3" s="178">
        <f t="shared" ca="1" si="0"/>
        <v>72845.473041214733</v>
      </c>
      <c r="R3" s="178">
        <f t="shared" ca="1" si="0"/>
        <v>74725.610691054622</v>
      </c>
      <c r="S3" s="178">
        <f t="shared" ca="1" si="0"/>
        <v>76584.406742054198</v>
      </c>
      <c r="T3" s="178">
        <f t="shared" ca="1" si="0"/>
        <v>78422.270435839688</v>
      </c>
      <c r="U3" s="179">
        <f t="shared" ca="1" si="0"/>
        <v>80239.601220647397</v>
      </c>
      <c r="V3" s="177">
        <f t="shared" ca="1" si="0"/>
        <v>90301.653390452659</v>
      </c>
      <c r="W3" s="178">
        <f t="shared" ca="1" si="0"/>
        <v>92600.371268772025</v>
      </c>
      <c r="X3" s="178">
        <f t="shared" ca="1" si="0"/>
        <v>94889.668903121477</v>
      </c>
      <c r="Y3" s="178">
        <f t="shared" ca="1" si="0"/>
        <v>97169.640600876737</v>
      </c>
      <c r="Z3" s="178">
        <f t="shared" ca="1" si="0"/>
        <v>99440.379468693034</v>
      </c>
      <c r="AA3" s="178">
        <f t="shared" ca="1" si="0"/>
        <v>101701.97743416259</v>
      </c>
      <c r="AB3" s="178">
        <f t="shared" ca="1" si="0"/>
        <v>103954.52526691643</v>
      </c>
      <c r="AC3" s="178">
        <f t="shared" ca="1" si="0"/>
        <v>106550.34718477516</v>
      </c>
      <c r="AD3" s="178">
        <f t="shared" ca="1" si="0"/>
        <v>109053.13007793279</v>
      </c>
      <c r="AE3" s="178">
        <f t="shared" ca="1" si="0"/>
        <v>111544.59746287017</v>
      </c>
      <c r="AF3" s="178">
        <f t="shared" ca="1" si="0"/>
        <v>114024.88879098922</v>
      </c>
      <c r="AG3" s="178">
        <f t="shared" ca="1" si="0"/>
        <v>116494.14107156379</v>
      </c>
      <c r="AH3" s="178">
        <f t="shared" ca="1" si="0"/>
        <v>128375.33054123507</v>
      </c>
      <c r="AI3" s="178">
        <f t="shared" ca="1" si="0"/>
        <v>131289.34452836012</v>
      </c>
      <c r="AJ3" s="179">
        <f t="shared" ca="1" si="0"/>
        <v>134200.31447597683</v>
      </c>
      <c r="AK3" s="177">
        <f t="shared" ca="1" si="0"/>
        <v>137108.20256236251</v>
      </c>
      <c r="AL3" s="178">
        <f t="shared" ca="1" si="0"/>
        <v>140012.97253311926</v>
      </c>
      <c r="AM3" s="178">
        <f t="shared" ca="1" si="0"/>
        <v>142914.58966069907</v>
      </c>
      <c r="AN3" s="178">
        <f t="shared" ca="1" si="0"/>
        <v>145813.02070483708</v>
      </c>
      <c r="AO3" s="178">
        <f t="shared" ca="1" si="0"/>
        <v>148708.23387387476</v>
      </c>
      <c r="AP3" s="178">
        <f t="shared" ca="1" si="0"/>
        <v>151600.19878695402</v>
      </c>
      <c r="AQ3" s="178">
        <f t="shared" ca="1" si="0"/>
        <v>154488.8864370666</v>
      </c>
      <c r="AR3" s="178">
        <f t="shared" ca="1" si="0"/>
        <v>157374.26915493852</v>
      </c>
      <c r="AS3" s="178">
        <f t="shared" ca="1" si="0"/>
        <v>160256.32057373476</v>
      </c>
      <c r="AT3" s="178">
        <f t="shared" ca="1" si="0"/>
        <v>178924.05293302069</v>
      </c>
      <c r="AU3" s="178">
        <f t="shared" ca="1" si="0"/>
        <v>181822.7646995926</v>
      </c>
      <c r="AV3" s="178">
        <f t="shared" ca="1" si="0"/>
        <v>184713.70365573897</v>
      </c>
      <c r="AW3" s="178">
        <f t="shared" ca="1" si="0"/>
        <v>187596.79691942266</v>
      </c>
      <c r="AX3" s="178">
        <f t="shared" ca="1" si="0"/>
        <v>190471.97594362852</v>
      </c>
      <c r="AY3" s="179">
        <f t="shared" ca="1" si="0"/>
        <v>193339.17637407972</v>
      </c>
      <c r="AZ3" s="177">
        <f t="shared" ca="1" si="0"/>
        <v>196198.33791112571</v>
      </c>
      <c r="BA3" s="178">
        <f t="shared" ca="1" si="0"/>
        <v>200260.92723783362</v>
      </c>
      <c r="BB3" s="178">
        <f t="shared" ca="1" si="0"/>
        <v>203946.38928578983</v>
      </c>
      <c r="BC3" s="178">
        <f t="shared" ca="1" si="0"/>
        <v>207617.08585864349</v>
      </c>
      <c r="BD3" s="178">
        <f t="shared" ca="1" si="0"/>
        <v>211273.07169199671</v>
      </c>
      <c r="BE3" s="178">
        <f t="shared" ca="1" si="0"/>
        <v>214914.40283433691</v>
      </c>
      <c r="BF3" s="178">
        <f t="shared" ca="1" si="0"/>
        <v>254362.42071781412</v>
      </c>
      <c r="BG3" s="178">
        <f t="shared" ca="1" si="0"/>
        <v>258378.56974673644</v>
      </c>
      <c r="BH3" s="178">
        <f t="shared" ca="1" si="0"/>
        <v>267285.20337895275</v>
      </c>
      <c r="BI3" s="178">
        <f t="shared" ca="1" si="0"/>
        <v>274776.17985836061</v>
      </c>
      <c r="BJ3" s="178">
        <f t="shared" ca="1" si="0"/>
        <v>287123.14546468429</v>
      </c>
      <c r="BK3" s="178">
        <f t="shared" ca="1" si="0"/>
        <v>302940.89689874195</v>
      </c>
      <c r="BL3" s="178">
        <f t="shared" ca="1" si="0"/>
        <v>317275.95508573425</v>
      </c>
      <c r="BM3" s="178">
        <f t="shared" ca="1" si="0"/>
        <v>358373.13212075771</v>
      </c>
      <c r="BN3" s="179">
        <f t="shared" ca="1" si="0"/>
        <v>392941.73108053301</v>
      </c>
      <c r="BO3" s="177">
        <f t="shared" ca="1" si="0"/>
        <v>427177.6099121662</v>
      </c>
      <c r="BP3" s="178">
        <f t="shared" ca="1" si="0"/>
        <v>461085.11623423127</v>
      </c>
      <c r="BQ3" s="178">
        <f t="shared" ca="1" si="0"/>
        <v>494668.52234340645</v>
      </c>
      <c r="BR3" s="178">
        <f t="shared" ca="1" si="0"/>
        <v>585617.59470870008</v>
      </c>
      <c r="BS3" s="178">
        <f t="shared" ca="1" si="0"/>
        <v>624583.58837573451</v>
      </c>
      <c r="BT3" s="178">
        <f t="shared" ca="1" si="0"/>
        <v>662502.65540680324</v>
      </c>
      <c r="BU3" s="178">
        <f t="shared" ca="1" si="0"/>
        <v>702254.28237775294</v>
      </c>
      <c r="BV3" s="178">
        <f t="shared" ca="1" si="0"/>
        <v>740953.74033362325</v>
      </c>
      <c r="BW3" s="178">
        <f t="shared" ca="1" si="0"/>
        <v>779281.39902449062</v>
      </c>
      <c r="BX3" s="178">
        <f t="shared" ca="1" si="0"/>
        <v>824780.58614942315</v>
      </c>
      <c r="BY3" s="178">
        <f t="shared" ca="1" si="0"/>
        <v>942806.81676875439</v>
      </c>
      <c r="BZ3" s="178">
        <f t="shared" ca="1" si="0"/>
        <v>1043971.0191832883</v>
      </c>
      <c r="CA3" s="178">
        <f t="shared" ca="1" si="0"/>
        <v>1143497.1534388494</v>
      </c>
      <c r="CB3" s="178">
        <f t="shared" ca="1" si="0"/>
        <v>1247412.1706434442</v>
      </c>
      <c r="CC3" s="179">
        <f t="shared" ca="1" si="0"/>
        <v>1348995.9108218506</v>
      </c>
    </row>
    <row r="4" spans="1:81" ht="15.75" customHeight="1">
      <c r="A4" s="32" t="s">
        <v>83</v>
      </c>
      <c r="B4" s="114"/>
      <c r="C4" s="657">
        <f>C10*Hypothèses!$B$20+(C10*Hypothèses!$B$71*0.7*Hypothèses!$B$12/12*Hypothèses!$B$72*Hypothèses!$B$28)+(C10-159)*Hypothèses!$B$74+Ventes!C14*C$10/SUM(C$10:C$12)</f>
        <v>52813.568308159593</v>
      </c>
      <c r="D4" s="658">
        <f>D10*Hypothèses!$B$20+(D10*Hypothèses!$B$71*0.7*Hypothèses!$B$12/12*Hypothèses!$B$72*Hypothèses!$B$28)+(D10-C10)*Hypothèses!$B$74+Ventes!D14*D$10/SUM(D$10:D$12)</f>
        <v>54212.987190163985</v>
      </c>
      <c r="E4" s="658">
        <f>E10*Hypothèses!$B$20+(E10*Hypothèses!$B$71*0.7*Hypothèses!$B$12/12*Hypothèses!$B$72*Hypothèses!$B$28)+(E10-D10)*Hypothèses!$B$74+Ventes!E14*E$10/SUM(E$10:E$12)</f>
        <v>55283.162568558269</v>
      </c>
      <c r="F4" s="658">
        <f>F10*Hypothèses!$B$20+(F10*Hypothèses!$B$71*0.7*Hypothèses!$B$12/12*Hypothèses!$B$72*Hypothèses!$B$28)+(F10-E10)*Hypothèses!$B$74+Ventes!F14*F$10/SUM(F$10:F$12)</f>
        <v>56332.656662273279</v>
      </c>
      <c r="G4" s="658">
        <f>G10*Hypothèses!$B$20+(G10*Hypothèses!$B$71*0.7*Hypothèses!$B$12/12*Hypothèses!$B$72*Hypothèses!$B$28)+(G10-F10)*Hypothèses!$B$74+Ventes!G14*G$10/SUM(G$10:G$12)</f>
        <v>57361.952094566266</v>
      </c>
      <c r="H4" s="658">
        <f>H10*Hypothèses!$B$20+(H10*Hypothèses!$B$71*0.7*Hypothèses!$B$12/12*Hypothèses!$B$72*Hypothèses!$B$28)+(H10-G10)*Hypothèses!$B$74+Ventes!H14*H$10/SUM(H$10:H$12)</f>
        <v>58371.518090949008</v>
      </c>
      <c r="I4" s="658">
        <f>I10*Hypothèses!$B$20+(I10*Hypothèses!$B$71*0.7*Hypothèses!$B$12/12*Hypothèses!$B$72*Hypothèses!$B$28)+(I10-H10)*Hypothèses!$B$74+Ventes!I14*I$10/SUM(I$10:I$12)</f>
        <v>59361.810907151521</v>
      </c>
      <c r="J4" s="659">
        <f ca="1">J10*Hypothèses!$C$20+(Ventes!J$8+Ventes!J14)*J$10/SUM(J$10:J$12)+(J10-I10)*Hypothèses!$B$74</f>
        <v>63058.019088704226</v>
      </c>
      <c r="K4" s="660">
        <f ca="1">K10*Hypothèses!$C$20+(Ventes!K$8+Ventes!K14)*K$10/SUM(K$10:K$12)+(K10-J10)*Hypothèses!$B$74</f>
        <v>64573.59442223682</v>
      </c>
      <c r="L4" s="660">
        <f ca="1">L10*Hypothèses!$C$20+(Ventes!L$8+Ventes!L14)*L$10/SUM(L$10:L$12)+(L10-K10)*Hypothèses!$B$74</f>
        <v>64879.224260736642</v>
      </c>
      <c r="M4" s="660">
        <f ca="1">M10*Hypothèses!$C$20+(Ventes!M$8+Ventes!M14)*M$10/SUM(M$10:M$12)+(M10-L10)*Hypothèses!$B$74</f>
        <v>66495.792070036783</v>
      </c>
      <c r="N4" s="660">
        <f ca="1">N10*Hypothèses!$C$20+(Ventes!N$8+Ventes!N14)*N$10/SUM(N$10:N$12)+(N10-M10)*Hypothèses!$B$74</f>
        <v>67965.939599313628</v>
      </c>
      <c r="O4" s="660">
        <f ca="1">O10*Hypothèses!$C$20+(Ventes!O$8+Ventes!O14)*O$10/SUM(O$10:O$12)+(O10-N10)*Hypothèses!$B$74</f>
        <v>69421.154514475784</v>
      </c>
      <c r="P4" s="660">
        <f ca="1">P10*Hypothèses!$C$20+(Ventes!P$8+Ventes!P14)*P$10/SUM(P$10:P$12)+(P10-O10)*Hypothèses!$B$74</f>
        <v>70861.68842989899</v>
      </c>
      <c r="Q4" s="660">
        <f ca="1">Q10*Hypothèses!$C$20+(Ventes!Q$8+Ventes!Q14)*Q$10/SUM(Q$10:Q$12)+(Q10-P10)*Hypothèses!$B$74</f>
        <v>72845.473041214733</v>
      </c>
      <c r="R4" s="660">
        <f ca="1">R10*Hypothèses!$C$20+(Ventes!R$8+Ventes!R14)*R$10/SUM(R$10:R$12)+(R10-Q10)*Hypothèses!$B$74</f>
        <v>74725.610691054622</v>
      </c>
      <c r="S4" s="660">
        <f ca="1">S10*Hypothèses!$C$20+(Ventes!S$8+Ventes!S14)*S$10/SUM(S$10:S$12)+(S10-R10)*Hypothèses!$B$74</f>
        <v>76584.406742054198</v>
      </c>
      <c r="T4" s="660">
        <f ca="1">T10*Hypothèses!$C$20+(Ventes!T$8+Ventes!T14)*T$10/SUM(T$10:T$12)+(T10-S10)*Hypothèses!$B$74</f>
        <v>78422.270435839688</v>
      </c>
      <c r="U4" s="660">
        <f ca="1">U10*Hypothèses!$C$20+(Ventes!U$8+Ventes!U14)*U$10/SUM(U$10:U$12)+(U10-T10)*Hypothèses!$B$74</f>
        <v>80239.601220647397</v>
      </c>
      <c r="V4" s="659">
        <f ca="1">V10*Hypothèses!$D$20+(Ventes!V$8+Ventes!V$14)*V$10/SUM(V$10:V$12)+(V10-U10)*Hypothèses!$B$74</f>
        <v>90301.653390452659</v>
      </c>
      <c r="W4" s="658">
        <f ca="1">W10*Hypothèses!$D$20+(Ventes!W$8+Ventes!W$14)*W$10/SUM(W$10:W$12)+(W10-V10)*Hypothèses!$B$74</f>
        <v>92600.371268772025</v>
      </c>
      <c r="X4" s="658">
        <f ca="1">X10*Hypothèses!$D$20+(Ventes!X$8+Ventes!X$14)*X$10/SUM(X$10:X$12)+(X10-W10)*Hypothèses!$B$74</f>
        <v>94889.668903121477</v>
      </c>
      <c r="Y4" s="658">
        <f ca="1">Y10*Hypothèses!$D$20+(Ventes!Y$8+Ventes!Y$14)*Y$10/SUM(Y$10:Y$12)+(Y10-X10)*Hypothèses!$B$74</f>
        <v>97169.640600876737</v>
      </c>
      <c r="Z4" s="658">
        <f ca="1">Z10*Hypothèses!$D$20+(Ventes!Z$8+Ventes!Z$14)*Z$10/SUM(Z$10:Z$12)+(Z10-Y10)*Hypothèses!$B$74</f>
        <v>99440.379468693034</v>
      </c>
      <c r="AA4" s="658">
        <f ca="1">AA10*Hypothèses!$D$20+(Ventes!AA$8+Ventes!AA$14)*AA$10/SUM(AA$10:AA$12)+(AA10-Z10)*Hypothèses!$B$74</f>
        <v>101701.97743416259</v>
      </c>
      <c r="AB4" s="658">
        <f ca="1">AB10*Hypothèses!$D$20+(Ventes!AB$8+Ventes!AB$14)*AB$10/SUM(AB$10:AB$12)+(AB10-AA10)*Hypothèses!$B$74</f>
        <v>103954.52526691643</v>
      </c>
      <c r="AC4" s="658">
        <f ca="1">AC10*Hypothèses!$D$20+(Ventes!AC$8+Ventes!AC$14)*AC$10/SUM(AC$10:AC$12)+(AC10-AB10)*Hypothèses!$B$74</f>
        <v>106550.34718477516</v>
      </c>
      <c r="AD4" s="658">
        <f ca="1">AD10*Hypothèses!$D$20+(Ventes!AD$8+Ventes!AD$14)*AD$10/SUM(AD$10:AD$12)+(AD10-AC10)*Hypothèses!$B$74</f>
        <v>109053.13007793279</v>
      </c>
      <c r="AE4" s="658">
        <f ca="1">AE10*Hypothèses!$D$20+(Ventes!AE$8+Ventes!AE$14)*AE$10/SUM(AE$10:AE$12)+(AE10-AD10)*Hypothèses!$B$74</f>
        <v>111544.59746287017</v>
      </c>
      <c r="AF4" s="658">
        <f ca="1">AF10*Hypothèses!$D$20+(Ventes!AF$8+Ventes!AF$14)*AF$10/SUM(AF$10:AF$12)+(AF10-AE10)*Hypothèses!$B$74</f>
        <v>114024.88879098922</v>
      </c>
      <c r="AG4" s="661">
        <f ca="1">AG10*Hypothèses!$D$20+(Ventes!AG$8+Ventes!AG$14)*AG$10/SUM(AG$10:AG$12)+(AG10-AF10)*Hypothèses!$B$74</f>
        <v>116494.14107156379</v>
      </c>
      <c r="AH4" s="659">
        <f ca="1">AH10*Hypothèses!$E$20+(Ventes!AH$8+Ventes!AH$14)*AH$10/SUM(AH$10:AH$12)+(AH10-AG10)*Hypothèses!$B$74</f>
        <v>128375.33054123507</v>
      </c>
      <c r="AI4" s="660">
        <f ca="1">AI10*Hypothèses!$E$20+(Ventes!AI$8+Ventes!AI$14)*AI$10/SUM(AI$10:AI$12)+(AI10-AH10)*Hypothèses!$B$74</f>
        <v>131289.34452836012</v>
      </c>
      <c r="AJ4" s="660">
        <f ca="1">AJ10*Hypothèses!$E$20+(Ventes!AJ$8+Ventes!AJ$14)*AJ$10/SUM(AJ$10:AJ$12)+(AJ10-AI10)*Hypothèses!$B$74</f>
        <v>134200.31447597683</v>
      </c>
      <c r="AK4" s="660">
        <f ca="1">AK10*Hypothèses!$E$20+(Ventes!AK$8+Ventes!AK$14)*AK$10/SUM(AK$10:AK$12)+(AK10-AJ10)*Hypothèses!$B$74</f>
        <v>137108.20256236251</v>
      </c>
      <c r="AL4" s="660">
        <f ca="1">AL10*Hypothèses!$E$20+(Ventes!AL$8+Ventes!AL$14)*AL$10/SUM(AL$10:AL$12)+(AL10-AK10)*Hypothèses!$B$74</f>
        <v>140012.97253311926</v>
      </c>
      <c r="AM4" s="660">
        <f ca="1">AM10*Hypothèses!$E$20+(Ventes!AM$8+Ventes!AM$14)*AM$10/SUM(AM$10:AM$12)+(AM10-AL10)*Hypothèses!$B$74</f>
        <v>142914.58966069907</v>
      </c>
      <c r="AN4" s="660">
        <f ca="1">AN10*Hypothèses!$E$20+(Ventes!AN$8+Ventes!AN$14)*AN$10/SUM(AN$10:AN$12)+(AN10-AM10)*Hypothèses!$B$74</f>
        <v>145813.02070483708</v>
      </c>
      <c r="AO4" s="660">
        <f ca="1">AO10*Hypothèses!$E$20+(Ventes!AO$8+Ventes!AO$14)*AO$10/SUM(AO$10:AO$12)+(AO10-AN10)*Hypothèses!$B$74</f>
        <v>148708.23387387476</v>
      </c>
      <c r="AP4" s="660">
        <f ca="1">AP10*Hypothèses!$E$20+(Ventes!AP$8+Ventes!AP$14)*AP$10/SUM(AP$10:AP$12)+(AP10-AO10)*Hypothèses!$B$74</f>
        <v>151600.19878695402</v>
      </c>
      <c r="AQ4" s="660">
        <f ca="1">AQ10*Hypothèses!$E$20+(Ventes!AQ$8+Ventes!AQ$14)*AQ$10/SUM(AQ$10:AQ$12)+(AQ10-AP10)*Hypothèses!$B$74</f>
        <v>154488.8864370666</v>
      </c>
      <c r="AR4" s="660">
        <f ca="1">AR10*Hypothèses!$E$20+(Ventes!AR$8+Ventes!AR$14)*AR$10/SUM(AR$10:AR$12)+(AR10-AQ10)*Hypothèses!$B$74</f>
        <v>157374.26915493852</v>
      </c>
      <c r="AS4" s="662">
        <f ca="1">AS10*Hypothèses!$E$20+(Ventes!AS$8+Ventes!AS$14)*AS$10/SUM(AS$10:AS$12)+(AS10-AR10)*Hypothèses!$B$74</f>
        <v>160256.32057373476</v>
      </c>
      <c r="AT4" s="659">
        <f ca="1">AT10*Hypothèses!$F$20+(Ventes!AT$8+Ventes!AT$14)*AT$10/SUM(AT$10:AT$12)+(AT10-AS10)*Hypothèses!$B$74</f>
        <v>178924.05293302069</v>
      </c>
      <c r="AU4" s="660">
        <f ca="1">AU10*Hypothèses!$F$20+(Ventes!AU$8+Ventes!AU$14)*AU$10/SUM(AU$10:AU$12)+(AU10-AT10)*Hypothèses!$B$74</f>
        <v>181822.7646995926</v>
      </c>
      <c r="AV4" s="660">
        <f ca="1">AV10*Hypothèses!$F$20+(Ventes!AV$8+Ventes!AV$14)*AV$10/SUM(AV$10:AV$12)+(AV10-AU10)*Hypothèses!$B$74</f>
        <v>184713.70365573897</v>
      </c>
      <c r="AW4" s="660">
        <f ca="1">AW10*Hypothèses!$F$20+(Ventes!AW$8+Ventes!AW$14)*AW$10/SUM(AW$10:AW$12)+(AW10-AV10)*Hypothèses!$B$74</f>
        <v>187596.79691942266</v>
      </c>
      <c r="AX4" s="660">
        <f ca="1">AX10*Hypothèses!$F$20+(Ventes!AX$8+Ventes!AX$14)*AX$10/SUM(AX$10:AX$12)+(AX10-AW10)*Hypothèses!$B$74</f>
        <v>190471.97594362852</v>
      </c>
      <c r="AY4" s="660">
        <f ca="1">AY10*Hypothèses!$F$20+(Ventes!AY$8+Ventes!AY$14)*AY$10/SUM(AY$10:AY$12)+(AY10-AX10)*Hypothèses!$B$74</f>
        <v>193339.17637407972</v>
      </c>
      <c r="AZ4" s="660">
        <f ca="1">AZ10*Hypothèses!$F$20+(Ventes!AZ$8+Ventes!AZ$14)*AZ$10/SUM(AZ$10:AZ$12)+(AZ10-AY10)*Hypothèses!$B$74</f>
        <v>196198.33791112571</v>
      </c>
      <c r="BA4" s="660">
        <f ca="1">BA10*Hypothèses!$F$20+(Ventes!BA$8+Ventes!BA$14)*BA$10/SUM(BA$10:BA$12)+(BA10-AZ10)*Hypothèses!$B$74</f>
        <v>200260.92723783362</v>
      </c>
      <c r="BB4" s="660">
        <f ca="1">BB10*Hypothèses!$F$20+(Ventes!BB$8+Ventes!BB$14)*BB$10/SUM(BB$10:BB$12)+(BB10-BA10)*Hypothèses!$B$74</f>
        <v>203946.38928578983</v>
      </c>
      <c r="BC4" s="660">
        <f ca="1">BC10*Hypothèses!$F$20+(Ventes!BC$8+Ventes!BC$14)*BC$10/SUM(BC$10:BC$12)+(BC10-BB10)*Hypothèses!$B$74</f>
        <v>207617.08585864349</v>
      </c>
      <c r="BD4" s="660">
        <f ca="1">BD10*Hypothèses!$F$20+(Ventes!BD$8+Ventes!BD$14)*BD$10/SUM(BD$10:BD$12)+(BD10-BC10)*Hypothèses!$B$74</f>
        <v>211273.07169199671</v>
      </c>
      <c r="BE4" s="662">
        <f ca="1">BE10*Hypothèses!$F$20+(Ventes!BE$8+Ventes!BE$14)*BE$10/SUM(BE$10:BE$12)+(BE10-BD10)*Hypothèses!$B$74</f>
        <v>214914.40283433691</v>
      </c>
      <c r="BF4" s="659">
        <f ca="1">BF10*Hypothèses!$G$20+(Ventes!BF$8+Ventes!BF$14)*BF$10/SUM(BF$10:BF$12)+(BF10-BE10)*Hypothèses!$B$74</f>
        <v>254362.42071781412</v>
      </c>
      <c r="BG4" s="660">
        <f ca="1">BG10*Hypothèses!$G$20+(Ventes!BG$8+Ventes!BG$14)*BG$10/SUM(BG$10:BG$12)+(BG10-BF10)*Hypothèses!$B$74</f>
        <v>258378.56974673644</v>
      </c>
      <c r="BH4" s="660">
        <f ca="1">BH10*Hypothèses!$G$20+(Ventes!BH$8+Ventes!BH$14)*BH$10/SUM(BH$10:BH$12)+(BH10-BG10)*Hypothèses!$B$74</f>
        <v>265475.01730071305</v>
      </c>
      <c r="BI4" s="660">
        <f ca="1">BI10*Hypothèses!$G$20+(Ventes!BI$8+Ventes!BI$14)*BI$10/SUM(BI$10:BI$12)+(BI10-BH10)*Hypothèses!$B$74</f>
        <v>271175.46150414052</v>
      </c>
      <c r="BJ4" s="660">
        <f ca="1">BJ10*Hypothèses!$G$20+(Ventes!BJ$8+Ventes!BJ$14)*BJ$10/SUM(BJ$10:BJ$12)+(BJ10-BI10)*Hypothèses!$B$74</f>
        <v>281726.67908428179</v>
      </c>
      <c r="BK4" s="660">
        <f ca="1">BK10*Hypothèses!$G$20+(Ventes!BK$8+Ventes!BK$14)*BK$10/SUM(BK$10:BK$12)+(BK10-BJ10)*Hypothèses!$B$74</f>
        <v>295755.80607850454</v>
      </c>
      <c r="BL4" s="660">
        <f ca="1">BL10*Hypothèses!$G$20+(Ventes!BL$8+Ventes!BL$14)*BL$10/SUM(BL$10:BL$12)+(BL10-BK10)*Hypothèses!$B$74</f>
        <v>308348.16223773611</v>
      </c>
      <c r="BM4" s="660">
        <f ca="1">BM10*Hypothèses!$G$20+(Ventes!BM$8+Ventes!BM$14)*BM$10/SUM(BM$10:BM$12)+(BM10-BL10)*Hypothèses!$B$74</f>
        <v>324855.55534616567</v>
      </c>
      <c r="BN4" s="660">
        <f ca="1">BN10*Hypothèses!$G$20+(Ventes!BN$8+Ventes!BN$14)*BN$10/SUM(BN$10:BN$12)+(BN10-BM10)*Hypothèses!$B$74</f>
        <v>335615.41296634678</v>
      </c>
      <c r="BO4" s="660">
        <f ca="1">BO10*Hypothèses!$G$20+(Ventes!BO$8+Ventes!BO$14)*BO$10/SUM(BO$10:BO$12)+(BO10-BN10)*Hypothèses!$B$74</f>
        <v>346543.06589156535</v>
      </c>
      <c r="BP4" s="660">
        <f ca="1">BP10*Hypothèses!$G$20+(Ventes!BP$8+Ventes!BP$14)*BP$10/SUM(BP$10:BP$12)+(BP10-BO10)*Hypothèses!$B$74</f>
        <v>357570.84572856082</v>
      </c>
      <c r="BQ4" s="662">
        <f ca="1">BQ10*Hypothèses!$G$20+(Ventes!BQ$8+Ventes!BQ$14)*BQ$10/SUM(BQ$10:BQ$12)+(BQ10-BP10)*Hypothèses!$B$74</f>
        <v>368652.19219339255</v>
      </c>
      <c r="BR4" s="659">
        <f ca="1">BR10*Hypothèses!$H$20+(Ventes!BR$8+Ventes!BR$14)*BR$10/SUM(BR$10:BR$12)+(BR10-BQ10)*Hypothèses!$B$74</f>
        <v>421247.49100851244</v>
      </c>
      <c r="BS4" s="660">
        <f ca="1">BS10*Hypothèses!$H$20+(Ventes!BS$8+Ventes!BS$14)*BS$10/SUM(BS$10:BS$12)+(BS10-BR10)*Hypothèses!$B$74</f>
        <v>433862.18975577259</v>
      </c>
      <c r="BT4" s="660">
        <f ca="1">BT10*Hypothèses!$H$20+(Ventes!BT$8+Ventes!BT$14)*BT$10/SUM(BT$10:BT$12)+(BT10-BS10)*Hypothèses!$B$74</f>
        <v>445982.97753521218</v>
      </c>
      <c r="BU4" s="660">
        <f ca="1">BU10*Hypothèses!$H$20+(Ventes!BU$8+Ventes!BU$14)*BU$10/SUM(BU$10:BU$12)+(BU10-BT10)*Hypothèses!$B$74</f>
        <v>458717.12729310815</v>
      </c>
      <c r="BV4" s="660">
        <f ca="1">BV10*Hypothèses!$H$20+(Ventes!BV$8+Ventes!BV$14)*BV$10/SUM(BV$10:BV$12)+(BV10-BU10)*Hypothèses!$B$74</f>
        <v>470948.22850115027</v>
      </c>
      <c r="BW4" s="660">
        <f ca="1">BW10*Hypothèses!$H$20+(Ventes!BW$8+Ventes!BW$14)*BW$10/SUM(BW$10:BW$12)+(BW10-BV10)*Hypothèses!$B$74</f>
        <v>483121.20147511183</v>
      </c>
      <c r="BX4" s="660">
        <f ca="1">BX10*Hypothèses!$H$20+(Ventes!BX$8+Ventes!BX$14)*BX$10/SUM(BX$10:BX$12)+(BX10-BW10)*Hypothèses!$B$74</f>
        <v>496678.85287805216</v>
      </c>
      <c r="BY4" s="660">
        <f ca="1">BY10*Hypothèses!$H$20+(Ventes!BY$8+Ventes!BY$14)*BY$10/SUM(BY$10:BY$12)+(BY10-BX10)*Hypothèses!$B$74</f>
        <v>536963.31290486187</v>
      </c>
      <c r="BZ4" s="660">
        <f ca="1">BZ10*Hypothèses!$H$20+(Ventes!BZ$8+Ventes!BZ$14)*BZ$10/SUM(BZ$10:BZ$12)+(BZ10-BY10)*Hypothèses!$B$74</f>
        <v>568319.05381044419</v>
      </c>
      <c r="CA4" s="660">
        <f ca="1">CA10*Hypothèses!$H$20+(Ventes!CA$8+Ventes!CA$14)*CA$10/SUM(CA$10:CA$12)+(CA10-BZ10)*Hypothèses!$B$74</f>
        <v>599117.57517100673</v>
      </c>
      <c r="CB4" s="660">
        <f ca="1">CB10*Hypothèses!$H$20+(Ventes!CB$8+Ventes!CB$14)*CB$10/SUM(CB$10:CB$12)+(CB10-CA10)*Hypothèses!$B$74</f>
        <v>630403.53363427764</v>
      </c>
      <c r="CC4" s="662">
        <f ca="1">CC10*Hypothèses!$H$20+(Ventes!CC$8+Ventes!CC$14)*CC$10/SUM(CC$10:CC$12)+(CC10-CB10)*Hypothèses!$B$74</f>
        <v>660769.54054336692</v>
      </c>
    </row>
    <row r="5" spans="1:81" ht="15.75" customHeight="1">
      <c r="A5" s="40" t="s">
        <v>84</v>
      </c>
      <c r="B5" s="10"/>
      <c r="C5" s="191">
        <f>C11*Hypothèses!$B$20+(C11*Hypothèses!$B$71*0.7*Hypothèses!$B$12/12*Hypothèses!$B$72*Hypothèses!$B$35)+(C11-B11)*Hypothèses!$B$74+Ventes!C14*C$11/SUM(C$10:C$12)</f>
        <v>0</v>
      </c>
      <c r="D5" s="192">
        <f>D11*Hypothèses!$B$20+(D11*Hypothèses!$B$71*0.7*Hypothèses!$B$12/12*Hypothèses!$B$72*Hypothèses!$B$35)+(D11-C11)*Hypothèses!$B$74+Ventes!D14*D$11/SUM(D$10:D$12)</f>
        <v>0</v>
      </c>
      <c r="E5" s="192">
        <f>E11*Hypothèses!$B$20+(E11*Hypothèses!$B$71*0.7*Hypothèses!$B$12/12*Hypothèses!$B$72*Hypothèses!$B$35)+(E11-D11)*Hypothèses!$B$74+Ventes!E14*E$11/SUM(E$10:E$12)</f>
        <v>0</v>
      </c>
      <c r="F5" s="192">
        <f>F11*Hypothèses!$B$20+(F11*Hypothèses!$B$71*0.7*Hypothèses!$B$12/12*Hypothèses!$B$72*Hypothèses!$B$35)+(F11-E11)*Hypothèses!$B$74+Ventes!F14*F$11/SUM(F$10:F$12)</f>
        <v>0</v>
      </c>
      <c r="G5" s="192">
        <f>G11*Hypothèses!$B$20+(G11*Hypothèses!$B$71*0.7*Hypothèses!$B$12/12*Hypothèses!$B$72*Hypothèses!$B$35)+(G11-F11)*Hypothèses!$B$74+Ventes!G14*G$11/SUM(G$10:G$12)</f>
        <v>0</v>
      </c>
      <c r="H5" s="192">
        <f>H11*Hypothèses!$B$20+(H11*Hypothèses!$B$71*0.7*Hypothèses!$B$12/12*Hypothèses!$B$72*Hypothèses!$B$35)+(H11-G11)*Hypothèses!$B$74+Ventes!H14*H$11/SUM(H$10:H$12)</f>
        <v>0</v>
      </c>
      <c r="I5" s="193">
        <f>I11*Hypothèses!$B$20+(I11*Hypothèses!$B$71*0.7*Hypothèses!$B$12/12*Hypothèses!$B$72*Hypothèses!$B$35)+(I11-H11)*Hypothèses!$B$74+Ventes!I14*I$11/SUM(I$10:I$12)</f>
        <v>0</v>
      </c>
      <c r="J5" s="129">
        <f ca="1">J11*Hypothèses!$C$20+(Ventes!J$8+Ventes!J$14)*J$11/SUM(J$10:J$12)+(J11-I11)*Hypothèses!$B$74</f>
        <v>0</v>
      </c>
      <c r="K5" s="130">
        <f ca="1">K11*Hypothèses!$C$20+(Ventes!K$8+Ventes!K$14)*K$11/SUM(K$10:K$12)+(K11-J11)*Hypothèses!$B$74</f>
        <v>0</v>
      </c>
      <c r="L5" s="130">
        <f ca="1">L11*Hypothèses!$C$20+(Ventes!L$8+Ventes!L$14)*L$11/SUM(L$10:L$12)+(L11-K11)*Hypothèses!$B$74</f>
        <v>0</v>
      </c>
      <c r="M5" s="130">
        <f ca="1">M11*Hypothèses!$C$20+(Ventes!M$8+Ventes!M$14)*M$11/SUM(M$10:M$12)+(M11-L11)*Hypothèses!$B$74</f>
        <v>0</v>
      </c>
      <c r="N5" s="130">
        <f ca="1">N11*Hypothèses!$C$20+(Ventes!N$8+Ventes!N$14)*N$11/SUM(N$10:N$12)+(N11-M11)*Hypothèses!$B$74</f>
        <v>0</v>
      </c>
      <c r="O5" s="130">
        <f ca="1">O11*Hypothèses!$C$20+(Ventes!O$8+Ventes!O$14)*O$11/SUM(O$10:O$12)+(O11-N11)*Hypothèses!$B$74</f>
        <v>0</v>
      </c>
      <c r="P5" s="130">
        <f ca="1">P11*Hypothèses!$C$20+(Ventes!P$8+Ventes!P$14)*P$11/SUM(P$10:P$12)+(P11-O11)*Hypothèses!$B$74</f>
        <v>0</v>
      </c>
      <c r="Q5" s="130">
        <f ca="1">Q11*Hypothèses!$C$20+(Ventes!Q$8+Ventes!Q$14)*Q$11/SUM(Q$10:Q$12)+(Q11-P11)*Hypothèses!$B$74</f>
        <v>0</v>
      </c>
      <c r="R5" s="130">
        <f ca="1">R11*Hypothèses!$C$20+(Ventes!R$8+Ventes!R$14)*R$11/SUM(R$10:R$12)+(R11-Q11)*Hypothèses!$B$74</f>
        <v>0</v>
      </c>
      <c r="S5" s="130">
        <f ca="1">S11*Hypothèses!$C$20+(Ventes!S$8+Ventes!S$14)*S$11/SUM(S$10:S$12)+(S11-R11)*Hypothèses!$B$74</f>
        <v>0</v>
      </c>
      <c r="T5" s="130">
        <f ca="1">T11*Hypothèses!$C$20+(Ventes!T$8+Ventes!T$14)*T$11/SUM(T$10:T$12)+(T11-S11)*Hypothèses!$B$74</f>
        <v>0</v>
      </c>
      <c r="U5" s="130">
        <f ca="1">U11*Hypothèses!$C$20+(Ventes!U$8+Ventes!U$14)*U$11/SUM(U$10:U$12)+(U11-T11)*Hypothèses!$B$74</f>
        <v>0</v>
      </c>
      <c r="V5" s="130">
        <f ca="1">V11*Hypothèses!$D$20+(Ventes!V$8+Ventes!V$14)*V$11/SUM(V$10:V$12)+(V11-U11)*Hypothèses!$B$74</f>
        <v>0</v>
      </c>
      <c r="W5" s="130">
        <f ca="1">W11*Hypothèses!$D$20+(Ventes!W$8+Ventes!W$14)*W$11/SUM(W$10:W$12)+(W11-V11)*Hypothèses!$B$74</f>
        <v>0</v>
      </c>
      <c r="X5" s="130">
        <f ca="1">X11*Hypothèses!$D$20+(Ventes!X$8+Ventes!X$14)*X$11/SUM(X$10:X$12)+(X11-W11)*Hypothèses!$B$74</f>
        <v>0</v>
      </c>
      <c r="Y5" s="130">
        <f ca="1">Y11*Hypothèses!$D$20+(Ventes!Y$8+Ventes!Y$14)*Y$11/SUM(Y$10:Y$12)+(Y11-X11)*Hypothèses!$B$74</f>
        <v>0</v>
      </c>
      <c r="Z5" s="130">
        <f ca="1">Z11*Hypothèses!$D$20+(Ventes!Z$8+Ventes!Z$14)*Z$11/SUM(Z$10:Z$12)+(Z11-Y11)*Hypothèses!$B$74</f>
        <v>0</v>
      </c>
      <c r="AA5" s="130">
        <f ca="1">AA11*Hypothèses!$D$20+(Ventes!AA$8+Ventes!AA$14)*AA$11/SUM(AA$10:AA$12)+(AA11-Z11)*Hypothèses!$B$74</f>
        <v>0</v>
      </c>
      <c r="AB5" s="130">
        <f ca="1">AB11*Hypothèses!$D$20+(Ventes!AB$8+Ventes!AB$14)*AB$11/SUM(AB$10:AB$12)+(AB11-AA11)*Hypothèses!$B$74</f>
        <v>0</v>
      </c>
      <c r="AC5" s="130">
        <f ca="1">AC11*Hypothèses!$D$20+(Ventes!AC$8+Ventes!AC$14)*AC$11/SUM(AC$10:AC$12)+(AC11-AB11)*Hypothèses!$B$74</f>
        <v>0</v>
      </c>
      <c r="AD5" s="130">
        <f ca="1">AD11*Hypothèses!$D$20+(Ventes!AD$8+Ventes!AD$14)*AD$11/SUM(AD$10:AD$12)+(AD11-AC11)*Hypothèses!$B$74</f>
        <v>0</v>
      </c>
      <c r="AE5" s="130">
        <f ca="1">AE11*Hypothèses!$D$20+(Ventes!AE$8+Ventes!AE$14)*AE$11/SUM(AE$10:AE$12)+(AE11-AD11)*Hypothèses!$B$74</f>
        <v>0</v>
      </c>
      <c r="AF5" s="130">
        <f ca="1">AF11*Hypothèses!$D$20+(Ventes!AF$8+Ventes!AF$14)*AF$11/SUM(AF$10:AF$12)+(AF11-AE11)*Hypothèses!$B$74</f>
        <v>0</v>
      </c>
      <c r="AG5" s="131">
        <f ca="1">AG11*Hypothèses!$D$20+(Ventes!AG$8+Ventes!AG$14)*AG$11/SUM(AG$10:AG$12)+(AG11-AF11)*Hypothèses!$B$74</f>
        <v>0</v>
      </c>
      <c r="AH5" s="130">
        <f ca="1">AH11*Hypothèses!$E$20+(Ventes!AH$8+Ventes!AH$14)*AH$11/SUM(AH$10:AH$12)+(AH11-AG11)*Hypothèses!$B$74</f>
        <v>0</v>
      </c>
      <c r="AI5" s="130">
        <f ca="1">AI11*Hypothèses!$E$20+(Ventes!AI$8+Ventes!AI$14)*AI$11/SUM(AI$10:AI$12)+(AI11-AH11)*Hypothèses!$B$74</f>
        <v>0</v>
      </c>
      <c r="AJ5" s="130">
        <f ca="1">AJ11*Hypothèses!$E$20+(Ventes!AJ$8+Ventes!AJ$14)*AJ$11/SUM(AJ$10:AJ$12)+(AJ11-AI11)*Hypothèses!$B$74</f>
        <v>0</v>
      </c>
      <c r="AK5" s="130">
        <f ca="1">AK11*Hypothèses!$E$20+(Ventes!AK$8+Ventes!AK$14)*AK$11/SUM(AK$10:AK$12)+(AK11-AJ11)*Hypothèses!$B$74</f>
        <v>0</v>
      </c>
      <c r="AL5" s="130">
        <f ca="1">AL11*Hypothèses!$E$20+(Ventes!AL$8+Ventes!AL$14)*AL$11/SUM(AL$10:AL$12)+(AL11-AK11)*Hypothèses!$B$74</f>
        <v>0</v>
      </c>
      <c r="AM5" s="130">
        <f ca="1">AM11*Hypothèses!$E$20+(Ventes!AM$8+Ventes!AM$14)*AM$11/SUM(AM$10:AM$12)+(AM11-AL11)*Hypothèses!$B$74</f>
        <v>0</v>
      </c>
      <c r="AN5" s="130">
        <f ca="1">AN11*Hypothèses!$E$20+(Ventes!AN$8+Ventes!AN$14)*AN$11/SUM(AN$10:AN$12)+(AN11-AM11)*Hypothèses!$B$74</f>
        <v>0</v>
      </c>
      <c r="AO5" s="130">
        <f ca="1">AO11*Hypothèses!$E$20+(Ventes!AO$8+Ventes!AO$14)*AO$11/SUM(AO$10:AO$12)+(AO11-AN11)*Hypothèses!$B$74</f>
        <v>0</v>
      </c>
      <c r="AP5" s="130">
        <f ca="1">AP11*Hypothèses!$E$20+(Ventes!AP$8+Ventes!AP$14)*AP$11/SUM(AP$10:AP$12)+(AP11-AO11)*Hypothèses!$B$74</f>
        <v>0</v>
      </c>
      <c r="AQ5" s="130">
        <f ca="1">AQ11*Hypothèses!$E$20+(Ventes!AQ$8+Ventes!AQ$14)*AQ$11/SUM(AQ$10:AQ$12)+(AQ11-AP11)*Hypothèses!$B$74</f>
        <v>0</v>
      </c>
      <c r="AR5" s="130">
        <f ca="1">AR11*Hypothèses!$E$20+(Ventes!AR$8+Ventes!AR$14)*AR$11/SUM(AR$10:AR$12)+(AR11-AQ11)*Hypothèses!$B$74</f>
        <v>0</v>
      </c>
      <c r="AS5" s="131">
        <f ca="1">AS11*Hypothèses!$E$20+(Ventes!AS$8+Ventes!AS$14)*AS$11/SUM(AS$10:AS$12)+(AS11-AR11)*Hypothèses!$B$74</f>
        <v>0</v>
      </c>
      <c r="AT5" s="130">
        <f ca="1">AT11*Hypothèses!$F$20+(Ventes!AT$8+Ventes!AT$14)*AT$11/SUM(AT$10:AT$12)+(AT11-AS11)*Hypothèses!$B$74</f>
        <v>0</v>
      </c>
      <c r="AU5" s="130">
        <f ca="1">AU11*Hypothèses!$F$20+(Ventes!AU$8+Ventes!AU$14)*AU$11/SUM(AU$10:AU$12)+(AU11-AT11)*Hypothèses!$B$74</f>
        <v>0</v>
      </c>
      <c r="AV5" s="130">
        <f ca="1">AV11*Hypothèses!$F$20+(Ventes!AV$8+Ventes!AV$14)*AV$11/SUM(AV$10:AV$12)+(AV11-AU11)*Hypothèses!$B$74</f>
        <v>0</v>
      </c>
      <c r="AW5" s="130">
        <f ca="1">AW11*Hypothèses!$F$20+(Ventes!AW$8+Ventes!AW$14)*AW$11/SUM(AW$10:AW$12)+(AW11-AV11)*Hypothèses!$B$74</f>
        <v>0</v>
      </c>
      <c r="AX5" s="130">
        <f ca="1">AX11*Hypothèses!$F$20+(Ventes!AX$8+Ventes!AX$14)*AX$11/SUM(AX$10:AX$12)+(AX11-AW11)*Hypothèses!$B$74</f>
        <v>0</v>
      </c>
      <c r="AY5" s="130">
        <f ca="1">AY11*Hypothèses!$F$20+(Ventes!AY$8+Ventes!AY$14)*AY$11/SUM(AY$10:AY$12)+(AY11-AX11)*Hypothèses!$B$74</f>
        <v>0</v>
      </c>
      <c r="AZ5" s="130">
        <f ca="1">AZ11*Hypothèses!$F$20+(Ventes!AZ$8+Ventes!AZ$14)*AZ$11/SUM(AZ$10:AZ$12)+(AZ11-AY11)*Hypothèses!$B$74</f>
        <v>0</v>
      </c>
      <c r="BA5" s="130">
        <f ca="1">BA11*Hypothèses!$F$20+(Ventes!BA$8+Ventes!BA$14)*BA$11/SUM(BA$10:BA$12)+(BA11-AZ11)*Hypothèses!$B$74</f>
        <v>0</v>
      </c>
      <c r="BB5" s="130">
        <f ca="1">BB11*Hypothèses!$F$20+(Ventes!BB$8+Ventes!BB$14)*BB$11/SUM(BB$10:BB$12)+(BB11-BA11)*Hypothèses!$B$74</f>
        <v>0</v>
      </c>
      <c r="BC5" s="130">
        <f ca="1">BC11*Hypothèses!$F$20+(Ventes!BC$8+Ventes!BC$14)*BC$11/SUM(BC$10:BC$12)+(BC11-BB11)*Hypothèses!$B$74</f>
        <v>0</v>
      </c>
      <c r="BD5" s="130">
        <f ca="1">BD11*Hypothèses!$F$20+(Ventes!BD$8+Ventes!BD$14)*BD$11/SUM(BD$10:BD$12)+(BD11-BC11)*Hypothèses!$B$74</f>
        <v>0</v>
      </c>
      <c r="BE5" s="131">
        <f ca="1">BE11*Hypothèses!$F$20+(Ventes!BE$8+Ventes!BE$14)*BE$11/SUM(BE$10:BE$12)+(BE11-BD11)*Hypothèses!$B$74</f>
        <v>0</v>
      </c>
      <c r="BF5" s="129">
        <f ca="1">BF11*Hypothèses!$G$20+(Ventes!BF$8+Ventes!BF$14)*BF$11/SUM(BF$10:BF$12)+(BF11-BE11)*Hypothèses!$B$74</f>
        <v>0</v>
      </c>
      <c r="BG5" s="130">
        <f ca="1">BG11*Hypothèses!$G$20+(Ventes!BG$8+Ventes!BG$14)*BG$11/SUM(BG$10:BG$12)+(BG11-BF11)*Hypothèses!$B$74</f>
        <v>0</v>
      </c>
      <c r="BH5" s="130">
        <f ca="1">BH11*Hypothèses!$G$20+(Ventes!BH$8+Ventes!BH$14)*BH$11/SUM(BH$10:BH$12)+(BH11-BG11)*Hypothèses!$B$74</f>
        <v>1810.1860782397248</v>
      </c>
      <c r="BI5" s="130">
        <f ca="1">BI11*Hypothèses!$G$20+(Ventes!BI$8+Ventes!BI$14)*BI$11/SUM(BI$10:BI$12)+(BI11-BH11)*Hypothèses!$B$74</f>
        <v>3600.7183542200855</v>
      </c>
      <c r="BJ5" s="130">
        <f ca="1">BJ11*Hypothèses!$G$20+(Ventes!BJ$8+Ventes!BJ$14)*BJ$11/SUM(BJ$10:BJ$12)+(BJ11-BI11)*Hypothèses!$B$74</f>
        <v>5396.4663804025322</v>
      </c>
      <c r="BK5" s="130">
        <f ca="1">BK11*Hypothèses!$G$20+(Ventes!BK$8+Ventes!BK$14)*BK$11/SUM(BK$10:BK$12)+(BK11-BJ11)*Hypothèses!$B$74</f>
        <v>7185.0908202374303</v>
      </c>
      <c r="BL5" s="130">
        <f ca="1">BL11*Hypothèses!$G$20+(Ventes!BL$8+Ventes!BL$14)*BL$11/SUM(BL$10:BL$12)+(BL11-BK11)*Hypothèses!$B$74</f>
        <v>8927.792847998142</v>
      </c>
      <c r="BM5" s="130">
        <f ca="1">BM11*Hypothèses!$G$20+(Ventes!BM$8+Ventes!BM$14)*BM$11/SUM(BM$10:BM$12)+(BM11-BL11)*Hypothèses!$B$74</f>
        <v>33517.57677459206</v>
      </c>
      <c r="BN5" s="130">
        <f ca="1">BN11*Hypothèses!$G$20+(Ventes!BN$8+Ventes!BN$14)*BN$11/SUM(BN$10:BN$12)+(BN11-BM11)*Hypothèses!$B$74</f>
        <v>57326.318114186215</v>
      </c>
      <c r="BO5" s="130">
        <f ca="1">BO11*Hypothèses!$G$20+(Ventes!BO$8+Ventes!BO$14)*BO$11/SUM(BO$10:BO$12)+(BO11-BN11)*Hypothèses!$B$74</f>
        <v>80634.544020600864</v>
      </c>
      <c r="BP5" s="130">
        <f ca="1">BP11*Hypothèses!$G$20+(Ventes!BP$8+Ventes!BP$14)*BP$11/SUM(BP$10:BP$12)+(BP11-BO11)*Hypothèses!$B$74</f>
        <v>103514.27050567047</v>
      </c>
      <c r="BQ5" s="131">
        <f ca="1">BQ11*Hypothèses!$G$20+(Ventes!BQ$8+Ventes!BQ$14)*BQ$11/SUM(BQ$10:BQ$12)+(BQ11-BP11)*Hypothèses!$B$74</f>
        <v>126016.33015001391</v>
      </c>
      <c r="BR5" s="129">
        <f ca="1">BR11*Hypothèses!$H$20+(Ventes!BR$8+Ventes!BR$14)*BR$11/SUM(BR$10:BR$12)+(BR11-BQ11)*Hypothèses!$B$74</f>
        <v>164370.10370018761</v>
      </c>
      <c r="BS5" s="130">
        <f ca="1">BS11*Hypothèses!$H$20+(Ventes!BS$8+Ventes!BS$14)*BS$11/SUM(BS$10:BS$12)+(BS11-BR11)*Hypothèses!$B$74</f>
        <v>190721.39861996192</v>
      </c>
      <c r="BT5" s="130">
        <f ca="1">BT11*Hypothèses!$H$20+(Ventes!BT$8+Ventes!BT$14)*BT$11/SUM(BT$10:BT$12)+(BT11-BS11)*Hypothèses!$B$74</f>
        <v>216519.67787159106</v>
      </c>
      <c r="BU5" s="130">
        <f ca="1">BU11*Hypothèses!$H$20+(Ventes!BU$8+Ventes!BU$14)*BU$11/SUM(BU$10:BU$12)+(BU11-BT11)*Hypothèses!$B$74</f>
        <v>242315.8484396436</v>
      </c>
      <c r="BV5" s="130">
        <f ca="1">BV11*Hypothèses!$H$20+(Ventes!BV$8+Ventes!BV$14)*BV$11/SUM(BV$10:BV$12)+(BV11-BU11)*Hypothèses!$B$74</f>
        <v>267578.82356521144</v>
      </c>
      <c r="BW5" s="130">
        <f ca="1">BW11*Hypothèses!$H$20+(Ventes!BW$8+Ventes!BW$14)*BW$11/SUM(BW$10:BW$12)+(BW11-BV11)*Hypothèses!$B$74</f>
        <v>292542.95462806191</v>
      </c>
      <c r="BX5" s="130">
        <f ca="1">BX11*Hypothèses!$H$20+(Ventes!BX$8+Ventes!BX$14)*BX$11/SUM(BX$10:BX$12)+(BX11-BW11)*Hypothèses!$B$74</f>
        <v>322076.25391183014</v>
      </c>
      <c r="BY5" s="130">
        <f ca="1">BY11*Hypothèses!$H$20+(Ventes!BY$8+Ventes!BY$14)*BY$11/SUM(BY$10:BY$12)+(BY11-BX11)*Hypothèses!$B$74</f>
        <v>368494.03323485132</v>
      </c>
      <c r="BZ5" s="130">
        <f ca="1">BZ11*Hypothèses!$H$20+(Ventes!BZ$8+Ventes!BZ$14)*BZ$11/SUM(BZ$10:BZ$12)+(BZ11-BY11)*Hypothèses!$B$74</f>
        <v>407520.63688107155</v>
      </c>
      <c r="CA5" s="130">
        <f ca="1">CA11*Hypothèses!$H$20+(Ventes!CA$8+Ventes!CA$14)*CA$11/SUM(CA$10:CA$12)+(CA11-BZ11)*Hypothèses!$B$74</f>
        <v>445892.49379442679</v>
      </c>
      <c r="CB5" s="130">
        <f ca="1">CB11*Hypothèses!$H$20+(Ventes!CB$8+Ventes!CB$14)*CB$11/SUM(CB$10:CB$12)+(CB11-CA11)*Hypothèses!$B$74</f>
        <v>488386.76710582059</v>
      </c>
      <c r="CC5" s="131">
        <f ca="1">CC11*Hypothèses!$H$20+(Ventes!CC$8+Ventes!CC$14)*CC$11/SUM(CC$10:CC$12)+(CC11-CB11)*Hypothèses!$B$74</f>
        <v>529922.93835049681</v>
      </c>
    </row>
    <row r="6" spans="1:81" ht="15.75" customHeight="1">
      <c r="A6" s="40" t="s">
        <v>85</v>
      </c>
      <c r="B6" s="10"/>
      <c r="C6" s="191">
        <f>C12*Hypothèses!$B$20+(C12*Hypothèses!$B$71*0.7*Hypothèses!$B$12/12*Hypothèses!$B$72*Hypothèses!$B$35)+(C12-B12)*Hypothèses!$B$74+Ventes!C14*C$12/SUM(C$10:C$12)</f>
        <v>0</v>
      </c>
      <c r="D6" s="192">
        <f>D12*Hypothèses!$B$20+(D12*Hypothèses!$B$71*0.7*Hypothèses!$B$12/12*Hypothèses!$B$72*Hypothèses!$B$35)+(D12-C12)*Hypothèses!$B$74+Ventes!D14*D12/SUM(D$10:D$12)</f>
        <v>0</v>
      </c>
      <c r="E6" s="192">
        <f>E12*Hypothèses!$B$20+(E12*Hypothèses!$B$71*0.7*Hypothèses!$B$12/12*Hypothèses!$B$72*Hypothèses!$B$35)+(E12-D12)*Hypothèses!$B$74+Ventes!E14*E$12/SUM(E$10:E$12)</f>
        <v>0</v>
      </c>
      <c r="F6" s="192">
        <f>F12*Hypothèses!$B$20+(F12*Hypothèses!$B$71*0.7*Hypothèses!$B$12/12*Hypothèses!$B$72*Hypothèses!$B$35)+(F12-E12)*Hypothèses!$B$74+Ventes!F14*F$12/SUM(F$10:F$12)</f>
        <v>0</v>
      </c>
      <c r="G6" s="192">
        <f>G12*Hypothèses!$B$20+(G12*Hypothèses!$B$71*0.7*Hypothèses!$B$12/12*Hypothèses!$B$72*Hypothèses!$B$35)+(G12-F12)*Hypothèses!$B$74+Ventes!G14*G$12/SUM(G$10:G$12)</f>
        <v>0</v>
      </c>
      <c r="H6" s="192">
        <f>H12*Hypothèses!$B$20+(H12*Hypothèses!$B$71*0.7*Hypothèses!$B$12/12*Hypothèses!$B$72*Hypothèses!$B$35)+(H12-G12)*Hypothèses!$B$74+Ventes!H14*H$12/SUM(H$10:H$12)</f>
        <v>0</v>
      </c>
      <c r="I6" s="193">
        <f>I12*Hypothèses!$B$20+(I12*Hypothèses!$B$71*0.7*Hypothèses!$B$12/12*Hypothèses!$B$72*Hypothèses!$B$35)+(I12-H12)*Hypothèses!$B$74+Ventes!I14*I$12/SUM(I$10:I$12)</f>
        <v>0</v>
      </c>
      <c r="J6" s="129">
        <f ca="1">J12*Hypothèses!$C$20+(Ventes!J$8+Ventes!J$14)*J$12/SUM(J$10:J$12)+(J12-I12)*Hypothèses!$B$74</f>
        <v>0</v>
      </c>
      <c r="K6" s="130">
        <f ca="1">K12*Hypothèses!$C$20+(Ventes!K$8+Ventes!K$14)*K$12/SUM(K$10:K$12)+(K12-J12)*Hypothèses!$B$74</f>
        <v>0</v>
      </c>
      <c r="L6" s="130">
        <f ca="1">L12*Hypothèses!$C$20+(Ventes!L$8+Ventes!L$14)*L$12/SUM(L$10:L$12)+(L12-K12)*Hypothèses!$B$74</f>
        <v>0</v>
      </c>
      <c r="M6" s="130">
        <f ca="1">M12*Hypothèses!$C$20+(Ventes!M$8+Ventes!M$14)*M$12/SUM(M$10:M$12)+(M12-L12)*Hypothèses!$B$74</f>
        <v>0</v>
      </c>
      <c r="N6" s="130">
        <f ca="1">N12*Hypothèses!$C$20+(Ventes!N$8+Ventes!N$14)*N$12/SUM(N$10:N$12)+(N12-M12)*Hypothèses!$B$74</f>
        <v>0</v>
      </c>
      <c r="O6" s="130">
        <f ca="1">O12*Hypothèses!$C$20+(Ventes!O$8+Ventes!O$14)*O$12/SUM(O$10:O$12)+(O12-N12)*Hypothèses!$B$74</f>
        <v>0</v>
      </c>
      <c r="P6" s="130">
        <f ca="1">P12*Hypothèses!$C$20+(Ventes!P$8+Ventes!P$14)*P$12/SUM(P$10:P$12)+(P12-O12)*Hypothèses!$B$74</f>
        <v>0</v>
      </c>
      <c r="Q6" s="130">
        <f ca="1">Q12*Hypothèses!$C$20+(Ventes!Q$8+Ventes!Q$14)*Q$12/SUM(Q$10:Q$12)+(Q12-P12)*Hypothèses!$B$74</f>
        <v>0</v>
      </c>
      <c r="R6" s="130">
        <f ca="1">R12*Hypothèses!$C$20+(Ventes!R$8+Ventes!R$14)*R$12/SUM(R$10:R$12)+(R12-Q12)*Hypothèses!$B$74</f>
        <v>0</v>
      </c>
      <c r="S6" s="130">
        <f ca="1">S12*Hypothèses!$C$20+(Ventes!S$8+Ventes!S$14)*S$12/SUM(S$10:S$12)+(S12-R12)*Hypothèses!$B$74</f>
        <v>0</v>
      </c>
      <c r="T6" s="130">
        <f ca="1">T12*Hypothèses!$C$20+(Ventes!T$8+Ventes!T$14)*T$12/SUM(T$10:T$12)+(T12-S12)*Hypothèses!$B$74</f>
        <v>0</v>
      </c>
      <c r="U6" s="130">
        <f ca="1">U12*Hypothèses!$C$20+(Ventes!U$8+Ventes!U$14)*U$12/SUM(U$10:U$12)+(U12-T12)*Hypothèses!$B$74</f>
        <v>0</v>
      </c>
      <c r="V6" s="130">
        <f ca="1">V12*Hypothèses!$D$20+(Ventes!V$8+Ventes!V$14)*V$12/SUM(V$10:V$12)+(V12-U12)*Hypothèses!$B$74</f>
        <v>0</v>
      </c>
      <c r="W6" s="130">
        <f ca="1">W12*Hypothèses!$D$20+(Ventes!W$8+Ventes!W$14)*W$12/SUM(W$10:W$12)+(W12-V12)*Hypothèses!$B$74</f>
        <v>0</v>
      </c>
      <c r="X6" s="130">
        <f ca="1">X12*Hypothèses!$D$20+(Ventes!X$8+Ventes!X$14)*X$12/SUM(X$10:X$12)+(X12-W12)*Hypothèses!$B$74</f>
        <v>0</v>
      </c>
      <c r="Y6" s="130">
        <f ca="1">Y12*Hypothèses!$D$20+(Ventes!Y$8+Ventes!Y$14)*Y$12/SUM(Y$10:Y$12)+(Y12-X12)*Hypothèses!$B$74</f>
        <v>0</v>
      </c>
      <c r="Z6" s="130">
        <f ca="1">Z12*Hypothèses!$D$20+(Ventes!Z$8+Ventes!Z$14)*Z$12/SUM(Z$10:Z$12)+(Z12-Y12)*Hypothèses!$B$74</f>
        <v>0</v>
      </c>
      <c r="AA6" s="130">
        <f ca="1">AA12*Hypothèses!$D$20+(Ventes!AA$8+Ventes!AA$14)*AA$12/SUM(AA$10:AA$12)+(AA12-Z12)*Hypothèses!$B$74</f>
        <v>0</v>
      </c>
      <c r="AB6" s="130">
        <f ca="1">AB12*Hypothèses!$D$20+(Ventes!AB$8+Ventes!AB$14)*AB$12/SUM(AB$10:AB$12)+(AB12-AA12)*Hypothèses!$B$74</f>
        <v>0</v>
      </c>
      <c r="AC6" s="130">
        <f ca="1">AC12*Hypothèses!$D$20+(Ventes!AC$8+Ventes!AC$14)*AC$12/SUM(AC$10:AC$12)+(AC12-AB12)*Hypothèses!$B$74</f>
        <v>0</v>
      </c>
      <c r="AD6" s="130">
        <f ca="1">AD12*Hypothèses!$D$20+(Ventes!AD$8+Ventes!AD$14)*AD$12/SUM(AD$10:AD$12)+(AD12-AC12)*Hypothèses!$B$74</f>
        <v>0</v>
      </c>
      <c r="AE6" s="130">
        <f ca="1">AE12*Hypothèses!$D$20+(Ventes!AE$8+Ventes!AE$14)*AE$12/SUM(AE$10:AE$12)+(AE12-AD12)*Hypothèses!$B$74</f>
        <v>0</v>
      </c>
      <c r="AF6" s="130">
        <f ca="1">AF12*Hypothèses!$D$20+(Ventes!AF$8+Ventes!AF$14)*AF$12/SUM(AF$10:AF$12)+(AF12-AE12)*Hypothèses!$B$74</f>
        <v>0</v>
      </c>
      <c r="AG6" s="131">
        <f ca="1">AG12*Hypothèses!$D$20+(Ventes!AG$8+Ventes!AG$14)*AG$12/SUM(AG$10:AG$12)+(AG12-AF12)*Hypothèses!$B$74</f>
        <v>0</v>
      </c>
      <c r="AH6" s="130">
        <f ca="1">AH12*Hypothèses!$E$20+(Ventes!AH$8+Ventes!AH$14)*AH$12/SUM(AH$10:AH$12)+(AH12-AG12)*Hypothèses!$B$74</f>
        <v>0</v>
      </c>
      <c r="AI6" s="130">
        <f ca="1">AI12*Hypothèses!$E$20+(Ventes!AI$8+Ventes!AI$14)*AI$12/SUM(AI$10:AI$12)+(AI12-AH12)*Hypothèses!$B$74</f>
        <v>0</v>
      </c>
      <c r="AJ6" s="130">
        <f ca="1">AJ12*Hypothèses!$E$20+(Ventes!AJ$8+Ventes!AJ$14)*AJ$12/SUM(AJ$10:AJ$12)+(AJ12-AI12)*Hypothèses!$B$74</f>
        <v>0</v>
      </c>
      <c r="AK6" s="130">
        <f ca="1">AK12*Hypothèses!$E$20+(Ventes!AK$8+Ventes!AK$14)*AK$12/SUM(AK$10:AK$12)+(AK12-AJ12)*Hypothèses!$B$74</f>
        <v>0</v>
      </c>
      <c r="AL6" s="130">
        <f ca="1">AL12*Hypothèses!$E$20+(Ventes!AL$8+Ventes!AL$14)*AL$12/SUM(AL$10:AL$12)+(AL12-AK12)*Hypothèses!$B$74</f>
        <v>0</v>
      </c>
      <c r="AM6" s="130">
        <f ca="1">AM12*Hypothèses!$E$20+(Ventes!AM$8+Ventes!AM$14)*AM$12/SUM(AM$10:AM$12)+(AM12-AL12)*Hypothèses!$B$74</f>
        <v>0</v>
      </c>
      <c r="AN6" s="130">
        <f ca="1">AN12*Hypothèses!$E$20+(Ventes!AN$8+Ventes!AN$14)*AN$12/SUM(AN$10:AN$12)+(AN12-AM12)*Hypothèses!$B$74</f>
        <v>0</v>
      </c>
      <c r="AO6" s="130">
        <f ca="1">AO12*Hypothèses!$E$20+(Ventes!AO$8+Ventes!AO$14)*AO$12/SUM(AO$10:AO$12)+(AO12-AN12)*Hypothèses!$B$74</f>
        <v>0</v>
      </c>
      <c r="AP6" s="130">
        <f ca="1">AP12*Hypothèses!$E$20+(Ventes!AP$8+Ventes!AP$14)*AP$12/SUM(AP$10:AP$12)+(AP12-AO12)*Hypothèses!$B$74</f>
        <v>0</v>
      </c>
      <c r="AQ6" s="130">
        <f ca="1">AQ12*Hypothèses!$E$20+(Ventes!AQ$8+Ventes!AQ$14)*AQ$12/SUM(AQ$10:AQ$12)+(AQ12-AP12)*Hypothèses!$B$74</f>
        <v>0</v>
      </c>
      <c r="AR6" s="130">
        <f ca="1">AR12*Hypothèses!$E$20+(Ventes!AR$8+Ventes!AR$14)*AR$12/SUM(AR$10:AR$12)+(AR12-AQ12)*Hypothèses!$B$74</f>
        <v>0</v>
      </c>
      <c r="AS6" s="131">
        <f ca="1">AS12*Hypothèses!$E$20+(Ventes!AS$8+Ventes!AS$14)*AS$12/SUM(AS$10:AS$12)+(AS12-AR12)*Hypothèses!$B$74</f>
        <v>0</v>
      </c>
      <c r="AT6" s="130">
        <f ca="1">AT12*Hypothèses!$F$20+(Ventes!AT$8+Ventes!AT$14)*AT$12/SUM(AT$10:AT$12)+(AT12-AS12)*Hypothèses!$B$74</f>
        <v>0</v>
      </c>
      <c r="AU6" s="130">
        <f ca="1">AU12*Hypothèses!$F$20+(Ventes!AU$8+Ventes!AU$14)*AU$12/SUM(AU$10:AU$12)+(AU12-AT12)*Hypothèses!$B$74</f>
        <v>0</v>
      </c>
      <c r="AV6" s="130">
        <f ca="1">AV12*Hypothèses!$F$20+(Ventes!AV$8+Ventes!AV$14)*AV$12/SUM(AV$10:AV$12)+(AV12-AU12)*Hypothèses!$B$74</f>
        <v>0</v>
      </c>
      <c r="AW6" s="130">
        <f ca="1">AW12*Hypothèses!$F$20+(Ventes!AW$8+Ventes!AW$14)*AW$12/SUM(AW$10:AW$12)+(AW12-AV12)*Hypothèses!$B$74</f>
        <v>0</v>
      </c>
      <c r="AX6" s="130">
        <f ca="1">AX12*Hypothèses!$F$20+(Ventes!AX$8+Ventes!AX$14)*AX$12/SUM(AX$10:AX$12)+(AX12-AW12)*Hypothèses!$B$74</f>
        <v>0</v>
      </c>
      <c r="AY6" s="130">
        <f ca="1">AY12*Hypothèses!$F$20+(Ventes!AY$8+Ventes!AY$14)*AY$12/SUM(AY$10:AY$12)+(AY12-AX12)*Hypothèses!$B$74</f>
        <v>0</v>
      </c>
      <c r="AZ6" s="130">
        <f ca="1">AZ12*Hypothèses!$F$20+(Ventes!AZ$8+Ventes!AZ$14)*AZ$12/SUM(AZ$10:AZ$12)+(AZ12-AY12)*Hypothèses!$B$74</f>
        <v>0</v>
      </c>
      <c r="BA6" s="130">
        <f ca="1">BA12*Hypothèses!$F$20+(Ventes!BA$8+Ventes!BA$14)*BA$12/SUM(BA$10:BA$12)+(BA12-AZ12)*Hypothèses!$B$74</f>
        <v>0</v>
      </c>
      <c r="BB6" s="130">
        <f ca="1">BB12*Hypothèses!$F$20+(Ventes!BB$8+Ventes!BB$14)*BB$12/SUM(BB$10:BB$12)+(BB12-BA12)*Hypothèses!$B$74</f>
        <v>0</v>
      </c>
      <c r="BC6" s="130">
        <f ca="1">BC12*Hypothèses!$F$20+(Ventes!BC$8+Ventes!BC$14)*BC$12/SUM(BC$10:BC$12)+(BC12-BB12)*Hypothèses!$B$74</f>
        <v>0</v>
      </c>
      <c r="BD6" s="130">
        <f ca="1">BD12*Hypothèses!$F$20+(Ventes!BD$8+Ventes!BD$14)*BD$12/SUM(BD$10:BD$12)+(BD12-BC12)*Hypothèses!$B$74</f>
        <v>0</v>
      </c>
      <c r="BE6" s="131">
        <f ca="1">BE12*Hypothèses!$F$20+(Ventes!BE$8+Ventes!BE$14)*BE$12/SUM(BE$10:BE$12)+(BE12-BD12)*Hypothèses!$B$74</f>
        <v>0</v>
      </c>
      <c r="BF6" s="129">
        <f ca="1">BF12*Hypothèses!$G$20+(Ventes!BF$8+Ventes!BF$14)*BF$12/SUM(BF$10:BF$12)+(BF12-BE12)*Hypothèses!$B$74</f>
        <v>0</v>
      </c>
      <c r="BG6" s="130">
        <f ca="1">BG12*Hypothèses!$G$20+(Ventes!BG$8+Ventes!BG$14)*BG$12/SUM(BG$10:BG$12)+(BG12-BF12)*Hypothèses!$B$74</f>
        <v>0</v>
      </c>
      <c r="BH6" s="130">
        <f ca="1">BH12*Hypothèses!$G$20+(Ventes!BH$8+Ventes!BH$14)*BH$12/SUM(BH$10:BH$12)+(BH12-BG12)*Hypothèses!$B$74</f>
        <v>0</v>
      </c>
      <c r="BI6" s="130">
        <f ca="1">BI12*Hypothèses!$G$20+(Ventes!BI$8+Ventes!BI$14)*BI$12/SUM(BI$10:BI$12)+(BI12-BH12)*Hypothèses!$B$74</f>
        <v>0</v>
      </c>
      <c r="BJ6" s="130">
        <f ca="1">BJ12*Hypothèses!$G$20+(Ventes!BJ$8+Ventes!BJ$14)*BJ$12/SUM(BJ$10:BJ$12)+(BJ12-BI12)*Hypothèses!$B$74</f>
        <v>0</v>
      </c>
      <c r="BK6" s="130">
        <f ca="1">BK12*Hypothèses!$G$20+(Ventes!BK$8+Ventes!BK$14)*BK$12/SUM(BK$10:BK$12)+(BK12-BJ12)*Hypothèses!$B$74</f>
        <v>0</v>
      </c>
      <c r="BL6" s="130">
        <f ca="1">BL12*Hypothèses!$G$20+(Ventes!BL$8+Ventes!BL$14)*BL$12/SUM(BL$10:BL$12)+(BL12-BK12)*Hypothèses!$B$74</f>
        <v>0</v>
      </c>
      <c r="BM6" s="130">
        <f ca="1">BM12*Hypothèses!$G$20+(Ventes!BM$8+Ventes!BM$14)*BM$12/SUM(BM$10:BM$12)+(BM12-BL12)*Hypothèses!$B$74</f>
        <v>0</v>
      </c>
      <c r="BN6" s="130">
        <f ca="1">BN12*Hypothèses!$G$20+(Ventes!BN$8+Ventes!BN$14)*BN$12/SUM(BN$10:BN$12)+(BN12-BM12)*Hypothèses!$B$74</f>
        <v>0</v>
      </c>
      <c r="BO6" s="130">
        <f ca="1">BO12*Hypothèses!$G$20+(Ventes!BO$8+Ventes!BO$14)*BO$12/SUM(BO$10:BO$12)+(BO12-BN12)*Hypothèses!$B$74</f>
        <v>0</v>
      </c>
      <c r="BP6" s="130">
        <f ca="1">BP12*Hypothèses!$G$20+(Ventes!BP$8+Ventes!BP$14)*BP$12/SUM(BP$10:BP$12)+(BP12-BO12)*Hypothèses!$B$74</f>
        <v>0</v>
      </c>
      <c r="BQ6" s="131">
        <f ca="1">BQ12*Hypothèses!$G$20+(Ventes!BQ$8+Ventes!BQ$14)*BQ$12/SUM(BQ$10:BQ$12)+(BQ12-BP12)*Hypothèses!$B$74</f>
        <v>0</v>
      </c>
      <c r="BR6" s="129">
        <f ca="1">BR12*Hypothèses!$H$20+(Ventes!BR$8+Ventes!BR$14)*BR$12/SUM(BR$10:BR$12)+(BR12-BQ12)*Hypothèses!$B$74</f>
        <v>0</v>
      </c>
      <c r="BS6" s="130">
        <f ca="1">BS12*Hypothèses!$H$20+(Ventes!BS$8+Ventes!BS$14)*BS$12/SUM(BS$10:BS$12)+(BS12-BR12)*Hypothèses!$B$74</f>
        <v>0</v>
      </c>
      <c r="BT6" s="130">
        <f ca="1">BT12*Hypothèses!$H$20+(Ventes!BT$8+Ventes!BT$14)*BT$12/SUM(BT$10:BT$12)+(BT12-BS12)*Hypothèses!$B$74</f>
        <v>0</v>
      </c>
      <c r="BU6" s="130">
        <f ca="1">BU12*Hypothèses!$H$20+(Ventes!BU$8+Ventes!BU$14)*BU$12/SUM(BU$10:BU$12)+(BU12-BT12)*Hypothèses!$B$74</f>
        <v>1221.306645001177</v>
      </c>
      <c r="BV6" s="130">
        <f ca="1">BV12*Hypothèses!$H$20+(Ventes!BV$8+Ventes!BV$14)*BV$12/SUM(BV$10:BV$12)+(BV12-BU12)*Hypothèses!$B$74</f>
        <v>2426.6882672614934</v>
      </c>
      <c r="BW6" s="130">
        <f ca="1">BW12*Hypothèses!$H$20+(Ventes!BW$8+Ventes!BW$14)*BW$12/SUM(BW$10:BW$12)+(BW12-BV12)*Hypothèses!$B$74</f>
        <v>3617.2429213168307</v>
      </c>
      <c r="BX6" s="130">
        <f ca="1">BX12*Hypothèses!$H$20+(Ventes!BX$8+Ventes!BX$14)*BX$12/SUM(BX$10:BX$12)+(BX12-BW12)*Hypothèses!$B$74</f>
        <v>6025.4793595408119</v>
      </c>
      <c r="BY6" s="130">
        <f ca="1">BY12*Hypothèses!$H$20+(Ventes!BY$8+Ventes!BY$14)*BY$12/SUM(BY$10:BY$12)+(BY12-BX12)*Hypothèses!$B$74</f>
        <v>37349.47062904117</v>
      </c>
      <c r="BZ6" s="130">
        <f ca="1">BZ12*Hypothèses!$H$20+(Ventes!BZ$8+Ventes!BZ$14)*BZ$12/SUM(BZ$10:BZ$12)+(BZ12-BY12)*Hypothèses!$B$74</f>
        <v>68131.328491772496</v>
      </c>
      <c r="CA6" s="130">
        <f ca="1">CA12*Hypothèses!$H$20+(Ventes!CA$8+Ventes!CA$14)*CA$12/SUM(CA$10:CA$12)+(CA12-BZ12)*Hypothèses!$B$74</f>
        <v>98487.08447341586</v>
      </c>
      <c r="CB6" s="130">
        <f ca="1">CB12*Hypothèses!$H$20+(Ventes!CB$8+Ventes!CB$14)*CB$12/SUM(CB$10:CB$12)+(CB12-CA12)*Hypothèses!$B$74</f>
        <v>128621.86990334609</v>
      </c>
      <c r="CC6" s="131">
        <f ca="1">CC12*Hypothèses!$H$20+(Ventes!CC$8+Ventes!CC$14)*CC$12/SUM(CC$10:CC$12)+(CC12-CB12)*Hypothèses!$B$74</f>
        <v>158303.43192798697</v>
      </c>
    </row>
    <row r="7" spans="1:81" ht="15.75" customHeight="1">
      <c r="A7" s="40" t="s">
        <v>86</v>
      </c>
      <c r="B7" s="10"/>
      <c r="C7" s="191">
        <f>C13*Hypothèses!$B$20+(C13*Hypothèses!$B$71*0.7*Hypothèses!$B$12/12*Hypothèses!$B$72*Hypothèses!$B$35)+(C13-B13)*Hypothèses!$B$74+Ventes!C15*C13/SUM(C$10:C$12)</f>
        <v>0</v>
      </c>
      <c r="D7" s="192">
        <f>D13*Hypothèses!$B$20+(D13*Hypothèses!$B$71*0.7*Hypothèses!$B$12/12*Hypothèses!$B$72*Hypothèses!$B$35)+(D13-C13)*Hypothèses!$B$74+Ventes!D15*D13/SUM(D$10:D$12)</f>
        <v>0</v>
      </c>
      <c r="E7" s="192">
        <f>E13*Hypothèses!$B$20+(E13*Hypothèses!$B$71*0.7*Hypothèses!$B$12/12*Hypothèses!$B$72*Hypothèses!$B$35)+(E13-D13)*Hypothèses!$B$74+Ventes!E15*E13/SUM(E$10:E$12)</f>
        <v>0</v>
      </c>
      <c r="F7" s="192">
        <f>F13*Hypothèses!$B$20+(F13*Hypothèses!$B$71*0.7*Hypothèses!$B$12/12*Hypothèses!$B$72*Hypothèses!$B$35)+(F13-E13)*Hypothèses!$B$74+Ventes!F15*F13/SUM(F$10:F$12)</f>
        <v>0</v>
      </c>
      <c r="G7" s="192">
        <f>G13*Hypothèses!$B$20+(G13*Hypothèses!$B$71*0.7*Hypothèses!$B$12/12*Hypothèses!$B$72*Hypothèses!$B$35)+(G13-F13)*Hypothèses!$B$74+Ventes!G15*G13/SUM(G$10:G$12)</f>
        <v>0</v>
      </c>
      <c r="H7" s="192">
        <f>H13*Hypothèses!$B$20+(H13*Hypothèses!$B$71*0.7*Hypothèses!$B$12/12*Hypothèses!$B$72*Hypothèses!$B$35)+(H13-G13)*Hypothèses!$B$74+Ventes!H15*H13/SUM(H$10:H$12)</f>
        <v>0</v>
      </c>
      <c r="I7" s="193">
        <f>I13*Hypothèses!$B$20+(I13*Hypothèses!$B$71*0.7*Hypothèses!$B$12/12*Hypothèses!$B$72*Hypothèses!$B$35)+(I13-H13)*Hypothèses!$B$74+Ventes!I15*I13/SUM(I$10:I$12)</f>
        <v>0</v>
      </c>
      <c r="J7" s="129">
        <f ca="1">J13*Hypothèses!$C$20+(Ventes!J$8+Ventes!J$14)*J$13/SUM(J$10:J$12)+(J13-I13)*Hypothèses!$B$74</f>
        <v>0</v>
      </c>
      <c r="K7" s="130">
        <f ca="1">K13*Hypothèses!$C$20+(Ventes!K$8+Ventes!K$14)*K$13/SUM(K$10:K$12)+(K13-J13)*Hypothèses!$B$74</f>
        <v>0</v>
      </c>
      <c r="L7" s="130">
        <f ca="1">L13*Hypothèses!$C$20+(Ventes!L$8+Ventes!L$14)*L$13/SUM(L$10:L$12)+(L13-K13)*Hypothèses!$B$74</f>
        <v>0</v>
      </c>
      <c r="M7" s="130">
        <f ca="1">M13*Hypothèses!$C$20+(Ventes!M$8+Ventes!M$14)*M$13/SUM(M$10:M$12)+(M13-L13)*Hypothèses!$B$74</f>
        <v>0</v>
      </c>
      <c r="N7" s="130">
        <f ca="1">N13*Hypothèses!$C$20+(Ventes!N$8+Ventes!N$14)*N$13/SUM(N$10:N$12)+(N13-M13)*Hypothèses!$B$74</f>
        <v>0</v>
      </c>
      <c r="O7" s="130">
        <f ca="1">O13*Hypothèses!$C$20+(Ventes!O$8+Ventes!O$14)*O$13/SUM(O$10:O$12)+(O13-N13)*Hypothèses!$B$74</f>
        <v>0</v>
      </c>
      <c r="P7" s="130">
        <f ca="1">P13*Hypothèses!$C$20+(Ventes!P$8+Ventes!P$14)*P$13/SUM(P$10:P$12)+(P13-O13)*Hypothèses!$B$74</f>
        <v>0</v>
      </c>
      <c r="Q7" s="130">
        <f ca="1">Q13*Hypothèses!$C$20+(Ventes!Q$8+Ventes!Q$14)*Q$13/SUM(Q$10:Q$12)+(Q13-P13)*Hypothèses!$B$74</f>
        <v>0</v>
      </c>
      <c r="R7" s="130">
        <f ca="1">R13*Hypothèses!$C$20+(Ventes!R$8+Ventes!R$14)*R$13/SUM(R$10:R$12)+(R13-Q13)*Hypothèses!$B$74</f>
        <v>0</v>
      </c>
      <c r="S7" s="130">
        <f ca="1">S13*Hypothèses!$C$20+(Ventes!S$8+Ventes!S$14)*S$13/SUM(S$10:S$12)+(S13-R13)*Hypothèses!$B$74</f>
        <v>0</v>
      </c>
      <c r="T7" s="130">
        <f ca="1">T13*Hypothèses!$C$20+(Ventes!T$8+Ventes!T$14)*T$13/SUM(T$10:T$12)+(T13-S13)*Hypothèses!$B$74</f>
        <v>0</v>
      </c>
      <c r="U7" s="130">
        <f ca="1">U13*Hypothèses!$C$20+(Ventes!U$8+Ventes!U$14)*U$13/SUM(U$10:U$12)+(U13-T13)*Hypothèses!$B$74</f>
        <v>0</v>
      </c>
      <c r="V7" s="130">
        <f ca="1">V13*Hypothèses!$D$20+(Ventes!V$8+Ventes!V$14)*V$13/SUM(V$10:V$12)+(V13-U13)*Hypothèses!$B$74</f>
        <v>0</v>
      </c>
      <c r="W7" s="130">
        <f ca="1">W13*Hypothèses!$D$20+(Ventes!W$8+Ventes!W$14)*W$13/SUM(W$10:W$12)+(W13-V13)*Hypothèses!$B$74</f>
        <v>0</v>
      </c>
      <c r="X7" s="130">
        <f ca="1">X13*Hypothèses!$D$20+(Ventes!X$8+Ventes!X$14)*X$13/SUM(X$10:X$12)+(X13-W13)*Hypothèses!$B$74</f>
        <v>0</v>
      </c>
      <c r="Y7" s="130">
        <f ca="1">Y13*Hypothèses!$D$20+(Ventes!Y$8+Ventes!Y$14)*Y$13/SUM(Y$10:Y$12)+(Y13-X13)*Hypothèses!$B$74</f>
        <v>0</v>
      </c>
      <c r="Z7" s="130">
        <f ca="1">Z13*Hypothèses!$D$20+(Ventes!Z$8+Ventes!Z$14)*Z$13/SUM(Z$10:Z$12)+(Z13-Y13)*Hypothèses!$B$74</f>
        <v>0</v>
      </c>
      <c r="AA7" s="130">
        <f ca="1">AA13*Hypothèses!$D$20+(Ventes!AA$8+Ventes!AA$14)*AA$13/SUM(AA$10:AA$12)+(AA13-Z13)*Hypothèses!$B$74</f>
        <v>0</v>
      </c>
      <c r="AB7" s="130">
        <f ca="1">AB13*Hypothèses!$D$20+(Ventes!AB$8+Ventes!AB$14)*AB$13/SUM(AB$10:AB$12)+(AB13-AA13)*Hypothèses!$B$74</f>
        <v>0</v>
      </c>
      <c r="AC7" s="130">
        <f ca="1">AC13*Hypothèses!$D$20+(Ventes!AC$8+Ventes!AC$14)*AC$13/SUM(AC$10:AC$12)+(AC13-AB13)*Hypothèses!$B$74</f>
        <v>0</v>
      </c>
      <c r="AD7" s="130">
        <f ca="1">AD13*Hypothèses!$D$20+(Ventes!AD$8+Ventes!AD$14)*AD$13/SUM(AD$10:AD$12)+(AD13-AC13)*Hypothèses!$B$74</f>
        <v>0</v>
      </c>
      <c r="AE7" s="130">
        <f ca="1">AE13*Hypothèses!$D$20+(Ventes!AE$8+Ventes!AE$14)*AE$13/SUM(AE$10:AE$12)+(AE13-AD13)*Hypothèses!$B$74</f>
        <v>0</v>
      </c>
      <c r="AF7" s="130">
        <f ca="1">AF13*Hypothèses!$D$20+(Ventes!AF$8+Ventes!AF$14)*AF$13/SUM(AF$10:AF$12)+(AF13-AE13)*Hypothèses!$B$74</f>
        <v>0</v>
      </c>
      <c r="AG7" s="131">
        <f ca="1">AG13*Hypothèses!$D$20+(Ventes!AG$8+Ventes!AG$14)*AG$13/SUM(AG$10:AG$12)+(AG13-AF13)*Hypothèses!$B$74</f>
        <v>0</v>
      </c>
      <c r="AH7" s="130">
        <f ca="1">AH13*Hypothèses!$E$20+(Ventes!AH$8+Ventes!AH$14)*AH$13/SUM(AH$10:AH$12)+(AH13-AG13)*Hypothèses!$B$74</f>
        <v>0</v>
      </c>
      <c r="AI7" s="130">
        <f ca="1">AI13*Hypothèses!$E$20+(Ventes!AI$8+Ventes!AI$14)*AI$13/SUM(AI$10:AI$12)+(AI13-AH13)*Hypothèses!$B$74</f>
        <v>0</v>
      </c>
      <c r="AJ7" s="130">
        <f ca="1">AJ13*Hypothèses!$E$20+(Ventes!AJ$8+Ventes!AJ$14)*AJ$13/SUM(AJ$10:AJ$12)+(AJ13-AI13)*Hypothèses!$B$74</f>
        <v>0</v>
      </c>
      <c r="AK7" s="130">
        <f ca="1">AK13*Hypothèses!$E$20+(Ventes!AK$8+Ventes!AK$14)*AK$13/SUM(AK$10:AK$12)+(AK13-AJ13)*Hypothèses!$B$74</f>
        <v>0</v>
      </c>
      <c r="AL7" s="130">
        <f ca="1">AL13*Hypothèses!$E$20+(Ventes!AL$8+Ventes!AL$14)*AL$13/SUM(AL$10:AL$12)+(AL13-AK13)*Hypothèses!$B$74</f>
        <v>0</v>
      </c>
      <c r="AM7" s="130">
        <f ca="1">AM13*Hypothèses!$E$20+(Ventes!AM$8+Ventes!AM$14)*AM$13/SUM(AM$10:AM$12)+(AM13-AL13)*Hypothèses!$B$74</f>
        <v>0</v>
      </c>
      <c r="AN7" s="130">
        <f ca="1">AN13*Hypothèses!$E$20+(Ventes!AN$8+Ventes!AN$14)*AN$13/SUM(AN$10:AN$12)+(AN13-AM13)*Hypothèses!$B$74</f>
        <v>0</v>
      </c>
      <c r="AO7" s="130">
        <f ca="1">AO13*Hypothèses!$E$20+(Ventes!AO$8+Ventes!AO$14)*AO$13/SUM(AO$10:AO$12)+(AO13-AN13)*Hypothèses!$B$74</f>
        <v>0</v>
      </c>
      <c r="AP7" s="130">
        <f ca="1">AP13*Hypothèses!$E$20+(Ventes!AP$8+Ventes!AP$14)*AP$13/SUM(AP$10:AP$12)+(AP13-AO13)*Hypothèses!$B$74</f>
        <v>0</v>
      </c>
      <c r="AQ7" s="130">
        <f ca="1">AQ13*Hypothèses!$E$20+(Ventes!AQ$8+Ventes!AQ$14)*AQ$13/SUM(AQ$10:AQ$12)+(AQ13-AP13)*Hypothèses!$B$74</f>
        <v>0</v>
      </c>
      <c r="AR7" s="130">
        <f ca="1">AR13*Hypothèses!$E$20+(Ventes!AR$8+Ventes!AR$14)*AR$13/SUM(AR$10:AR$12)+(AR13-AQ13)*Hypothèses!$B$74</f>
        <v>0</v>
      </c>
      <c r="AS7" s="131">
        <f ca="1">AS13*Hypothèses!$E$20+(Ventes!AS$8+Ventes!AS$14)*AS$13/SUM(AS$10:AS$12)+(AS13-AR13)*Hypothèses!$B$74</f>
        <v>0</v>
      </c>
      <c r="AT7" s="130">
        <f ca="1">AT13*Hypothèses!$F$20+(Ventes!AT$8+Ventes!AT$14)*AT$13/SUM(AT$10:AT$12)+(AT13-AS13)*Hypothèses!$B$74</f>
        <v>0</v>
      </c>
      <c r="AU7" s="130">
        <f ca="1">AU13*Hypothèses!$F$20+(Ventes!AU$8+Ventes!AU$14)*AU$13/SUM(AU$10:AU$12)+(AU13-AT13)*Hypothèses!$B$74</f>
        <v>0</v>
      </c>
      <c r="AV7" s="130">
        <f ca="1">AV13*Hypothèses!$F$20+(Ventes!AV$8+Ventes!AV$14)*AV$13/SUM(AV$10:AV$12)+(AV13-AU13)*Hypothèses!$B$74</f>
        <v>0</v>
      </c>
      <c r="AW7" s="130">
        <f ca="1">AW13*Hypothèses!$F$20+(Ventes!AW$8+Ventes!AW$14)*AW$13/SUM(AW$10:AW$12)+(AW13-AV13)*Hypothèses!$B$74</f>
        <v>0</v>
      </c>
      <c r="AX7" s="130">
        <f ca="1">AX13*Hypothèses!$F$20+(Ventes!AX$8+Ventes!AX$14)*AX$13/SUM(AX$10:AX$12)+(AX13-AW13)*Hypothèses!$B$74</f>
        <v>0</v>
      </c>
      <c r="AY7" s="130">
        <f ca="1">AY13*Hypothèses!$F$20+(Ventes!AY$8+Ventes!AY$14)*AY$13/SUM(AY$10:AY$12)+(AY13-AX13)*Hypothèses!$B$74</f>
        <v>0</v>
      </c>
      <c r="AZ7" s="130">
        <f ca="1">AZ13*Hypothèses!$F$20+(Ventes!AZ$8+Ventes!AZ$14)*AZ$13/SUM(AZ$10:AZ$12)+(AZ13-AY13)*Hypothèses!$B$74</f>
        <v>0</v>
      </c>
      <c r="BA7" s="130">
        <f ca="1">BA13*Hypothèses!$F$20+(Ventes!BA$8+Ventes!BA$14)*BA$13/SUM(BA$10:BA$12)+(BA13-AZ13)*Hypothèses!$B$74</f>
        <v>0</v>
      </c>
      <c r="BB7" s="130">
        <f ca="1">BB13*Hypothèses!$F$20+(Ventes!BB$8+Ventes!BB$14)*BB$13/SUM(BB$10:BB$12)+(BB13-BA13)*Hypothèses!$B$74</f>
        <v>0</v>
      </c>
      <c r="BC7" s="130">
        <f ca="1">BC13*Hypothèses!$F$20+(Ventes!BC$8+Ventes!BC$14)*BC$13/SUM(BC$10:BC$12)+(BC13-BB13)*Hypothèses!$B$74</f>
        <v>0</v>
      </c>
      <c r="BD7" s="130">
        <f ca="1">BD13*Hypothèses!$F$20+(Ventes!BD$8+Ventes!BD$14)*BD$13/SUM(BD$10:BD$12)+(BD13-BC13)*Hypothèses!$B$74</f>
        <v>0</v>
      </c>
      <c r="BE7" s="131">
        <f ca="1">BE13*Hypothèses!$F$20+(Ventes!BE$8+Ventes!BE$14)*BE$13/SUM(BE$10:BE$12)+(BE13-BD13)*Hypothèses!$B$74</f>
        <v>0</v>
      </c>
      <c r="BF7" s="129">
        <f ca="1">BF13*Hypothèses!$G$20+(Ventes!BF$8+Ventes!BF$14)*BF$13/SUM(BF$10:BF$12)+(BF13-BE13)*Hypothèses!$B$74</f>
        <v>0</v>
      </c>
      <c r="BG7" s="130">
        <f ca="1">BG13*Hypothèses!$G$20+(Ventes!BG$8+Ventes!BG$14)*BG$13/SUM(BG$10:BG$12)+(BG13-BF13)*Hypothèses!$B$74</f>
        <v>0</v>
      </c>
      <c r="BH7" s="130">
        <f ca="1">BH13*Hypothèses!$G$20+(Ventes!BH$8+Ventes!BH$14)*BH$13/SUM(BH$10:BH$12)+(BH13-BG13)*Hypothèses!$B$74</f>
        <v>0</v>
      </c>
      <c r="BI7" s="130">
        <f ca="1">BI13*Hypothèses!$G$20+(Ventes!BI$8+Ventes!BI$14)*BI$13/SUM(BI$10:BI$12)+(BI13-BH13)*Hypothèses!$B$74</f>
        <v>0</v>
      </c>
      <c r="BJ7" s="130">
        <f ca="1">BJ13*Hypothèses!$G$20+(Ventes!BJ$8+Ventes!BJ$14)*BJ$13/SUM(BJ$10:BJ$12)+(BJ13-BI13)*Hypothèses!$B$74</f>
        <v>0</v>
      </c>
      <c r="BK7" s="130">
        <f ca="1">BK13*Hypothèses!$G$20+(Ventes!BK$8+Ventes!BK$14)*BK$13/SUM(BK$10:BK$12)+(BK13-BJ13)*Hypothèses!$B$74</f>
        <v>0</v>
      </c>
      <c r="BL7" s="130">
        <f ca="1">BL13*Hypothèses!$G$20+(Ventes!BL$8+Ventes!BL$14)*BL$13/SUM(BL$10:BL$12)+(BL13-BK13)*Hypothèses!$B$74</f>
        <v>0</v>
      </c>
      <c r="BM7" s="130">
        <f ca="1">BM13*Hypothèses!$G$20+(Ventes!BM$8+Ventes!BM$14)*BM$13/SUM(BM$10:BM$12)+(BM13-BL13)*Hypothèses!$B$74</f>
        <v>0</v>
      </c>
      <c r="BN7" s="130">
        <f ca="1">BN13*Hypothèses!$G$20+(Ventes!BN$8+Ventes!BN$14)*BN$13/SUM(BN$10:BN$12)+(BN13-BM13)*Hypothèses!$B$74</f>
        <v>0</v>
      </c>
      <c r="BO7" s="130">
        <f ca="1">BO13*Hypothèses!$G$20+(Ventes!BO$8+Ventes!BO$14)*BO$13/SUM(BO$10:BO$12)+(BO13-BN13)*Hypothèses!$B$74</f>
        <v>0</v>
      </c>
      <c r="BP7" s="130">
        <f ca="1">BP13*Hypothèses!$G$20+(Ventes!BP$8+Ventes!BP$14)*BP$13/SUM(BP$10:BP$12)+(BP13-BO13)*Hypothèses!$B$74</f>
        <v>0</v>
      </c>
      <c r="BQ7" s="131">
        <f ca="1">BQ13*Hypothèses!$G$20+(Ventes!BQ$8+Ventes!BQ$14)*BQ$13/SUM(BQ$10:BQ$12)+(BQ13-BP13)*Hypothèses!$B$74</f>
        <v>0</v>
      </c>
      <c r="BR7" s="129">
        <f ca="1">BR13*Hypothèses!$H$20+(Ventes!BR$8+Ventes!BR$14)*BR$13/SUM(BR$10:BR$12)+(BR13-BQ13)*Hypothèses!$B$74</f>
        <v>0</v>
      </c>
      <c r="BS7" s="130">
        <f ca="1">BS13*Hypothèses!$H$20+(Ventes!BS$8+Ventes!BS$14)*BS$13/SUM(BS$10:BS$12)+(BS13-BR13)*Hypothèses!$B$74</f>
        <v>0</v>
      </c>
      <c r="BT7" s="130">
        <f ca="1">BT13*Hypothèses!$H$20+(Ventes!BT$8+Ventes!BT$14)*BT$13/SUM(BT$10:BT$12)+(BT13-BS13)*Hypothèses!$B$74</f>
        <v>0</v>
      </c>
      <c r="BU7" s="130">
        <f ca="1">BU13*Hypothèses!$H$20+(Ventes!BU$8+Ventes!BU$14)*BU$13/SUM(BU$10:BU$12)+(BU13-BT13)*Hypothèses!$B$74</f>
        <v>0</v>
      </c>
      <c r="BV7" s="130">
        <f ca="1">BV13*Hypothèses!$H$20+(Ventes!BV$8+Ventes!BV$14)*BV$13/SUM(BV$10:BV$12)+(BV13-BU13)*Hypothèses!$B$74</f>
        <v>0</v>
      </c>
      <c r="BW7" s="130">
        <f ca="1">BW13*Hypothèses!$H$20+(Ventes!BW$8+Ventes!BW$14)*BW$13/SUM(BW$10:BW$12)+(BW13-BV13)*Hypothèses!$B$74</f>
        <v>0</v>
      </c>
      <c r="BX7" s="130">
        <f ca="1">BX13*Hypothèses!$H$20+(Ventes!BX$8+Ventes!BX$14)*BX$13/SUM(BX$10:BX$12)+(BX13-BW13)*Hypothèses!$B$74</f>
        <v>0</v>
      </c>
      <c r="BY7" s="130">
        <f ca="1">BY13*Hypothèses!$H$20+(Ventes!BY$8+Ventes!BY$14)*BY$13/SUM(BY$10:BY$12)+(BY13-BX13)*Hypothèses!$B$74</f>
        <v>0</v>
      </c>
      <c r="BZ7" s="130">
        <f ca="1">BZ13*Hypothèses!$H$20+(Ventes!BZ$8+Ventes!BZ$14)*BZ$13/SUM(BZ$10:BZ$12)+(BZ13-BY13)*Hypothèses!$B$74</f>
        <v>0</v>
      </c>
      <c r="CA7" s="130">
        <f ca="1">CA13*Hypothèses!$H$20+(Ventes!CA$8+Ventes!CA$14)*CA$13/SUM(CA$10:CA$12)+(CA13-BZ13)*Hypothèses!$B$74</f>
        <v>0</v>
      </c>
      <c r="CB7" s="130">
        <f ca="1">CB13*Hypothèses!$H$20+(Ventes!CB$8+Ventes!CB$14)*CB$13/SUM(CB$10:CB$12)+(CB13-CA13)*Hypothèses!$B$74</f>
        <v>0</v>
      </c>
      <c r="CC7" s="131">
        <f ca="1">CC13*Hypothèses!$H$20+(Ventes!CC$8+Ventes!CC$14)*CC$13/SUM(CC$10:CC$12)+(CC13-CB13)*Hypothèses!$B$74</f>
        <v>0</v>
      </c>
    </row>
    <row r="8" spans="1:81" ht="15.75" customHeight="1">
      <c r="A8" s="40" t="s">
        <v>87</v>
      </c>
      <c r="B8" s="10"/>
      <c r="C8" s="663">
        <f>C14*Hypothèses!$B$20+(C14*Hypothèses!$B$71*0.7*Hypothèses!$B$12/12*Hypothèses!$B$72*Hypothèses!$B$35)+(C14-B14)*Hypothèses!$B$74+Ventes!C16*C14/SUM(C$10:C$12)</f>
        <v>0</v>
      </c>
      <c r="D8" s="664">
        <f>D14*Hypothèses!$B$20+(D14*Hypothèses!$B$71*0.7*Hypothèses!$B$12/12*Hypothèses!$B$72*Hypothèses!$B$35)+(D14-C14)*Hypothèses!$B$74+Ventes!D16*D14/SUM(D$10:D$12)</f>
        <v>0</v>
      </c>
      <c r="E8" s="664">
        <f>E14*Hypothèses!$B$20+(E14*Hypothèses!$B$71*0.7*Hypothèses!$B$12/12*Hypothèses!$B$72*Hypothèses!$B$35)+(E14-D14)*Hypothèses!$B$74+Ventes!E16*E14/SUM(E$10:E$12)</f>
        <v>0</v>
      </c>
      <c r="F8" s="664">
        <f>F14*Hypothèses!$B$20+(F14*Hypothèses!$B$71*0.7*Hypothèses!$B$12/12*Hypothèses!$B$72*Hypothèses!$B$35)+(F14-E14)*Hypothèses!$B$74+Ventes!F16*F14/SUM(F$10:F$12)</f>
        <v>0</v>
      </c>
      <c r="G8" s="664">
        <f>G14*Hypothèses!$B$20+(G14*Hypothèses!$B$71*0.7*Hypothèses!$B$12/12*Hypothèses!$B$72*Hypothèses!$B$35)+(G14-F14)*Hypothèses!$B$74+Ventes!G16*G14/SUM(G$10:G$12)</f>
        <v>0</v>
      </c>
      <c r="H8" s="664">
        <f>H14*Hypothèses!$B$20+(H14*Hypothèses!$B$71*0.7*Hypothèses!$B$12/12*Hypothèses!$B$72*Hypothèses!$B$35)+(H14-G14)*Hypothèses!$B$74+Ventes!H16*H14/SUM(H$10:H$12)</f>
        <v>0</v>
      </c>
      <c r="I8" s="664">
        <f>I14*Hypothèses!$B$20+(I14*Hypothèses!$B$71*0.7*Hypothèses!$B$12/12*Hypothèses!$B$72*Hypothèses!$B$35)+(I14-H14)*Hypothèses!$B$74+Ventes!I16*I14/SUM(I$10:I$12)</f>
        <v>0</v>
      </c>
      <c r="J8" s="336">
        <f ca="1">J14*Hypothèses!$C$20+(Ventes!J$8+Ventes!J$14)*J$13/SUM(J$10:J$12)+(J14-I14)*Hypothèses!$B$74</f>
        <v>0</v>
      </c>
      <c r="K8" s="337">
        <f ca="1">K14*Hypothèses!$C$20+(Ventes!K$8+Ventes!K$14)*K$13/SUM(K$10:K$12)+(K14-J14)*Hypothèses!$B$74</f>
        <v>0</v>
      </c>
      <c r="L8" s="337">
        <f ca="1">L14*Hypothèses!$C$20+(Ventes!L$8+Ventes!L$14)*L$13/SUM(L$10:L$12)+(L14-K14)*Hypothèses!$B$74</f>
        <v>0</v>
      </c>
      <c r="M8" s="337">
        <f ca="1">M14*Hypothèses!$C$20+(Ventes!M$8+Ventes!M$14)*M$13/SUM(M$10:M$12)+(M14-L14)*Hypothèses!$B$74</f>
        <v>0</v>
      </c>
      <c r="N8" s="337">
        <f ca="1">N14*Hypothèses!$C$20+(Ventes!N$8+Ventes!N$14)*N$13/SUM(N$10:N$12)+(N14-M14)*Hypothèses!$B$74</f>
        <v>0</v>
      </c>
      <c r="O8" s="337">
        <f ca="1">O14*Hypothèses!$C$20+(Ventes!O$8+Ventes!O$14)*O$13/SUM(O$10:O$12)+(O14-N14)*Hypothèses!$B$74</f>
        <v>0</v>
      </c>
      <c r="P8" s="337">
        <f ca="1">P14*Hypothèses!$C$20+(Ventes!P$8+Ventes!P$14)*P$13/SUM(P$10:P$12)+(P14-O14)*Hypothèses!$B$74</f>
        <v>0</v>
      </c>
      <c r="Q8" s="337">
        <f ca="1">Q14*Hypothèses!$C$20+(Ventes!Q$8+Ventes!Q$14)*Q$13/SUM(Q$10:Q$12)+(Q14-P14)*Hypothèses!$B$74</f>
        <v>0</v>
      </c>
      <c r="R8" s="337">
        <f ca="1">R14*Hypothèses!$C$20+(Ventes!R$8+Ventes!R$14)*R$13/SUM(R$10:R$12)+(R14-Q14)*Hypothèses!$B$74</f>
        <v>0</v>
      </c>
      <c r="S8" s="337">
        <f ca="1">S14*Hypothèses!$C$20+(Ventes!S$8+Ventes!S$14)*S$13/SUM(S$10:S$12)+(S14-R14)*Hypothèses!$B$74</f>
        <v>0</v>
      </c>
      <c r="T8" s="337">
        <f ca="1">T14*Hypothèses!$C$20+(Ventes!T$8+Ventes!T$14)*T$13/SUM(T$10:T$12)+(T14-S14)*Hypothèses!$B$74</f>
        <v>0</v>
      </c>
      <c r="U8" s="337">
        <f ca="1">U14*Hypothèses!$C$20+(Ventes!U$8+Ventes!U$14)*U$13/SUM(U$10:U$12)+(U14-T14)*Hypothèses!$B$74</f>
        <v>0</v>
      </c>
      <c r="V8" s="337">
        <f ca="1">V14*Hypothèses!$D$20+(Ventes!V$8+Ventes!V$14)*V$13/SUM(V$10:V$12)+(V14-U14)*Hypothèses!$B$74</f>
        <v>0</v>
      </c>
      <c r="W8" s="337">
        <f ca="1">W14*Hypothèses!$D$20+(Ventes!W$8+Ventes!W$14)*W$13/SUM(W$10:W$12)+(W14-V14)*Hypothèses!$B$74</f>
        <v>0</v>
      </c>
      <c r="X8" s="337">
        <f ca="1">X14*Hypothèses!$D$20+(Ventes!X$8+Ventes!X$14)*X$13/SUM(X$10:X$12)+(X14-W14)*Hypothèses!$B$74</f>
        <v>0</v>
      </c>
      <c r="Y8" s="337">
        <f ca="1">Y14*Hypothèses!$D$20+(Ventes!Y$8+Ventes!Y$14)*Y$13/SUM(Y$10:Y$12)+(Y14-X14)*Hypothèses!$B$74</f>
        <v>0</v>
      </c>
      <c r="Z8" s="337">
        <f ca="1">Z14*Hypothèses!$D$20+(Ventes!Z$8+Ventes!Z$14)*Z$13/SUM(Z$10:Z$12)+(Z14-Y14)*Hypothèses!$B$74</f>
        <v>0</v>
      </c>
      <c r="AA8" s="337">
        <f ca="1">AA14*Hypothèses!$D$20+(Ventes!AA$8+Ventes!AA$14)*AA$13/SUM(AA$10:AA$12)+(AA14-Z14)*Hypothèses!$B$74</f>
        <v>0</v>
      </c>
      <c r="AB8" s="337">
        <f ca="1">AB14*Hypothèses!$D$20+(Ventes!AB$8+Ventes!AB$14)*AB$13/SUM(AB$10:AB$12)+(AB14-AA14)*Hypothèses!$B$74</f>
        <v>0</v>
      </c>
      <c r="AC8" s="337">
        <f ca="1">AC14*Hypothèses!$D$20+(Ventes!AC$8+Ventes!AC$14)*AC$13/SUM(AC$10:AC$12)+(AC14-AB14)*Hypothèses!$B$74</f>
        <v>0</v>
      </c>
      <c r="AD8" s="337">
        <f ca="1">AD14*Hypothèses!$D$20+(Ventes!AD$8+Ventes!AD$14)*AD$13/SUM(AD$10:AD$12)+(AD14-AC14)*Hypothèses!$B$74</f>
        <v>0</v>
      </c>
      <c r="AE8" s="337">
        <f ca="1">AE14*Hypothèses!$D$20+(Ventes!AE$8+Ventes!AE$14)*AE$13/SUM(AE$10:AE$12)+(AE14-AD14)*Hypothèses!$B$74</f>
        <v>0</v>
      </c>
      <c r="AF8" s="337">
        <f ca="1">AF14*Hypothèses!$D$20+(Ventes!AF$8+Ventes!AF$14)*AF$13/SUM(AF$10:AF$12)+(AF14-AE14)*Hypothèses!$B$74</f>
        <v>0</v>
      </c>
      <c r="AG8" s="338">
        <f ca="1">AG14*Hypothèses!$D$20+(Ventes!AG$8+Ventes!AG$14)*AG$13/SUM(AG$10:AG$12)+(AG14-AF14)*Hypothèses!$B$74</f>
        <v>0</v>
      </c>
      <c r="AH8" s="337">
        <f ca="1">AH14*Hypothèses!$E$20+(Ventes!AH$8+Ventes!AH$14)*AH$13/SUM(AH$10:AH$12)+(AH14-AG14)*Hypothèses!$B$74</f>
        <v>0</v>
      </c>
      <c r="AI8" s="337">
        <f ca="1">AI14*Hypothèses!$E$20+(Ventes!AI$8+Ventes!AI$14)*AI$13/SUM(AI$10:AI$12)+(AI14-AH14)*Hypothèses!$B$74</f>
        <v>0</v>
      </c>
      <c r="AJ8" s="337">
        <f ca="1">AJ14*Hypothèses!$E$20+(Ventes!AJ$8+Ventes!AJ$14)*AJ$13/SUM(AJ$10:AJ$12)+(AJ14-AI14)*Hypothèses!$B$74</f>
        <v>0</v>
      </c>
      <c r="AK8" s="337">
        <f ca="1">AK14*Hypothèses!$E$20+(Ventes!AK$8+Ventes!AK$14)*AK$13/SUM(AK$10:AK$12)+(AK14-AJ14)*Hypothèses!$B$74</f>
        <v>0</v>
      </c>
      <c r="AL8" s="337">
        <f ca="1">AL14*Hypothèses!$E$20+(Ventes!AL$8+Ventes!AL$14)*AL$13/SUM(AL$10:AL$12)+(AL14-AK14)*Hypothèses!$B$74</f>
        <v>0</v>
      </c>
      <c r="AM8" s="337">
        <f ca="1">AM14*Hypothèses!$E$20+(Ventes!AM$8+Ventes!AM$14)*AM$13/SUM(AM$10:AM$12)+(AM14-AL14)*Hypothèses!$B$74</f>
        <v>0</v>
      </c>
      <c r="AN8" s="337">
        <f ca="1">AN14*Hypothèses!$E$20+(Ventes!AN$8+Ventes!AN$14)*AN$13/SUM(AN$10:AN$12)+(AN14-AM14)*Hypothèses!$B$74</f>
        <v>0</v>
      </c>
      <c r="AO8" s="337">
        <f ca="1">AO14*Hypothèses!$E$20+(Ventes!AO$8+Ventes!AO$14)*AO$13/SUM(AO$10:AO$12)+(AO14-AN14)*Hypothèses!$B$74</f>
        <v>0</v>
      </c>
      <c r="AP8" s="337">
        <f ca="1">AP14*Hypothèses!$E$20+(Ventes!AP$8+Ventes!AP$14)*AP$13/SUM(AP$10:AP$12)+(AP14-AO14)*Hypothèses!$B$74</f>
        <v>0</v>
      </c>
      <c r="AQ8" s="337">
        <f ca="1">AQ14*Hypothèses!$E$20+(Ventes!AQ$8+Ventes!AQ$14)*AQ$13/SUM(AQ$10:AQ$12)+(AQ14-AP14)*Hypothèses!$B$74</f>
        <v>0</v>
      </c>
      <c r="AR8" s="337">
        <f ca="1">AR14*Hypothèses!$E$20+(Ventes!AR$8+Ventes!AR$14)*AR$13/SUM(AR$10:AR$12)+(AR14-AQ14)*Hypothèses!$B$74</f>
        <v>0</v>
      </c>
      <c r="AS8" s="338">
        <f ca="1">AS14*Hypothèses!$E$20+(Ventes!AS$8+Ventes!AS$14)*AS$13/SUM(AS$10:AS$12)+(AS14-AR14)*Hypothèses!$B$74</f>
        <v>0</v>
      </c>
      <c r="AT8" s="337">
        <f ca="1">AT14*Hypothèses!$F$20+(Ventes!AT$8+Ventes!AT$14)*AT$13/SUM(AT$10:AT$12)+(AT14-AS14)*Hypothèses!$B$74</f>
        <v>0</v>
      </c>
      <c r="AU8" s="337">
        <f ca="1">AU14*Hypothèses!$F$20+(Ventes!AU$8+Ventes!AU$14)*AU$13/SUM(AU$10:AU$12)+(AU14-AT14)*Hypothèses!$B$74</f>
        <v>0</v>
      </c>
      <c r="AV8" s="337">
        <f ca="1">AV14*Hypothèses!$F$20+(Ventes!AV$8+Ventes!AV$14)*AV$13/SUM(AV$10:AV$12)+(AV14-AU14)*Hypothèses!$B$74</f>
        <v>0</v>
      </c>
      <c r="AW8" s="337">
        <f ca="1">AW14*Hypothèses!$F$20+(Ventes!AW$8+Ventes!AW$14)*AW$13/SUM(AW$10:AW$12)+(AW14-AV14)*Hypothèses!$B$74</f>
        <v>0</v>
      </c>
      <c r="AX8" s="337">
        <f ca="1">AX14*Hypothèses!$F$20+(Ventes!AX$8+Ventes!AX$14)*AX$13/SUM(AX$10:AX$12)+(AX14-AW14)*Hypothèses!$B$74</f>
        <v>0</v>
      </c>
      <c r="AY8" s="337">
        <f ca="1">AY14*Hypothèses!$F$20+(Ventes!AY$8+Ventes!AY$14)*AY$13/SUM(AY$10:AY$12)+(AY14-AX14)*Hypothèses!$B$74</f>
        <v>0</v>
      </c>
      <c r="AZ8" s="337">
        <f ca="1">AZ14*Hypothèses!$F$20+(Ventes!AZ$8+Ventes!AZ$14)*AZ$13/SUM(AZ$10:AZ$12)+(AZ14-AY14)*Hypothèses!$B$74</f>
        <v>0</v>
      </c>
      <c r="BA8" s="337">
        <f ca="1">BA14*Hypothèses!$F$20+(Ventes!BA$8+Ventes!BA$14)*BA$13/SUM(BA$10:BA$12)+(BA14-AZ14)*Hypothèses!$B$74</f>
        <v>0</v>
      </c>
      <c r="BB8" s="337">
        <f ca="1">BB14*Hypothèses!$F$20+(Ventes!BB$8+Ventes!BB$14)*BB$13/SUM(BB$10:BB$12)+(BB14-BA14)*Hypothèses!$B$74</f>
        <v>0</v>
      </c>
      <c r="BC8" s="337">
        <f ca="1">BC14*Hypothèses!$F$20+(Ventes!BC$8+Ventes!BC$14)*BC$13/SUM(BC$10:BC$12)+(BC14-BB14)*Hypothèses!$B$74</f>
        <v>0</v>
      </c>
      <c r="BD8" s="337">
        <f ca="1">BD14*Hypothèses!$F$20+(Ventes!BD$8+Ventes!BD$14)*BD$13/SUM(BD$10:BD$12)+(BD14-BC14)*Hypothèses!$B$74</f>
        <v>0</v>
      </c>
      <c r="BE8" s="338">
        <f ca="1">BE14*Hypothèses!$F$20+(Ventes!BE$8+Ventes!BE$14)*BE$13/SUM(BE$10:BE$12)+(BE14-BD14)*Hypothèses!$B$74</f>
        <v>0</v>
      </c>
      <c r="BF8" s="336">
        <f ca="1">BF14*Hypothèses!$G$20+(Ventes!BF$8+Ventes!BF$14)*BF$13/SUM(BF$10:BF$12)+(BF14-BE14)*Hypothèses!$B$74</f>
        <v>0</v>
      </c>
      <c r="BG8" s="337">
        <f ca="1">BG14*Hypothèses!$G$20+(Ventes!BG$8+Ventes!BG$14)*BG$13/SUM(BG$10:BG$12)+(BG14-BF14)*Hypothèses!$B$74</f>
        <v>0</v>
      </c>
      <c r="BH8" s="337">
        <f ca="1">BH14*Hypothèses!$G$20+(Ventes!BH$8+Ventes!BH$14)*BH$13/SUM(BH$10:BH$12)+(BH14-BG14)*Hypothèses!$B$74</f>
        <v>0</v>
      </c>
      <c r="BI8" s="337">
        <f ca="1">BI14*Hypothèses!$G$20+(Ventes!BI$8+Ventes!BI$14)*BI$13/SUM(BI$10:BI$12)+(BI14-BH14)*Hypothèses!$B$74</f>
        <v>0</v>
      </c>
      <c r="BJ8" s="337">
        <f ca="1">BJ14*Hypothèses!$G$20+(Ventes!BJ$8+Ventes!BJ$14)*BJ$13/SUM(BJ$10:BJ$12)+(BJ14-BI14)*Hypothèses!$B$74</f>
        <v>0</v>
      </c>
      <c r="BK8" s="337">
        <f ca="1">BK14*Hypothèses!$G$20+(Ventes!BK$8+Ventes!BK$14)*BK$13/SUM(BK$10:BK$12)+(BK14-BJ14)*Hypothèses!$B$74</f>
        <v>0</v>
      </c>
      <c r="BL8" s="337">
        <f ca="1">BL14*Hypothèses!$G$20+(Ventes!BL$8+Ventes!BL$14)*BL$13/SUM(BL$10:BL$12)+(BL14-BK14)*Hypothèses!$B$74</f>
        <v>0</v>
      </c>
      <c r="BM8" s="337">
        <f ca="1">BM14*Hypothèses!$G$20+(Ventes!BM$8+Ventes!BM$14)*BM$13/SUM(BM$10:BM$12)+(BM14-BL14)*Hypothèses!$B$74</f>
        <v>0</v>
      </c>
      <c r="BN8" s="337">
        <f ca="1">BN14*Hypothèses!$G$20+(Ventes!BN$8+Ventes!BN$14)*BN$13/SUM(BN$10:BN$12)+(BN14-BM14)*Hypothèses!$B$74</f>
        <v>0</v>
      </c>
      <c r="BO8" s="337">
        <f ca="1">BO14*Hypothèses!$G$20+(Ventes!BO$8+Ventes!BO$14)*BO$13/SUM(BO$10:BO$12)+(BO14-BN14)*Hypothèses!$B$74</f>
        <v>0</v>
      </c>
      <c r="BP8" s="337">
        <f ca="1">BP14*Hypothèses!$G$20+(Ventes!BP$8+Ventes!BP$14)*BP$13/SUM(BP$10:BP$12)+(BP14-BO14)*Hypothèses!$B$74</f>
        <v>0</v>
      </c>
      <c r="BQ8" s="338">
        <f ca="1">BQ14*Hypothèses!$G$20+(Ventes!BQ$8+Ventes!BQ$14)*BQ$13/SUM(BQ$10:BQ$12)+(BQ14-BP14)*Hypothèses!$B$74</f>
        <v>0</v>
      </c>
      <c r="BR8" s="336">
        <f ca="1">BR14*Hypothèses!$H$20+(Ventes!BR$8+Ventes!BR$14)*BR$13/SUM(BR$10:BR$12)+(BR14-BQ14)*Hypothèses!$B$74</f>
        <v>0</v>
      </c>
      <c r="BS8" s="337">
        <f ca="1">BS14*Hypothèses!$H$20+(Ventes!BS$8+Ventes!BS$14)*BS$13/SUM(BS$10:BS$12)+(BS14-BR14)*Hypothèses!$B$74</f>
        <v>0</v>
      </c>
      <c r="BT8" s="337">
        <f ca="1">BT14*Hypothèses!$H$20+(Ventes!BT$8+Ventes!BT$14)*BT$13/SUM(BT$10:BT$12)+(BT14-BS14)*Hypothèses!$B$74</f>
        <v>0</v>
      </c>
      <c r="BU8" s="337">
        <f ca="1">BU14*Hypothèses!$H$20+(Ventes!BU$8+Ventes!BU$14)*BU$13/SUM(BU$10:BU$12)+(BU14-BT14)*Hypothèses!$B$74</f>
        <v>0</v>
      </c>
      <c r="BV8" s="337">
        <f ca="1">BV14*Hypothèses!$H$20+(Ventes!BV$8+Ventes!BV$14)*BV$13/SUM(BV$10:BV$12)+(BV14-BU14)*Hypothèses!$B$74</f>
        <v>0</v>
      </c>
      <c r="BW8" s="337">
        <f ca="1">BW14*Hypothèses!$H$20+(Ventes!BW$8+Ventes!BW$14)*BW$13/SUM(BW$10:BW$12)+(BW14-BV14)*Hypothèses!$B$74</f>
        <v>0</v>
      </c>
      <c r="BX8" s="337">
        <f ca="1">BX14*Hypothèses!$H$20+(Ventes!BX$8+Ventes!BX$14)*BX$13/SUM(BX$10:BX$12)+(BX14-BW14)*Hypothèses!$B$74</f>
        <v>0</v>
      </c>
      <c r="BY8" s="337">
        <f ca="1">BY14*Hypothèses!$H$20+(Ventes!BY$8+Ventes!BY$14)*BY$13/SUM(BY$10:BY$12)+(BY14-BX14)*Hypothèses!$B$74</f>
        <v>0</v>
      </c>
      <c r="BZ8" s="337">
        <f ca="1">BZ14*Hypothèses!$H$20+(Ventes!BZ$8+Ventes!BZ$14)*BZ$13/SUM(BZ$10:BZ$12)+(BZ14-BY14)*Hypothèses!$B$74</f>
        <v>0</v>
      </c>
      <c r="CA8" s="337">
        <f ca="1">CA14*Hypothèses!$H$20+(Ventes!CA$8+Ventes!CA$14)*CA$13/SUM(CA$10:CA$12)+(CA14-BZ14)*Hypothèses!$B$74</f>
        <v>0</v>
      </c>
      <c r="CB8" s="337">
        <f ca="1">CB14*Hypothèses!$H$20+(Ventes!CB$8+Ventes!CB$14)*CB$13/SUM(CB$10:CB$12)+(CB14-CA14)*Hypothèses!$B$74</f>
        <v>0</v>
      </c>
      <c r="CC8" s="338">
        <f ca="1">CC14*Hypothèses!$H$20+(Ventes!CC$8+Ventes!CC$14)*CC$13/SUM(CC$10:CC$12)+(CC14-CB14)*Hypothèses!$B$74</f>
        <v>0</v>
      </c>
    </row>
    <row r="9" spans="1:81" ht="16">
      <c r="A9" s="665" t="s">
        <v>140</v>
      </c>
      <c r="B9" s="666"/>
      <c r="C9" s="667">
        <f t="shared" ref="C9:CC9" si="1">SUM(C10:C12)</f>
        <v>159</v>
      </c>
      <c r="D9" s="668">
        <f t="shared" si="1"/>
        <v>162.26226700251888</v>
      </c>
      <c r="E9" s="668">
        <f t="shared" si="1"/>
        <v>165.46147959697731</v>
      </c>
      <c r="F9" s="668">
        <f t="shared" si="1"/>
        <v>168.59911018387905</v>
      </c>
      <c r="G9" s="668">
        <f t="shared" si="1"/>
        <v>171.67659027372787</v>
      </c>
      <c r="H9" s="668">
        <f t="shared" si="1"/>
        <v>174.69531179240221</v>
      </c>
      <c r="I9" s="669">
        <f t="shared" si="1"/>
        <v>177.65662834061993</v>
      </c>
      <c r="J9" s="667">
        <f t="shared" si="1"/>
        <v>181.04574883152884</v>
      </c>
      <c r="K9" s="668">
        <f t="shared" ca="1" si="1"/>
        <v>184.92090005786781</v>
      </c>
      <c r="L9" s="668">
        <f t="shared" ca="1" si="1"/>
        <v>185.73748410992556</v>
      </c>
      <c r="M9" s="668">
        <f t="shared" ca="1" si="1"/>
        <v>189.55580942642604</v>
      </c>
      <c r="N9" s="668">
        <f t="shared" ca="1" si="1"/>
        <v>193.31618241041988</v>
      </c>
      <c r="O9" s="668">
        <f t="shared" ca="1" si="1"/>
        <v>197.01966016332878</v>
      </c>
      <c r="P9" s="668">
        <f t="shared" ca="1" si="1"/>
        <v>200.66727684404503</v>
      </c>
      <c r="Q9" s="668">
        <f t="shared" ca="1" si="1"/>
        <v>205.59715592442871</v>
      </c>
      <c r="R9" s="668">
        <f t="shared" ca="1" si="1"/>
        <v>210.44676778883587</v>
      </c>
      <c r="S9" s="668">
        <f t="shared" ca="1" si="1"/>
        <v>215.21774057206119</v>
      </c>
      <c r="T9" s="668">
        <f t="shared" ca="1" si="1"/>
        <v>219.91166235473344</v>
      </c>
      <c r="U9" s="669">
        <f t="shared" ca="1" si="1"/>
        <v>224.53008230862687</v>
      </c>
      <c r="V9" s="667">
        <f t="shared" ca="1" si="1"/>
        <v>229.57548140166037</v>
      </c>
      <c r="W9" s="668">
        <f t="shared" ca="1" si="1"/>
        <v>234.56282130653196</v>
      </c>
      <c r="X9" s="668">
        <f t="shared" ca="1" si="1"/>
        <v>239.49291977864033</v>
      </c>
      <c r="Y9" s="668">
        <f t="shared" ca="1" si="1"/>
        <v>244.36658083750311</v>
      </c>
      <c r="Z9" s="668">
        <f t="shared" ca="1" si="1"/>
        <v>249.18459504241625</v>
      </c>
      <c r="AA9" s="668">
        <f t="shared" ca="1" si="1"/>
        <v>253.94773976149355</v>
      </c>
      <c r="AB9" s="668">
        <f t="shared" ca="1" si="1"/>
        <v>258.65677943427005</v>
      </c>
      <c r="AC9" s="668">
        <f t="shared" ca="1" si="1"/>
        <v>263.98102166348207</v>
      </c>
      <c r="AD9" s="668">
        <f t="shared" ca="1" si="1"/>
        <v>269.24188621008329</v>
      </c>
      <c r="AE9" s="668">
        <f t="shared" ca="1" si="1"/>
        <v>274.44033724483529</v>
      </c>
      <c r="AF9" s="668">
        <f t="shared" ca="1" si="1"/>
        <v>279.57732057258346</v>
      </c>
      <c r="AG9" s="669">
        <f t="shared" ca="1" si="1"/>
        <v>284.65376406112449</v>
      </c>
      <c r="AH9" s="184">
        <f t="shared" ca="1" si="1"/>
        <v>290.19087052148018</v>
      </c>
      <c r="AI9" s="668">
        <f t="shared" ca="1" si="1"/>
        <v>295.68072811809617</v>
      </c>
      <c r="AJ9" s="668">
        <f t="shared" ca="1" si="1"/>
        <v>301.12376180712238</v>
      </c>
      <c r="AK9" s="668">
        <f t="shared" ca="1" si="1"/>
        <v>306.52039400063006</v>
      </c>
      <c r="AL9" s="668">
        <f t="shared" ca="1" si="1"/>
        <v>311.87104452173043</v>
      </c>
      <c r="AM9" s="668">
        <f t="shared" ca="1" si="1"/>
        <v>317.17613056262093</v>
      </c>
      <c r="AN9" s="668">
        <f t="shared" ca="1" si="1"/>
        <v>322.43606664544939</v>
      </c>
      <c r="AO9" s="668">
        <f t="shared" ca="1" si="1"/>
        <v>327.65126458588901</v>
      </c>
      <c r="AP9" s="668">
        <f t="shared" ca="1" si="1"/>
        <v>332.82213345932007</v>
      </c>
      <c r="AQ9" s="668">
        <f t="shared" ca="1" si="1"/>
        <v>337.94907956952107</v>
      </c>
      <c r="AR9" s="668">
        <f t="shared" ca="1" si="1"/>
        <v>343.03250641977013</v>
      </c>
      <c r="AS9" s="669">
        <f t="shared" ca="1" si="1"/>
        <v>348.07281468626542</v>
      </c>
      <c r="AT9" s="667">
        <f t="shared" ca="1" si="1"/>
        <v>353.28731657394809</v>
      </c>
      <c r="AU9" s="668">
        <f t="shared" ca="1" si="1"/>
        <v>358.47008204959263</v>
      </c>
      <c r="AV9" s="668">
        <f t="shared" ca="1" si="1"/>
        <v>363.62110605273739</v>
      </c>
      <c r="AW9" s="668">
        <f t="shared" ca="1" si="1"/>
        <v>368.74039246441373</v>
      </c>
      <c r="AX9" s="668">
        <f t="shared" ca="1" si="1"/>
        <v>373.82795374690596</v>
      </c>
      <c r="AY9" s="668">
        <f t="shared" ca="1" si="1"/>
        <v>378.88381059535516</v>
      </c>
      <c r="AZ9" s="668">
        <f t="shared" ca="1" si="1"/>
        <v>383.90799160083884</v>
      </c>
      <c r="BA9" s="668">
        <f t="shared" ca="1" si="1"/>
        <v>390.57192251315166</v>
      </c>
      <c r="BB9" s="668">
        <f t="shared" ca="1" si="1"/>
        <v>397.1858718745633</v>
      </c>
      <c r="BC9" s="668">
        <f t="shared" ca="1" si="1"/>
        <v>403.75017753093368</v>
      </c>
      <c r="BD9" s="668">
        <f t="shared" ca="1" si="1"/>
        <v>410.26517794377531</v>
      </c>
      <c r="BE9" s="669">
        <f t="shared" ca="1" si="1"/>
        <v>416.7312120587128</v>
      </c>
      <c r="BF9" s="667">
        <f t="shared" ca="1" si="1"/>
        <v>423.52642219286849</v>
      </c>
      <c r="BG9" s="668">
        <f t="shared" ca="1" si="1"/>
        <v>430.27208572320933</v>
      </c>
      <c r="BH9" s="668">
        <f t="shared" ca="1" si="1"/>
        <v>442.96860956781012</v>
      </c>
      <c r="BI9" s="668">
        <f t="shared" ca="1" si="1"/>
        <v>455.55669717348667</v>
      </c>
      <c r="BJ9" s="668">
        <f t="shared" ca="1" si="1"/>
        <v>474.03756274078177</v>
      </c>
      <c r="BK9" s="668">
        <f t="shared" ca="1" si="1"/>
        <v>498.3536023912543</v>
      </c>
      <c r="BL9" s="668">
        <f t="shared" ca="1" si="1"/>
        <v>522.44799430997296</v>
      </c>
      <c r="BM9" s="668">
        <f t="shared" ca="1" si="1"/>
        <v>584.4141647043582</v>
      </c>
      <c r="BN9" s="668">
        <f t="shared" ca="1" si="1"/>
        <v>645.77971374833669</v>
      </c>
      <c r="BO9" s="668">
        <f t="shared" ca="1" si="1"/>
        <v>706.55255265829339</v>
      </c>
      <c r="BP9" s="668">
        <f t="shared" ca="1" si="1"/>
        <v>766.74045466055725</v>
      </c>
      <c r="BQ9" s="669">
        <f t="shared" ca="1" si="1"/>
        <v>826.35105791968965</v>
      </c>
      <c r="BR9" s="667">
        <f t="shared" ca="1" si="1"/>
        <v>885.29999827491781</v>
      </c>
      <c r="BS9" s="668">
        <f t="shared" ca="1" si="1"/>
        <v>946.67576145518774</v>
      </c>
      <c r="BT9" s="668">
        <f t="shared" ca="1" si="1"/>
        <v>1007.454814314633</v>
      </c>
      <c r="BU9" s="668">
        <f t="shared" ca="1" si="1"/>
        <v>1069.5045102463691</v>
      </c>
      <c r="BV9" s="668">
        <f t="shared" ca="1" si="1"/>
        <v>1130.9560738174519</v>
      </c>
      <c r="BW9" s="668">
        <f t="shared" ca="1" si="1"/>
        <v>1191.8168390493784</v>
      </c>
      <c r="BX9" s="668">
        <f t="shared" ca="1" si="1"/>
        <v>1259.9540316206537</v>
      </c>
      <c r="BY9" s="668">
        <f t="shared" ca="1" si="1"/>
        <v>1413.7183954603745</v>
      </c>
      <c r="BZ9" s="668">
        <f t="shared" ca="1" si="1"/>
        <v>1569.0304961992983</v>
      </c>
      <c r="CA9" s="668">
        <f t="shared" ca="1" si="1"/>
        <v>1722.8784513500136</v>
      </c>
      <c r="CB9" s="668">
        <f t="shared" ca="1" si="1"/>
        <v>1881.2800400553433</v>
      </c>
      <c r="CC9" s="669">
        <f t="shared" ca="1" si="1"/>
        <v>2038.1915784987532</v>
      </c>
    </row>
    <row r="10" spans="1:81" ht="15.75" customHeight="1">
      <c r="A10" s="32" t="s">
        <v>83</v>
      </c>
      <c r="B10" s="114"/>
      <c r="C10" s="670">
        <f>Ventes!C22+Ventes!C29+Ventes!C36+Ventes!C53+Ventes!C60+Ventes!C67</f>
        <v>159</v>
      </c>
      <c r="D10" s="671">
        <f>Ventes!D22+Ventes!D29+Ventes!D36+Ventes!D53+Ventes!D60+Ventes!D67</f>
        <v>162.26226700251888</v>
      </c>
      <c r="E10" s="671">
        <f>Ventes!E22+Ventes!E29+Ventes!E36+Ventes!E53+Ventes!E60+Ventes!E67</f>
        <v>165.46147959697731</v>
      </c>
      <c r="F10" s="671">
        <f>Ventes!F22+Ventes!F29+Ventes!F36+Ventes!F53+Ventes!F60+Ventes!F67</f>
        <v>168.59911018387905</v>
      </c>
      <c r="G10" s="671">
        <f>Ventes!G22+Ventes!G29+Ventes!G36+Ventes!G53+Ventes!G60+Ventes!G67</f>
        <v>171.67659027372787</v>
      </c>
      <c r="H10" s="671">
        <f>Ventes!H22+Ventes!H29+Ventes!H36+Ventes!H53+Ventes!H60+Ventes!H67</f>
        <v>174.69531179240221</v>
      </c>
      <c r="I10" s="672">
        <f>Ventes!I22+Ventes!I29+Ventes!I36+Ventes!I53+Ventes!I60+Ventes!I67</f>
        <v>177.65662834061993</v>
      </c>
      <c r="J10" s="671">
        <f>Ventes!J22+Ventes!J29+Ventes!J36+Ventes!J53+Ventes!J60+Ventes!J67</f>
        <v>181.04574883152884</v>
      </c>
      <c r="K10" s="671">
        <f ca="1">Ventes!K22+Ventes!K29+Ventes!K36+Ventes!K53+Ventes!K60+Ventes!K67</f>
        <v>184.92090005786781</v>
      </c>
      <c r="L10" s="671">
        <f ca="1">Ventes!L22+Ventes!L29+Ventes!L36+Ventes!L53+Ventes!L60+Ventes!L67</f>
        <v>185.73748410992556</v>
      </c>
      <c r="M10" s="671">
        <f ca="1">Ventes!M22+Ventes!M29+Ventes!M36+Ventes!M53+Ventes!M60+Ventes!M67</f>
        <v>189.55580942642604</v>
      </c>
      <c r="N10" s="671">
        <f ca="1">Ventes!N22+Ventes!N29+Ventes!N36+Ventes!N53+Ventes!N60+Ventes!N67</f>
        <v>193.31618241041988</v>
      </c>
      <c r="O10" s="671">
        <f ca="1">Ventes!O22+Ventes!O29+Ventes!O36+Ventes!O53+Ventes!O60+Ventes!O67</f>
        <v>197.01966016332878</v>
      </c>
      <c r="P10" s="671">
        <f ca="1">Ventes!P22+Ventes!P29+Ventes!P36+Ventes!P53+Ventes!P60+Ventes!P67</f>
        <v>200.66727684404503</v>
      </c>
      <c r="Q10" s="671">
        <f ca="1">Ventes!Q22+Ventes!Q29+Ventes!Q36+Ventes!Q53+Ventes!Q60+Ventes!Q67</f>
        <v>205.59715592442871</v>
      </c>
      <c r="R10" s="671">
        <f ca="1">Ventes!R22+Ventes!R29+Ventes!R36+Ventes!R53+Ventes!R60+Ventes!R67</f>
        <v>210.44676778883587</v>
      </c>
      <c r="S10" s="671">
        <f ca="1">Ventes!S22+Ventes!S29+Ventes!S36+Ventes!S53+Ventes!S60+Ventes!S67</f>
        <v>215.21774057206119</v>
      </c>
      <c r="T10" s="671">
        <f ca="1">Ventes!T22+Ventes!T29+Ventes!T36+Ventes!T53+Ventes!T60+Ventes!T67</f>
        <v>219.91166235473344</v>
      </c>
      <c r="U10" s="671">
        <f ca="1">Ventes!U22+Ventes!U29+Ventes!U36+Ventes!U53+Ventes!U60+Ventes!U67</f>
        <v>224.53008230862687</v>
      </c>
      <c r="V10" s="671">
        <f ca="1">Ventes!V22+Ventes!V29+Ventes!V36+Ventes!V53+Ventes!V60+Ventes!V67</f>
        <v>229.57548140166037</v>
      </c>
      <c r="W10" s="671">
        <f ca="1">Ventes!W22+Ventes!W29+Ventes!W36+Ventes!W53+Ventes!W60+Ventes!W67</f>
        <v>234.56282130653196</v>
      </c>
      <c r="X10" s="671">
        <f ca="1">Ventes!X22+Ventes!X29+Ventes!X36+Ventes!X53+Ventes!X60+Ventes!X67</f>
        <v>239.49291977864033</v>
      </c>
      <c r="Y10" s="671">
        <f ca="1">Ventes!Y22+Ventes!Y29+Ventes!Y36+Ventes!Y53+Ventes!Y60+Ventes!Y67</f>
        <v>244.36658083750311</v>
      </c>
      <c r="Z10" s="671">
        <f ca="1">Ventes!Z22+Ventes!Z29+Ventes!Z36+Ventes!Z53+Ventes!Z60+Ventes!Z67</f>
        <v>249.18459504241625</v>
      </c>
      <c r="AA10" s="671">
        <f ca="1">Ventes!AA22+Ventes!AA29+Ventes!AA36+Ventes!AA53+Ventes!AA60+Ventes!AA67</f>
        <v>253.94773976149355</v>
      </c>
      <c r="AB10" s="671">
        <f ca="1">Ventes!AB22+Ventes!AB29+Ventes!AB36+Ventes!AB53+Ventes!AB60+Ventes!AB67</f>
        <v>258.65677943427005</v>
      </c>
      <c r="AC10" s="671">
        <f ca="1">Ventes!AC22+Ventes!AC29+Ventes!AC36+Ventes!AC53+Ventes!AC60+Ventes!AC67</f>
        <v>263.98102166348207</v>
      </c>
      <c r="AD10" s="671">
        <f ca="1">Ventes!AD22+Ventes!AD29+Ventes!AD36+Ventes!AD53+Ventes!AD60+Ventes!AD67</f>
        <v>269.24188621008329</v>
      </c>
      <c r="AE10" s="671">
        <f ca="1">Ventes!AE22+Ventes!AE29+Ventes!AE36+Ventes!AE53+Ventes!AE60+Ventes!AE67</f>
        <v>274.44033724483529</v>
      </c>
      <c r="AF10" s="671">
        <f ca="1">Ventes!AF22+Ventes!AF29+Ventes!AF36+Ventes!AF53+Ventes!AF60+Ventes!AF67</f>
        <v>279.57732057258346</v>
      </c>
      <c r="AG10" s="671">
        <f ca="1">Ventes!AG22+Ventes!AG29+Ventes!AG36+Ventes!AG53+Ventes!AG60+Ventes!AG67</f>
        <v>284.65376406112449</v>
      </c>
      <c r="AH10" s="671">
        <f ca="1">Ventes!AH22+Ventes!AH29+Ventes!AH36+Ventes!AH53+Ventes!AH60+Ventes!AH67</f>
        <v>290.19087052148018</v>
      </c>
      <c r="AI10" s="671">
        <f ca="1">Ventes!AI22+Ventes!AI29+Ventes!AI36+Ventes!AI53+Ventes!AI60+Ventes!AI67</f>
        <v>295.68072811809617</v>
      </c>
      <c r="AJ10" s="671">
        <f ca="1">Ventes!AJ22+Ventes!AJ29+Ventes!AJ36+Ventes!AJ53+Ventes!AJ60+Ventes!AJ67</f>
        <v>301.12376180712238</v>
      </c>
      <c r="AK10" s="671">
        <f ca="1">Ventes!AK22+Ventes!AK29+Ventes!AK36+Ventes!AK53+Ventes!AK60+Ventes!AK67</f>
        <v>306.52039400063006</v>
      </c>
      <c r="AL10" s="671">
        <f ca="1">Ventes!AL22+Ventes!AL29+Ventes!AL36+Ventes!AL53+Ventes!AL60+Ventes!AL67</f>
        <v>311.87104452173043</v>
      </c>
      <c r="AM10" s="671">
        <f ca="1">Ventes!AM22+Ventes!AM29+Ventes!AM36+Ventes!AM53+Ventes!AM60+Ventes!AM67</f>
        <v>317.17613056262093</v>
      </c>
      <c r="AN10" s="671">
        <f ca="1">Ventes!AN22+Ventes!AN29+Ventes!AN36+Ventes!AN53+Ventes!AN60+Ventes!AN67</f>
        <v>322.43606664544939</v>
      </c>
      <c r="AO10" s="671">
        <f ca="1">Ventes!AO22+Ventes!AO29+Ventes!AO36+Ventes!AO53+Ventes!AO60+Ventes!AO67</f>
        <v>327.65126458588901</v>
      </c>
      <c r="AP10" s="671">
        <f ca="1">Ventes!AP22+Ventes!AP29+Ventes!AP36+Ventes!AP53+Ventes!AP60+Ventes!AP67</f>
        <v>332.82213345932007</v>
      </c>
      <c r="AQ10" s="671">
        <f ca="1">Ventes!AQ22+Ventes!AQ29+Ventes!AQ36+Ventes!AQ53+Ventes!AQ60+Ventes!AQ67</f>
        <v>337.94907956952107</v>
      </c>
      <c r="AR10" s="671">
        <f ca="1">Ventes!AR22+Ventes!AR29+Ventes!AR36+Ventes!AR53+Ventes!AR60+Ventes!AR67</f>
        <v>343.03250641977013</v>
      </c>
      <c r="AS10" s="671">
        <f ca="1">Ventes!AS22+Ventes!AS29+Ventes!AS36+Ventes!AS53+Ventes!AS60+Ventes!AS67</f>
        <v>348.07281468626542</v>
      </c>
      <c r="AT10" s="671">
        <f ca="1">Ventes!AT22+Ventes!AT29+Ventes!AT36+Ventes!AT53+Ventes!AT60+Ventes!AT67</f>
        <v>353.28731657394809</v>
      </c>
      <c r="AU10" s="671">
        <f ca="1">Ventes!AU22+Ventes!AU29+Ventes!AU36+Ventes!AU53+Ventes!AU60+Ventes!AU67</f>
        <v>358.47008204959263</v>
      </c>
      <c r="AV10" s="671">
        <f ca="1">Ventes!AV22+Ventes!AV29+Ventes!AV36+Ventes!AV53+Ventes!AV60+Ventes!AV67</f>
        <v>363.62110605273739</v>
      </c>
      <c r="AW10" s="671">
        <f ca="1">Ventes!AW22+Ventes!AW29+Ventes!AW36+Ventes!AW53+Ventes!AW60+Ventes!AW67</f>
        <v>368.74039246441373</v>
      </c>
      <c r="AX10" s="671">
        <f ca="1">Ventes!AX22+Ventes!AX29+Ventes!AX36+Ventes!AX53+Ventes!AX60+Ventes!AX67</f>
        <v>373.82795374690596</v>
      </c>
      <c r="AY10" s="671">
        <f ca="1">Ventes!AY22+Ventes!AY29+Ventes!AY36+Ventes!AY53+Ventes!AY60+Ventes!AY67</f>
        <v>378.88381059535516</v>
      </c>
      <c r="AZ10" s="671">
        <f ca="1">Ventes!AZ22+Ventes!AZ29+Ventes!AZ36+Ventes!AZ53+Ventes!AZ60+Ventes!AZ67</f>
        <v>383.90799160083884</v>
      </c>
      <c r="BA10" s="671">
        <f ca="1">Ventes!BA22+Ventes!BA29+Ventes!BA36+Ventes!BA53+Ventes!BA60+Ventes!BA67</f>
        <v>390.57192251315166</v>
      </c>
      <c r="BB10" s="671">
        <f ca="1">Ventes!BB22+Ventes!BB29+Ventes!BB36+Ventes!BB53+Ventes!BB60+Ventes!BB67</f>
        <v>397.1858718745633</v>
      </c>
      <c r="BC10" s="671">
        <f ca="1">Ventes!BC22+Ventes!BC29+Ventes!BC36+Ventes!BC53+Ventes!BC60+Ventes!BC67</f>
        <v>403.75017753093368</v>
      </c>
      <c r="BD10" s="671">
        <f ca="1">Ventes!BD22+Ventes!BD29+Ventes!BD36+Ventes!BD53+Ventes!BD60+Ventes!BD67</f>
        <v>410.26517794377531</v>
      </c>
      <c r="BE10" s="671">
        <f ca="1">Ventes!BE22+Ventes!BE29+Ventes!BE36+Ventes!BE53+Ventes!BE60+Ventes!BE67</f>
        <v>416.7312120587128</v>
      </c>
      <c r="BF10" s="671">
        <f ca="1">Ventes!BF22+Ventes!BF29+Ventes!BF36+Ventes!BF53+Ventes!BF60+Ventes!BF67</f>
        <v>423.52642219286849</v>
      </c>
      <c r="BG10" s="671">
        <f ca="1">Ventes!BG22+Ventes!BG29+Ventes!BG36+Ventes!BG53+Ventes!BG60+Ventes!BG67</f>
        <v>430.27208572320933</v>
      </c>
      <c r="BH10" s="671">
        <f ca="1">Ventes!BH22+Ventes!BH29+Ventes!BH36+Ventes!BH53+Ventes!BH60+Ventes!BH67</f>
        <v>439.96860956781012</v>
      </c>
      <c r="BI10" s="671">
        <f ca="1">Ventes!BI22+Ventes!BI29+Ventes!BI36+Ventes!BI53+Ventes!BI60+Ventes!BI67</f>
        <v>449.58699717348668</v>
      </c>
      <c r="BJ10" s="671">
        <f ca="1">Ventes!BJ22+Ventes!BJ29+Ventes!BJ36+Ventes!BJ53+Ventes!BJ60+Ventes!BJ67</f>
        <v>465.12804844078175</v>
      </c>
      <c r="BK10" s="671">
        <f ca="1">Ventes!BK22+Ventes!BK29+Ventes!BK36+Ventes!BK53+Ventes!BK60+Ventes!BK67</f>
        <v>486.5337526105543</v>
      </c>
      <c r="BL10" s="671">
        <f ca="1">Ventes!BL22+Ventes!BL29+Ventes!BL36+Ventes!BL53+Ventes!BL60+Ventes!BL67</f>
        <v>507.74688824666868</v>
      </c>
      <c r="BM10" s="671">
        <f ca="1">Ventes!BM22+Ventes!BM29+Ventes!BM36+Ventes!BM53+Ventes!BM60+Ventes!BM67</f>
        <v>529.75564017234342</v>
      </c>
      <c r="BN10" s="671">
        <f ca="1">Ventes!BN22+Ventes!BN29+Ventes!BN36+Ventes!BN53+Ventes!BN60+Ventes!BN67</f>
        <v>551.56683083507335</v>
      </c>
      <c r="BO10" s="671">
        <f ca="1">Ventes!BO22+Ventes!BO29+Ventes!BO36+Ventes!BO53+Ventes!BO60+Ventes!BO67</f>
        <v>573.18286850769516</v>
      </c>
      <c r="BP10" s="671">
        <f ca="1">Ventes!BP22+Ventes!BP29+Ventes!BP36+Ventes!BP53+Ventes!BP60+Ventes!BP67</f>
        <v>594.60612189442554</v>
      </c>
      <c r="BQ10" s="671">
        <f ca="1">Ventes!BQ22+Ventes!BQ29+Ventes!BQ36+Ventes!BQ53+Ventes!BQ60+Ventes!BQ67</f>
        <v>615.83892094096018</v>
      </c>
      <c r="BR10" s="671">
        <f ca="1">Ventes!BR22+Ventes!BR29+Ventes!BR36+Ventes!BR53+Ventes!BR60+Ventes!BR67</f>
        <v>636.81557117260775</v>
      </c>
      <c r="BS10" s="671">
        <f ca="1">Ventes!BS22+Ventes!BS29+Ventes!BS36+Ventes!BS53+Ventes!BS60+Ventes!BS67</f>
        <v>657.60104251502969</v>
      </c>
      <c r="BT10" s="671">
        <f ca="1">Ventes!BT22+Ventes!BT29+Ventes!BT36+Ventes!BT53+Ventes!BT60+Ventes!BT67</f>
        <v>678.19758027132946</v>
      </c>
      <c r="BU10" s="671">
        <f ca="1">Ventes!BU22+Ventes!BU29+Ventes!BU36+Ventes!BU53+Ventes!BU60+Ventes!BU67</f>
        <v>698.60739746024933</v>
      </c>
      <c r="BV10" s="671">
        <f ca="1">Ventes!BV22+Ventes!BV29+Ventes!BV36+Ventes!BV53+Ventes!BV60+Ventes!BV67</f>
        <v>718.83267535315474</v>
      </c>
      <c r="BW10" s="671">
        <f ca="1">Ventes!BW22+Ventes!BW29+Ventes!BW36+Ventes!BW53+Ventes!BW60+Ventes!BW67</f>
        <v>738.8755640011243</v>
      </c>
      <c r="BX10" s="671">
        <f ca="1">Ventes!BX22+Ventes!BX29+Ventes!BX36+Ventes!BX53+Ventes!BX60+Ventes!BX67</f>
        <v>758.73818275234021</v>
      </c>
      <c r="BY10" s="671">
        <f ca="1">Ventes!BY22+Ventes!BY29+Ventes!BY36+Ventes!BY53+Ventes!BY60+Ventes!BY67</f>
        <v>805.16485417726801</v>
      </c>
      <c r="BZ10" s="671">
        <f ca="1">Ventes!BZ22+Ventes!BZ29+Ventes!BZ36+Ventes!BZ53+Ventes!BZ60+Ventes!BZ67</f>
        <v>854.15199331616782</v>
      </c>
      <c r="CA10" s="671">
        <f ca="1">Ventes!CA22+Ventes!CA29+Ventes!CA36+Ventes!CA53+Ventes!CA60+Ventes!CA67</f>
        <v>902.67540848967974</v>
      </c>
      <c r="CB10" s="671">
        <f ca="1">Ventes!CB22+Ventes!CB29+Ventes!CB36+Ventes!CB53+Ventes!CB60+Ventes!CB67</f>
        <v>950.74075186774473</v>
      </c>
      <c r="CC10" s="672">
        <f ca="1">Ventes!CC22+Ventes!CC29+Ventes!CC36+Ventes!CC53+Ventes!CC60+Ventes!CC67</f>
        <v>998.35359177885368</v>
      </c>
    </row>
    <row r="11" spans="1:81" ht="15.75" customHeight="1">
      <c r="A11" s="40" t="s">
        <v>84</v>
      </c>
      <c r="B11" s="10"/>
      <c r="C11" s="673">
        <f>Ventes!C23+Ventes!C30+Ventes!C37+Ventes!C54+Ventes!C61+Ventes!C68</f>
        <v>0</v>
      </c>
      <c r="D11" s="674">
        <f>Ventes!D23+Ventes!D30+Ventes!D37+Ventes!D54+Ventes!D61+Ventes!D68</f>
        <v>0</v>
      </c>
      <c r="E11" s="674">
        <f>Ventes!E23+Ventes!E30+Ventes!E37+Ventes!E54+Ventes!E61+Ventes!E68</f>
        <v>0</v>
      </c>
      <c r="F11" s="674">
        <f>Ventes!F23+Ventes!F30+Ventes!F37+Ventes!F54+Ventes!F61+Ventes!F68</f>
        <v>0</v>
      </c>
      <c r="G11" s="674">
        <f>Ventes!G23+Ventes!G30+Ventes!G37+Ventes!G54+Ventes!G61+Ventes!G68</f>
        <v>0</v>
      </c>
      <c r="H11" s="674">
        <f>Ventes!H23+Ventes!H30+Ventes!H37+Ventes!H54+Ventes!H61+Ventes!H68</f>
        <v>0</v>
      </c>
      <c r="I11" s="675">
        <f>Ventes!I23+Ventes!I30+Ventes!I37+Ventes!I54+Ventes!I61+Ventes!I68</f>
        <v>0</v>
      </c>
      <c r="J11" s="674">
        <f>Ventes!J23+Ventes!J30+Ventes!J37+Ventes!J54+Ventes!J61+Ventes!J68</f>
        <v>0</v>
      </c>
      <c r="K11" s="674">
        <f ca="1">Ventes!K23+Ventes!K30+Ventes!K37+Ventes!K54+Ventes!K61+Ventes!K68</f>
        <v>0</v>
      </c>
      <c r="L11" s="674">
        <f ca="1">Ventes!L23+Ventes!L30+Ventes!L37+Ventes!L54+Ventes!L61+Ventes!L68</f>
        <v>0</v>
      </c>
      <c r="M11" s="674">
        <f ca="1">Ventes!M23+Ventes!M30+Ventes!M37+Ventes!M54+Ventes!M61+Ventes!M68</f>
        <v>0</v>
      </c>
      <c r="N11" s="674">
        <f ca="1">Ventes!N23+Ventes!N30+Ventes!N37+Ventes!N54+Ventes!N61+Ventes!N68</f>
        <v>0</v>
      </c>
      <c r="O11" s="674">
        <f ca="1">Ventes!O23+Ventes!O30+Ventes!O37+Ventes!O54+Ventes!O61+Ventes!O68</f>
        <v>0</v>
      </c>
      <c r="P11" s="674">
        <f ca="1">Ventes!P23+Ventes!P30+Ventes!P37+Ventes!P54+Ventes!P61+Ventes!P68</f>
        <v>0</v>
      </c>
      <c r="Q11" s="674">
        <f ca="1">Ventes!Q23+Ventes!Q30+Ventes!Q37+Ventes!Q54+Ventes!Q61+Ventes!Q68</f>
        <v>0</v>
      </c>
      <c r="R11" s="674">
        <f ca="1">Ventes!R23+Ventes!R30+Ventes!R37+Ventes!R54+Ventes!R61+Ventes!R68</f>
        <v>0</v>
      </c>
      <c r="S11" s="674">
        <f ca="1">Ventes!S23+Ventes!S30+Ventes!S37+Ventes!S54+Ventes!S61+Ventes!S68</f>
        <v>0</v>
      </c>
      <c r="T11" s="674">
        <f ca="1">Ventes!T23+Ventes!T30+Ventes!T37+Ventes!T54+Ventes!T61+Ventes!T68</f>
        <v>0</v>
      </c>
      <c r="U11" s="674">
        <f ca="1">Ventes!U23+Ventes!U30+Ventes!U37+Ventes!U54+Ventes!U61+Ventes!U68</f>
        <v>0</v>
      </c>
      <c r="V11" s="674">
        <f ca="1">Ventes!V23+Ventes!V30+Ventes!V37+Ventes!V54+Ventes!V61+Ventes!V68</f>
        <v>0</v>
      </c>
      <c r="W11" s="674">
        <f ca="1">Ventes!W23+Ventes!W30+Ventes!W37+Ventes!W54+Ventes!W61+Ventes!W68</f>
        <v>0</v>
      </c>
      <c r="X11" s="674">
        <f ca="1">Ventes!X23+Ventes!X30+Ventes!X37+Ventes!X54+Ventes!X61+Ventes!X68</f>
        <v>0</v>
      </c>
      <c r="Y11" s="674">
        <f ca="1">Ventes!Y23+Ventes!Y30+Ventes!Y37+Ventes!Y54+Ventes!Y61+Ventes!Y68</f>
        <v>0</v>
      </c>
      <c r="Z11" s="674">
        <f ca="1">Ventes!Z23+Ventes!Z30+Ventes!Z37+Ventes!Z54+Ventes!Z61+Ventes!Z68</f>
        <v>0</v>
      </c>
      <c r="AA11" s="674">
        <f ca="1">Ventes!AA23+Ventes!AA30+Ventes!AA37+Ventes!AA54+Ventes!AA61+Ventes!AA68</f>
        <v>0</v>
      </c>
      <c r="AB11" s="674">
        <f ca="1">Ventes!AB23+Ventes!AB30+Ventes!AB37+Ventes!AB54+Ventes!AB61+Ventes!AB68</f>
        <v>0</v>
      </c>
      <c r="AC11" s="674">
        <f ca="1">Ventes!AC23+Ventes!AC30+Ventes!AC37+Ventes!AC54+Ventes!AC61+Ventes!AC68</f>
        <v>0</v>
      </c>
      <c r="AD11" s="674">
        <f ca="1">Ventes!AD23+Ventes!AD30+Ventes!AD37+Ventes!AD54+Ventes!AD61+Ventes!AD68</f>
        <v>0</v>
      </c>
      <c r="AE11" s="674">
        <f ca="1">Ventes!AE23+Ventes!AE30+Ventes!AE37+Ventes!AE54+Ventes!AE61+Ventes!AE68</f>
        <v>0</v>
      </c>
      <c r="AF11" s="674">
        <f ca="1">Ventes!AF23+Ventes!AF30+Ventes!AF37+Ventes!AF54+Ventes!AF61+Ventes!AF68</f>
        <v>0</v>
      </c>
      <c r="AG11" s="674">
        <f ca="1">Ventes!AG23+Ventes!AG30+Ventes!AG37+Ventes!AG54+Ventes!AG61+Ventes!AG68</f>
        <v>0</v>
      </c>
      <c r="AH11" s="674">
        <f ca="1">Ventes!AH23+Ventes!AH30+Ventes!AH37+Ventes!AH54+Ventes!AH61+Ventes!AH68</f>
        <v>0</v>
      </c>
      <c r="AI11" s="674">
        <f ca="1">Ventes!AI23+Ventes!AI30+Ventes!AI37+Ventes!AI54+Ventes!AI61+Ventes!AI68</f>
        <v>0</v>
      </c>
      <c r="AJ11" s="674">
        <f ca="1">Ventes!AJ23+Ventes!AJ30+Ventes!AJ37+Ventes!AJ54+Ventes!AJ61+Ventes!AJ68</f>
        <v>0</v>
      </c>
      <c r="AK11" s="674">
        <f ca="1">Ventes!AK23+Ventes!AK30+Ventes!AK37+Ventes!AK54+Ventes!AK61+Ventes!AK68</f>
        <v>0</v>
      </c>
      <c r="AL11" s="674">
        <f ca="1">Ventes!AL23+Ventes!AL30+Ventes!AL37+Ventes!AL54+Ventes!AL61+Ventes!AL68</f>
        <v>0</v>
      </c>
      <c r="AM11" s="674">
        <f ca="1">Ventes!AM23+Ventes!AM30+Ventes!AM37+Ventes!AM54+Ventes!AM61+Ventes!AM68</f>
        <v>0</v>
      </c>
      <c r="AN11" s="674">
        <f ca="1">Ventes!AN23+Ventes!AN30+Ventes!AN37+Ventes!AN54+Ventes!AN61+Ventes!AN68</f>
        <v>0</v>
      </c>
      <c r="AO11" s="674">
        <f ca="1">Ventes!AO23+Ventes!AO30+Ventes!AO37+Ventes!AO54+Ventes!AO61+Ventes!AO68</f>
        <v>0</v>
      </c>
      <c r="AP11" s="674">
        <f ca="1">Ventes!AP23+Ventes!AP30+Ventes!AP37+Ventes!AP54+Ventes!AP61+Ventes!AP68</f>
        <v>0</v>
      </c>
      <c r="AQ11" s="674">
        <f ca="1">Ventes!AQ23+Ventes!AQ30+Ventes!AQ37+Ventes!AQ54+Ventes!AQ61+Ventes!AQ68</f>
        <v>0</v>
      </c>
      <c r="AR11" s="674">
        <f ca="1">Ventes!AR23+Ventes!AR30+Ventes!AR37+Ventes!AR54+Ventes!AR61+Ventes!AR68</f>
        <v>0</v>
      </c>
      <c r="AS11" s="674">
        <f ca="1">Ventes!AS23+Ventes!AS30+Ventes!AS37+Ventes!AS54+Ventes!AS61+Ventes!AS68</f>
        <v>0</v>
      </c>
      <c r="AT11" s="674">
        <f ca="1">Ventes!AT23+Ventes!AT30+Ventes!AT37+Ventes!AT54+Ventes!AT61+Ventes!AT68</f>
        <v>0</v>
      </c>
      <c r="AU11" s="674">
        <f ca="1">Ventes!AU23+Ventes!AU30+Ventes!AU37+Ventes!AU54+Ventes!AU61+Ventes!AU68</f>
        <v>0</v>
      </c>
      <c r="AV11" s="674">
        <f ca="1">Ventes!AV23+Ventes!AV30+Ventes!AV37+Ventes!AV54+Ventes!AV61+Ventes!AV68</f>
        <v>0</v>
      </c>
      <c r="AW11" s="674">
        <f ca="1">Ventes!AW23+Ventes!AW30+Ventes!AW37+Ventes!AW54+Ventes!AW61+Ventes!AW68</f>
        <v>0</v>
      </c>
      <c r="AX11" s="674">
        <f ca="1">Ventes!AX23+Ventes!AX30+Ventes!AX37+Ventes!AX54+Ventes!AX61+Ventes!AX68</f>
        <v>0</v>
      </c>
      <c r="AY11" s="674">
        <f ca="1">Ventes!AY23+Ventes!AY30+Ventes!AY37+Ventes!AY54+Ventes!AY61+Ventes!AY68</f>
        <v>0</v>
      </c>
      <c r="AZ11" s="674">
        <f ca="1">Ventes!AZ23+Ventes!AZ30+Ventes!AZ37+Ventes!AZ54+Ventes!AZ61+Ventes!AZ68</f>
        <v>0</v>
      </c>
      <c r="BA11" s="674">
        <f ca="1">Ventes!BA23+Ventes!BA30+Ventes!BA37+Ventes!BA54+Ventes!BA61+Ventes!BA68</f>
        <v>0</v>
      </c>
      <c r="BB11" s="674">
        <f ca="1">Ventes!BB23+Ventes!BB30+Ventes!BB37+Ventes!BB54+Ventes!BB61+Ventes!BB68</f>
        <v>0</v>
      </c>
      <c r="BC11" s="674">
        <f ca="1">Ventes!BC23+Ventes!BC30+Ventes!BC37+Ventes!BC54+Ventes!BC61+Ventes!BC68</f>
        <v>0</v>
      </c>
      <c r="BD11" s="674">
        <f ca="1">Ventes!BD23+Ventes!BD30+Ventes!BD37+Ventes!BD54+Ventes!BD61+Ventes!BD68</f>
        <v>0</v>
      </c>
      <c r="BE11" s="674">
        <f ca="1">Ventes!BE23+Ventes!BE30+Ventes!BE37+Ventes!BE54+Ventes!BE61+Ventes!BE68</f>
        <v>0</v>
      </c>
      <c r="BF11" s="674">
        <f ca="1">Ventes!BF23+Ventes!BF30+Ventes!BF37+Ventes!BF54+Ventes!BF61+Ventes!BF68</f>
        <v>0</v>
      </c>
      <c r="BG11" s="674">
        <f ca="1">Ventes!BG23+Ventes!BG30+Ventes!BG37+Ventes!BG54+Ventes!BG61+Ventes!BG68</f>
        <v>0</v>
      </c>
      <c r="BH11" s="674">
        <f ca="1">Ventes!BH23+Ventes!BH30+Ventes!BH37+Ventes!BH54+Ventes!BH61+Ventes!BH68</f>
        <v>2.9999999999999991</v>
      </c>
      <c r="BI11" s="674">
        <f ca="1">Ventes!BI23+Ventes!BI30+Ventes!BI37+Ventes!BI54+Ventes!BI61+Ventes!BI68</f>
        <v>5.9696999999999978</v>
      </c>
      <c r="BJ11" s="674">
        <f ca="1">Ventes!BJ23+Ventes!BJ30+Ventes!BJ37+Ventes!BJ54+Ventes!BJ61+Ventes!BJ68</f>
        <v>8.9095142999999997</v>
      </c>
      <c r="BK11" s="674">
        <f ca="1">Ventes!BK23+Ventes!BK30+Ventes!BK37+Ventes!BK54+Ventes!BK61+Ventes!BK68</f>
        <v>11.819849780699997</v>
      </c>
      <c r="BL11" s="674">
        <f ca="1">Ventes!BL23+Ventes!BL30+Ventes!BL37+Ventes!BL54+Ventes!BL61+Ventes!BL68</f>
        <v>14.7011060633043</v>
      </c>
      <c r="BM11" s="674">
        <f ca="1">Ventes!BM23+Ventes!BM30+Ventes!BM37+Ventes!BM54+Ventes!BM61+Ventes!BM68</f>
        <v>54.658524532014795</v>
      </c>
      <c r="BN11" s="674">
        <f ca="1">Ventes!BN23+Ventes!BN30+Ventes!BN37+Ventes!BN54+Ventes!BN61+Ventes!BN68</f>
        <v>94.212882913263329</v>
      </c>
      <c r="BO11" s="674">
        <f ca="1">Ventes!BO23+Ventes!BO30+Ventes!BO37+Ventes!BO54+Ventes!BO61+Ventes!BO68</f>
        <v>133.36968415059823</v>
      </c>
      <c r="BP11" s="674">
        <f ca="1">Ventes!BP23+Ventes!BP30+Ventes!BP37+Ventes!BP54+Ventes!BP61+Ventes!BP68</f>
        <v>172.13433276613171</v>
      </c>
      <c r="BQ11" s="674">
        <f ca="1">Ventes!BQ23+Ventes!BQ30+Ventes!BQ37+Ventes!BQ54+Ventes!BQ61+Ventes!BQ68</f>
        <v>210.51213697872944</v>
      </c>
      <c r="BR11" s="674">
        <f ca="1">Ventes!BR23+Ventes!BR30+Ventes!BR37+Ventes!BR54+Ventes!BR61+Ventes!BR68</f>
        <v>248.48442710231006</v>
      </c>
      <c r="BS11" s="674">
        <f ca="1">Ventes!BS23+Ventes!BS30+Ventes!BS37+Ventes!BS54+Ventes!BS61+Ventes!BS68</f>
        <v>289.07471894015805</v>
      </c>
      <c r="BT11" s="674">
        <f ca="1">Ventes!BT23+Ventes!BT30+Ventes!BT37+Ventes!BT54+Ventes!BT61+Ventes!BT68</f>
        <v>329.25723404330358</v>
      </c>
      <c r="BU11" s="674">
        <f ca="1">Ventes!BU23+Ventes!BU30+Ventes!BU37+Ventes!BU54+Ventes!BU61+Ventes!BU68</f>
        <v>369.03711278611985</v>
      </c>
      <c r="BV11" s="674">
        <f ca="1">Ventes!BV23+Ventes!BV30+Ventes!BV37+Ventes!BV54+Ventes!BV61+Ventes!BV68</f>
        <v>408.41941846429705</v>
      </c>
      <c r="BW11" s="674">
        <f ca="1">Ventes!BW23+Ventes!BW30+Ventes!BW37+Ventes!BW54+Ventes!BW61+Ventes!BW68</f>
        <v>447.40913860825407</v>
      </c>
      <c r="BX11" s="674">
        <f ca="1">Ventes!BX23+Ventes!BX30+Ventes!BX37+Ventes!BX54+Ventes!BX61+Ventes!BX68</f>
        <v>492.01118627199332</v>
      </c>
      <c r="BY11" s="674">
        <f ca="1">Ventes!BY23+Ventes!BY30+Ventes!BY37+Ventes!BY54+Ventes!BY61+Ventes!BY68</f>
        <v>552.54881926598375</v>
      </c>
      <c r="BZ11" s="674">
        <f ca="1">Ventes!BZ23+Ventes!BZ30+Ventes!BZ37+Ventes!BZ54+Ventes!BZ61+Ventes!BZ68</f>
        <v>612.48089779080465</v>
      </c>
      <c r="CA11" s="674">
        <f ca="1">Ventes!CA23+Ventes!CA30+Ventes!CA37+Ventes!CA54+Ventes!CA61+Ventes!CA68</f>
        <v>671.81502539544306</v>
      </c>
      <c r="CB11" s="674">
        <f ca="1">Ventes!CB23+Ventes!CB30+Ventes!CB37+Ventes!CB54+Ventes!CB61+Ventes!CB68</f>
        <v>736.55869199143956</v>
      </c>
      <c r="CC11" s="675">
        <f ca="1">Ventes!CC23+Ventes!CC30+Ventes!CC37+Ventes!CC54+Ventes!CC61+Ventes!CC68</f>
        <v>800.65807578414024</v>
      </c>
    </row>
    <row r="12" spans="1:81" ht="15.75" customHeight="1">
      <c r="A12" s="40" t="s">
        <v>85</v>
      </c>
      <c r="B12" s="10"/>
      <c r="C12" s="673">
        <f>Ventes!C24+Ventes!C38+Ventes!C55+Ventes!C62+Ventes!C69</f>
        <v>0</v>
      </c>
      <c r="D12" s="674">
        <f>Ventes!D24+Ventes!D38+Ventes!D55+Ventes!D62+Ventes!D69</f>
        <v>0</v>
      </c>
      <c r="E12" s="674">
        <f>Ventes!E24+Ventes!E38+Ventes!E55+Ventes!E62+Ventes!E69</f>
        <v>0</v>
      </c>
      <c r="F12" s="674">
        <f>Ventes!F24+Ventes!F38+Ventes!F55+Ventes!F62+Ventes!F69</f>
        <v>0</v>
      </c>
      <c r="G12" s="674">
        <f>Ventes!G24+Ventes!G38+Ventes!G55+Ventes!G62+Ventes!G69</f>
        <v>0</v>
      </c>
      <c r="H12" s="674">
        <f>Ventes!H24+Ventes!H38+Ventes!H55+Ventes!H62+Ventes!H69</f>
        <v>0</v>
      </c>
      <c r="I12" s="675">
        <f>Ventes!I24+Ventes!I38+Ventes!I55+Ventes!I62+Ventes!I69</f>
        <v>0</v>
      </c>
      <c r="J12" s="674">
        <f>Ventes!J24+Ventes!J38+Ventes!J55+Ventes!J62+Ventes!J69</f>
        <v>0</v>
      </c>
      <c r="K12" s="674">
        <f ca="1">Ventes!K24+Ventes!K38+Ventes!K55+Ventes!K62+Ventes!K69</f>
        <v>0</v>
      </c>
      <c r="L12" s="674">
        <f ca="1">Ventes!L24+Ventes!L38+Ventes!L55+Ventes!L62+Ventes!L69</f>
        <v>0</v>
      </c>
      <c r="M12" s="674">
        <f ca="1">Ventes!M24+Ventes!M38+Ventes!M55+Ventes!M62+Ventes!M69</f>
        <v>0</v>
      </c>
      <c r="N12" s="674">
        <f ca="1">Ventes!N24+Ventes!N38+Ventes!N55+Ventes!N62+Ventes!N69</f>
        <v>0</v>
      </c>
      <c r="O12" s="674">
        <f ca="1">Ventes!O24+Ventes!O38+Ventes!O55+Ventes!O62+Ventes!O69</f>
        <v>0</v>
      </c>
      <c r="P12" s="674">
        <f ca="1">Ventes!P24+Ventes!P38+Ventes!P55+Ventes!P62+Ventes!P69</f>
        <v>0</v>
      </c>
      <c r="Q12" s="674">
        <f ca="1">Ventes!Q24+Ventes!Q38+Ventes!Q55+Ventes!Q62+Ventes!Q69</f>
        <v>0</v>
      </c>
      <c r="R12" s="674">
        <f ca="1">Ventes!R24+Ventes!R38+Ventes!R55+Ventes!R62+Ventes!R69</f>
        <v>0</v>
      </c>
      <c r="S12" s="674">
        <f ca="1">Ventes!S24+Ventes!S38+Ventes!S55+Ventes!S62+Ventes!S69</f>
        <v>0</v>
      </c>
      <c r="T12" s="674">
        <f ca="1">Ventes!T24+Ventes!T38+Ventes!T55+Ventes!T62+Ventes!T69</f>
        <v>0</v>
      </c>
      <c r="U12" s="674">
        <f ca="1">Ventes!U24+Ventes!U38+Ventes!U55+Ventes!U62+Ventes!U69</f>
        <v>0</v>
      </c>
      <c r="V12" s="674">
        <f ca="1">Ventes!V24+Ventes!V38+Ventes!V55+Ventes!V62+Ventes!V69</f>
        <v>0</v>
      </c>
      <c r="W12" s="674">
        <f ca="1">Ventes!W24+Ventes!W38+Ventes!W55+Ventes!W62+Ventes!W69</f>
        <v>0</v>
      </c>
      <c r="X12" s="674">
        <f ca="1">Ventes!X24+Ventes!X38+Ventes!X55+Ventes!X62+Ventes!X69</f>
        <v>0</v>
      </c>
      <c r="Y12" s="674">
        <f ca="1">Ventes!Y24+Ventes!Y38+Ventes!Y55+Ventes!Y62+Ventes!Y69</f>
        <v>0</v>
      </c>
      <c r="Z12" s="674">
        <f ca="1">Ventes!Z24+Ventes!Z38+Ventes!Z55+Ventes!Z62+Ventes!Z69</f>
        <v>0</v>
      </c>
      <c r="AA12" s="674">
        <f ca="1">Ventes!AA24+Ventes!AA38+Ventes!AA55+Ventes!AA62+Ventes!AA69</f>
        <v>0</v>
      </c>
      <c r="AB12" s="674">
        <f ca="1">Ventes!AB24+Ventes!AB38+Ventes!AB55+Ventes!AB62+Ventes!AB69</f>
        <v>0</v>
      </c>
      <c r="AC12" s="674">
        <f ca="1">Ventes!AC24+Ventes!AC38+Ventes!AC55+Ventes!AC62+Ventes!AC69</f>
        <v>0</v>
      </c>
      <c r="AD12" s="674">
        <f ca="1">Ventes!AD24+Ventes!AD38+Ventes!AD55+Ventes!AD62+Ventes!AD69</f>
        <v>0</v>
      </c>
      <c r="AE12" s="674">
        <f ca="1">Ventes!AE24+Ventes!AE38+Ventes!AE55+Ventes!AE62+Ventes!AE69</f>
        <v>0</v>
      </c>
      <c r="AF12" s="674">
        <f ca="1">Ventes!AF24+Ventes!AF38+Ventes!AF55+Ventes!AF62+Ventes!AF69</f>
        <v>0</v>
      </c>
      <c r="AG12" s="674">
        <f ca="1">Ventes!AG24+Ventes!AG38+Ventes!AG55+Ventes!AG62+Ventes!AG69</f>
        <v>0</v>
      </c>
      <c r="AH12" s="674">
        <f ca="1">Ventes!AH24+Ventes!AH38+Ventes!AH55+Ventes!AH62+Ventes!AH69</f>
        <v>0</v>
      </c>
      <c r="AI12" s="674">
        <f ca="1">Ventes!AI24+Ventes!AI38+Ventes!AI55+Ventes!AI62+Ventes!AI69</f>
        <v>0</v>
      </c>
      <c r="AJ12" s="674">
        <f ca="1">Ventes!AJ24+Ventes!AJ38+Ventes!AJ55+Ventes!AJ62+Ventes!AJ69</f>
        <v>0</v>
      </c>
      <c r="AK12" s="674">
        <f ca="1">Ventes!AK24+Ventes!AK38+Ventes!AK55+Ventes!AK62+Ventes!AK69</f>
        <v>0</v>
      </c>
      <c r="AL12" s="674">
        <f ca="1">Ventes!AL24+Ventes!AL38+Ventes!AL55+Ventes!AL62+Ventes!AL69</f>
        <v>0</v>
      </c>
      <c r="AM12" s="674">
        <f ca="1">Ventes!AM24+Ventes!AM38+Ventes!AM55+Ventes!AM62+Ventes!AM69</f>
        <v>0</v>
      </c>
      <c r="AN12" s="674">
        <f ca="1">Ventes!AN24+Ventes!AN38+Ventes!AN55+Ventes!AN62+Ventes!AN69</f>
        <v>0</v>
      </c>
      <c r="AO12" s="674">
        <f ca="1">Ventes!AO24+Ventes!AO38+Ventes!AO55+Ventes!AO62+Ventes!AO69</f>
        <v>0</v>
      </c>
      <c r="AP12" s="674">
        <f ca="1">Ventes!AP24+Ventes!AP38+Ventes!AP55+Ventes!AP62+Ventes!AP69</f>
        <v>0</v>
      </c>
      <c r="AQ12" s="674">
        <f ca="1">Ventes!AQ24+Ventes!AQ38+Ventes!AQ55+Ventes!AQ62+Ventes!AQ69</f>
        <v>0</v>
      </c>
      <c r="AR12" s="674">
        <f ca="1">Ventes!AR24+Ventes!AR38+Ventes!AR55+Ventes!AR62+Ventes!AR69</f>
        <v>0</v>
      </c>
      <c r="AS12" s="674">
        <f ca="1">Ventes!AS24+Ventes!AS38+Ventes!AS55+Ventes!AS62+Ventes!AS69</f>
        <v>0</v>
      </c>
      <c r="AT12" s="674">
        <f ca="1">Ventes!AT24+Ventes!AT38+Ventes!AT55+Ventes!AT62+Ventes!AT69</f>
        <v>0</v>
      </c>
      <c r="AU12" s="674">
        <f ca="1">Ventes!AU24+Ventes!AU38+Ventes!AU55+Ventes!AU62+Ventes!AU69</f>
        <v>0</v>
      </c>
      <c r="AV12" s="674">
        <f ca="1">Ventes!AV24+Ventes!AV38+Ventes!AV55+Ventes!AV62+Ventes!AV69</f>
        <v>0</v>
      </c>
      <c r="AW12" s="674">
        <f ca="1">Ventes!AW24+Ventes!AW38+Ventes!AW55+Ventes!AW62+Ventes!AW69</f>
        <v>0</v>
      </c>
      <c r="AX12" s="674">
        <f ca="1">Ventes!AX24+Ventes!AX38+Ventes!AX55+Ventes!AX62+Ventes!AX69</f>
        <v>0</v>
      </c>
      <c r="AY12" s="674">
        <f ca="1">Ventes!AY24+Ventes!AY38+Ventes!AY55+Ventes!AY62+Ventes!AY69</f>
        <v>0</v>
      </c>
      <c r="AZ12" s="674">
        <f ca="1">Ventes!AZ24+Ventes!AZ38+Ventes!AZ55+Ventes!AZ62+Ventes!AZ69</f>
        <v>0</v>
      </c>
      <c r="BA12" s="674">
        <f ca="1">Ventes!BA24+Ventes!BA38+Ventes!BA55+Ventes!BA62+Ventes!BA69</f>
        <v>0</v>
      </c>
      <c r="BB12" s="674">
        <f ca="1">Ventes!BB24+Ventes!BB38+Ventes!BB55+Ventes!BB62+Ventes!BB69</f>
        <v>0</v>
      </c>
      <c r="BC12" s="674">
        <f ca="1">Ventes!BC24+Ventes!BC38+Ventes!BC55+Ventes!BC62+Ventes!BC69</f>
        <v>0</v>
      </c>
      <c r="BD12" s="674">
        <f ca="1">Ventes!BD24+Ventes!BD38+Ventes!BD55+Ventes!BD62+Ventes!BD69</f>
        <v>0</v>
      </c>
      <c r="BE12" s="674">
        <f ca="1">Ventes!BE24+Ventes!BE38+Ventes!BE55+Ventes!BE62+Ventes!BE69</f>
        <v>0</v>
      </c>
      <c r="BF12" s="674">
        <f ca="1">Ventes!BF24+Ventes!BF38+Ventes!BF55+Ventes!BF62+Ventes!BF69</f>
        <v>0</v>
      </c>
      <c r="BG12" s="674">
        <f ca="1">Ventes!BG24+Ventes!BG38+Ventes!BG55+Ventes!BG62+Ventes!BG69</f>
        <v>0</v>
      </c>
      <c r="BH12" s="674">
        <f ca="1">Ventes!BH24+Ventes!BH38+Ventes!BH55+Ventes!BH62+Ventes!BH69</f>
        <v>0</v>
      </c>
      <c r="BI12" s="674">
        <f ca="1">Ventes!BI24+Ventes!BI38+Ventes!BI55+Ventes!BI62+Ventes!BI69</f>
        <v>0</v>
      </c>
      <c r="BJ12" s="674">
        <f ca="1">Ventes!BJ24+Ventes!BJ38+Ventes!BJ55+Ventes!BJ62+Ventes!BJ69</f>
        <v>0</v>
      </c>
      <c r="BK12" s="674">
        <f ca="1">Ventes!BK24+Ventes!BK38+Ventes!BK55+Ventes!BK62+Ventes!BK69</f>
        <v>0</v>
      </c>
      <c r="BL12" s="674">
        <f ca="1">Ventes!BL24+Ventes!BL38+Ventes!BL55+Ventes!BL62+Ventes!BL69</f>
        <v>0</v>
      </c>
      <c r="BM12" s="674">
        <f ca="1">Ventes!BM24+Ventes!BM38+Ventes!BM55+Ventes!BM62+Ventes!BM69</f>
        <v>0</v>
      </c>
      <c r="BN12" s="674">
        <f ca="1">Ventes!BN24+Ventes!BN38+Ventes!BN55+Ventes!BN62+Ventes!BN69</f>
        <v>0</v>
      </c>
      <c r="BO12" s="674">
        <f ca="1">Ventes!BO24+Ventes!BO38+Ventes!BO55+Ventes!BO62+Ventes!BO69</f>
        <v>0</v>
      </c>
      <c r="BP12" s="674">
        <f ca="1">Ventes!BP24+Ventes!BP38+Ventes!BP55+Ventes!BP62+Ventes!BP69</f>
        <v>0</v>
      </c>
      <c r="BQ12" s="674">
        <f ca="1">Ventes!BQ24+Ventes!BQ38+Ventes!BQ55+Ventes!BQ62+Ventes!BQ69</f>
        <v>0</v>
      </c>
      <c r="BR12" s="674">
        <f ca="1">Ventes!BR24+Ventes!BR38+Ventes!BR55+Ventes!BR62+Ventes!BR69</f>
        <v>0</v>
      </c>
      <c r="BS12" s="674">
        <f ca="1">Ventes!BS24+Ventes!BS38+Ventes!BS55+Ventes!BS62+Ventes!BS69</f>
        <v>0</v>
      </c>
      <c r="BT12" s="674">
        <f ca="1">Ventes!BT24+Ventes!BT38+Ventes!BT55+Ventes!BT62+Ventes!BT69</f>
        <v>0</v>
      </c>
      <c r="BU12" s="674">
        <f ca="1">Ventes!BU24+Ventes!BU38+Ventes!BU55+Ventes!BU62+Ventes!BU69</f>
        <v>1.8599999999999997</v>
      </c>
      <c r="BV12" s="674">
        <f ca="1">Ventes!BV24+Ventes!BV38+Ventes!BV55+Ventes!BV62+Ventes!BV69</f>
        <v>3.7039799999999996</v>
      </c>
      <c r="BW12" s="674">
        <f ca="1">Ventes!BW24+Ventes!BW38+Ventes!BW55+Ventes!BW62+Ventes!BW69</f>
        <v>5.5321364399999995</v>
      </c>
      <c r="BX12" s="674">
        <f ca="1">Ventes!BX24+Ventes!BX38+Ventes!BX55+Ventes!BX62+Ventes!BX69</f>
        <v>9.2046625963199986</v>
      </c>
      <c r="BY12" s="674">
        <f ca="1">Ventes!BY24+Ventes!BY38+Ventes!BY55+Ventes!BY62+Ventes!BY69</f>
        <v>56.004722017122745</v>
      </c>
      <c r="BZ12" s="674">
        <f ca="1">Ventes!BZ24+Ventes!BZ38+Ventes!BZ55+Ventes!BZ62+Ventes!BZ69</f>
        <v>102.39760509232576</v>
      </c>
      <c r="CA12" s="674">
        <f ca="1">Ventes!CA24+Ventes!CA38+Ventes!CA55+Ventes!CA62+Ventes!CA69</f>
        <v>148.38801746489059</v>
      </c>
      <c r="CB12" s="674">
        <f ca="1">Ventes!CB24+Ventes!CB38+Ventes!CB55+Ventes!CB62+Ventes!CB69</f>
        <v>193.9805961961589</v>
      </c>
      <c r="CC12" s="675">
        <f ca="1">Ventes!CC24+Ventes!CC38+Ventes!CC55+Ventes!CC62+Ventes!CC69</f>
        <v>239.17991093575927</v>
      </c>
    </row>
    <row r="13" spans="1:81" ht="15.75" customHeight="1">
      <c r="A13" s="40" t="s">
        <v>86</v>
      </c>
      <c r="B13" s="10"/>
      <c r="C13" s="673">
        <f>Ventes!C25+Ventes!C39+Ventes!C56+Ventes!C63+Ventes!C70</f>
        <v>0</v>
      </c>
      <c r="D13" s="674">
        <f>Ventes!D25+Ventes!D39+Ventes!D56+Ventes!D63+Ventes!D70</f>
        <v>0</v>
      </c>
      <c r="E13" s="674">
        <f>Ventes!E25+Ventes!E39+Ventes!E56+Ventes!E63+Ventes!E70</f>
        <v>0</v>
      </c>
      <c r="F13" s="674">
        <f>Ventes!F25+Ventes!F39+Ventes!F56+Ventes!F63+Ventes!F70</f>
        <v>0</v>
      </c>
      <c r="G13" s="674">
        <f>Ventes!G25+Ventes!G39+Ventes!G56+Ventes!G63+Ventes!G70</f>
        <v>0</v>
      </c>
      <c r="H13" s="674">
        <f>Ventes!H25+Ventes!H39+Ventes!H56+Ventes!H63+Ventes!H70</f>
        <v>0</v>
      </c>
      <c r="I13" s="675">
        <f>Ventes!I25+Ventes!I39+Ventes!I56+Ventes!I63+Ventes!I70</f>
        <v>0</v>
      </c>
      <c r="J13" s="674">
        <f>Ventes!J25+Ventes!J39+Ventes!J56+Ventes!J63+Ventes!J70</f>
        <v>0</v>
      </c>
      <c r="K13" s="674">
        <f ca="1">Ventes!K25+Ventes!K39+Ventes!K56+Ventes!K63+Ventes!K70</f>
        <v>0</v>
      </c>
      <c r="L13" s="674">
        <f ca="1">Ventes!L25+Ventes!L39+Ventes!L56+Ventes!L63+Ventes!L70</f>
        <v>0</v>
      </c>
      <c r="M13" s="674">
        <f ca="1">Ventes!M25+Ventes!M39+Ventes!M56+Ventes!M63+Ventes!M70</f>
        <v>0</v>
      </c>
      <c r="N13" s="674">
        <f ca="1">Ventes!N25+Ventes!N39+Ventes!N56+Ventes!N63+Ventes!N70</f>
        <v>0</v>
      </c>
      <c r="O13" s="674">
        <f ca="1">Ventes!O25+Ventes!O39+Ventes!O56+Ventes!O63+Ventes!O70</f>
        <v>0</v>
      </c>
      <c r="P13" s="674">
        <f ca="1">Ventes!P25+Ventes!P39+Ventes!P56+Ventes!P63+Ventes!P70</f>
        <v>0</v>
      </c>
      <c r="Q13" s="674">
        <f ca="1">Ventes!Q25+Ventes!Q39+Ventes!Q56+Ventes!Q63+Ventes!Q70</f>
        <v>0</v>
      </c>
      <c r="R13" s="674">
        <f ca="1">Ventes!R25+Ventes!R39+Ventes!R56+Ventes!R63+Ventes!R70</f>
        <v>0</v>
      </c>
      <c r="S13" s="674">
        <f ca="1">Ventes!S25+Ventes!S39+Ventes!S56+Ventes!S63+Ventes!S70</f>
        <v>0</v>
      </c>
      <c r="T13" s="674">
        <f ca="1">Ventes!T25+Ventes!T39+Ventes!T56+Ventes!T63+Ventes!T70</f>
        <v>0</v>
      </c>
      <c r="U13" s="674">
        <f ca="1">Ventes!U25+Ventes!U39+Ventes!U56+Ventes!U63+Ventes!U70</f>
        <v>0</v>
      </c>
      <c r="V13" s="674">
        <f ca="1">Ventes!V25+Ventes!V39+Ventes!V56+Ventes!V63+Ventes!V70</f>
        <v>0</v>
      </c>
      <c r="W13" s="674">
        <f ca="1">Ventes!W25+Ventes!W39+Ventes!W56+Ventes!W63+Ventes!W70</f>
        <v>0</v>
      </c>
      <c r="X13" s="674">
        <f ca="1">Ventes!X25+Ventes!X39+Ventes!X56+Ventes!X63+Ventes!X70</f>
        <v>0</v>
      </c>
      <c r="Y13" s="674">
        <f ca="1">Ventes!Y25+Ventes!Y39+Ventes!Y56+Ventes!Y63+Ventes!Y70</f>
        <v>0</v>
      </c>
      <c r="Z13" s="674">
        <f ca="1">Ventes!Z25+Ventes!Z39+Ventes!Z56+Ventes!Z63+Ventes!Z70</f>
        <v>0</v>
      </c>
      <c r="AA13" s="674">
        <f ca="1">Ventes!AA25+Ventes!AA39+Ventes!AA56+Ventes!AA63+Ventes!AA70</f>
        <v>0</v>
      </c>
      <c r="AB13" s="674">
        <f ca="1">Ventes!AB25+Ventes!AB39+Ventes!AB56+Ventes!AB63+Ventes!AB70</f>
        <v>0</v>
      </c>
      <c r="AC13" s="674">
        <f ca="1">Ventes!AC25+Ventes!AC39+Ventes!AC56+Ventes!AC63+Ventes!AC70</f>
        <v>0</v>
      </c>
      <c r="AD13" s="674">
        <f ca="1">Ventes!AD25+Ventes!AD39+Ventes!AD56+Ventes!AD63+Ventes!AD70</f>
        <v>0</v>
      </c>
      <c r="AE13" s="674">
        <f ca="1">Ventes!AE25+Ventes!AE39+Ventes!AE56+Ventes!AE63+Ventes!AE70</f>
        <v>0</v>
      </c>
      <c r="AF13" s="674">
        <f ca="1">Ventes!AF25+Ventes!AF39+Ventes!AF56+Ventes!AF63+Ventes!AF70</f>
        <v>0</v>
      </c>
      <c r="AG13" s="674">
        <f ca="1">Ventes!AG25+Ventes!AG39+Ventes!AG56+Ventes!AG63+Ventes!AG70</f>
        <v>0</v>
      </c>
      <c r="AH13" s="674">
        <f ca="1">Ventes!AH25+Ventes!AH39+Ventes!AH56+Ventes!AH63+Ventes!AH70</f>
        <v>0</v>
      </c>
      <c r="AI13" s="674">
        <f ca="1">Ventes!AI25+Ventes!AI39+Ventes!AI56+Ventes!AI63+Ventes!AI70</f>
        <v>0</v>
      </c>
      <c r="AJ13" s="674">
        <f ca="1">Ventes!AJ25+Ventes!AJ39+Ventes!AJ56+Ventes!AJ63+Ventes!AJ70</f>
        <v>0</v>
      </c>
      <c r="AK13" s="674">
        <f ca="1">Ventes!AK25+Ventes!AK39+Ventes!AK56+Ventes!AK63+Ventes!AK70</f>
        <v>0</v>
      </c>
      <c r="AL13" s="674">
        <f ca="1">Ventes!AL25+Ventes!AL39+Ventes!AL56+Ventes!AL63+Ventes!AL70</f>
        <v>0</v>
      </c>
      <c r="AM13" s="674">
        <f ca="1">Ventes!AM25+Ventes!AM39+Ventes!AM56+Ventes!AM63+Ventes!AM70</f>
        <v>0</v>
      </c>
      <c r="AN13" s="674">
        <f ca="1">Ventes!AN25+Ventes!AN39+Ventes!AN56+Ventes!AN63+Ventes!AN70</f>
        <v>0</v>
      </c>
      <c r="AO13" s="674">
        <f ca="1">Ventes!AO25+Ventes!AO39+Ventes!AO56+Ventes!AO63+Ventes!AO70</f>
        <v>0</v>
      </c>
      <c r="AP13" s="674">
        <f ca="1">Ventes!AP25+Ventes!AP39+Ventes!AP56+Ventes!AP63+Ventes!AP70</f>
        <v>0</v>
      </c>
      <c r="AQ13" s="674">
        <f ca="1">Ventes!AQ25+Ventes!AQ39+Ventes!AQ56+Ventes!AQ63+Ventes!AQ70</f>
        <v>0</v>
      </c>
      <c r="AR13" s="674">
        <f ca="1">Ventes!AR25+Ventes!AR39+Ventes!AR56+Ventes!AR63+Ventes!AR70</f>
        <v>0</v>
      </c>
      <c r="AS13" s="674">
        <f ca="1">Ventes!AS25+Ventes!AS39+Ventes!AS56+Ventes!AS63+Ventes!AS70</f>
        <v>0</v>
      </c>
      <c r="AT13" s="674">
        <f ca="1">Ventes!AT25+Ventes!AT39+Ventes!AT56+Ventes!AT63+Ventes!AT70</f>
        <v>0</v>
      </c>
      <c r="AU13" s="674">
        <f ca="1">Ventes!AU25+Ventes!AU39+Ventes!AU56+Ventes!AU63+Ventes!AU70</f>
        <v>0</v>
      </c>
      <c r="AV13" s="674">
        <f ca="1">Ventes!AV25+Ventes!AV39+Ventes!AV56+Ventes!AV63+Ventes!AV70</f>
        <v>0</v>
      </c>
      <c r="AW13" s="674">
        <f ca="1">Ventes!AW25+Ventes!AW39+Ventes!AW56+Ventes!AW63+Ventes!AW70</f>
        <v>0</v>
      </c>
      <c r="AX13" s="674">
        <f ca="1">Ventes!AX25+Ventes!AX39+Ventes!AX56+Ventes!AX63+Ventes!AX70</f>
        <v>0</v>
      </c>
      <c r="AY13" s="674">
        <f ca="1">Ventes!AY25+Ventes!AY39+Ventes!AY56+Ventes!AY63+Ventes!AY70</f>
        <v>0</v>
      </c>
      <c r="AZ13" s="674">
        <f ca="1">Ventes!AZ25+Ventes!AZ39+Ventes!AZ56+Ventes!AZ63+Ventes!AZ70</f>
        <v>0</v>
      </c>
      <c r="BA13" s="674">
        <f ca="1">Ventes!BA25+Ventes!BA39+Ventes!BA56+Ventes!BA63+Ventes!BA70</f>
        <v>0</v>
      </c>
      <c r="BB13" s="674">
        <f ca="1">Ventes!BB25+Ventes!BB39+Ventes!BB56+Ventes!BB63+Ventes!BB70</f>
        <v>0</v>
      </c>
      <c r="BC13" s="674">
        <f ca="1">Ventes!BC25+Ventes!BC39+Ventes!BC56+Ventes!BC63+Ventes!BC70</f>
        <v>0</v>
      </c>
      <c r="BD13" s="674">
        <f ca="1">Ventes!BD25+Ventes!BD39+Ventes!BD56+Ventes!BD63+Ventes!BD70</f>
        <v>0</v>
      </c>
      <c r="BE13" s="674">
        <f ca="1">Ventes!BE25+Ventes!BE39+Ventes!BE56+Ventes!BE63+Ventes!BE70</f>
        <v>0</v>
      </c>
      <c r="BF13" s="674">
        <f ca="1">Ventes!BF25+Ventes!BF39+Ventes!BF56+Ventes!BF63+Ventes!BF70</f>
        <v>0</v>
      </c>
      <c r="BG13" s="674">
        <f ca="1">Ventes!BG25+Ventes!BG39+Ventes!BG56+Ventes!BG63+Ventes!BG70</f>
        <v>0</v>
      </c>
      <c r="BH13" s="674">
        <f ca="1">Ventes!BH25+Ventes!BH39+Ventes!BH56+Ventes!BH63+Ventes!BH70</f>
        <v>0</v>
      </c>
      <c r="BI13" s="674">
        <f ca="1">Ventes!BI25+Ventes!BI39+Ventes!BI56+Ventes!BI63+Ventes!BI70</f>
        <v>0</v>
      </c>
      <c r="BJ13" s="674">
        <f ca="1">Ventes!BJ25+Ventes!BJ39+Ventes!BJ56+Ventes!BJ63+Ventes!BJ70</f>
        <v>0</v>
      </c>
      <c r="BK13" s="674">
        <f ca="1">Ventes!BK25+Ventes!BK39+Ventes!BK56+Ventes!BK63+Ventes!BK70</f>
        <v>0</v>
      </c>
      <c r="BL13" s="674">
        <f ca="1">Ventes!BL25+Ventes!BL39+Ventes!BL56+Ventes!BL63+Ventes!BL70</f>
        <v>0</v>
      </c>
      <c r="BM13" s="674">
        <f ca="1">Ventes!BM25+Ventes!BM39+Ventes!BM56+Ventes!BM63+Ventes!BM70</f>
        <v>0</v>
      </c>
      <c r="BN13" s="674">
        <f ca="1">Ventes!BN25+Ventes!BN39+Ventes!BN56+Ventes!BN63+Ventes!BN70</f>
        <v>0</v>
      </c>
      <c r="BO13" s="674">
        <f ca="1">Ventes!BO25+Ventes!BO39+Ventes!BO56+Ventes!BO63+Ventes!BO70</f>
        <v>0</v>
      </c>
      <c r="BP13" s="674">
        <f ca="1">Ventes!BP25+Ventes!BP39+Ventes!BP56+Ventes!BP63+Ventes!BP70</f>
        <v>0</v>
      </c>
      <c r="BQ13" s="674">
        <f ca="1">Ventes!BQ25+Ventes!BQ39+Ventes!BQ56+Ventes!BQ63+Ventes!BQ70</f>
        <v>0</v>
      </c>
      <c r="BR13" s="674">
        <f ca="1">Ventes!BR25+Ventes!BR39+Ventes!BR56+Ventes!BR63+Ventes!BR70</f>
        <v>0</v>
      </c>
      <c r="BS13" s="674">
        <f ca="1">Ventes!BS25+Ventes!BS39+Ventes!BS56+Ventes!BS63+Ventes!BS70</f>
        <v>0</v>
      </c>
      <c r="BT13" s="674">
        <f ca="1">Ventes!BT25+Ventes!BT39+Ventes!BT56+Ventes!BT63+Ventes!BT70</f>
        <v>0</v>
      </c>
      <c r="BU13" s="674">
        <f ca="1">Ventes!BU25+Ventes!BU39+Ventes!BU56+Ventes!BU63+Ventes!BU70</f>
        <v>0</v>
      </c>
      <c r="BV13" s="674">
        <f ca="1">Ventes!BV25+Ventes!BV39+Ventes!BV56+Ventes!BV63+Ventes!BV70</f>
        <v>0</v>
      </c>
      <c r="BW13" s="674">
        <f ca="1">Ventes!BW25+Ventes!BW39+Ventes!BW56+Ventes!BW63+Ventes!BW70</f>
        <v>0</v>
      </c>
      <c r="BX13" s="674">
        <f ca="1">Ventes!BX25+Ventes!BX39+Ventes!BX56+Ventes!BX63+Ventes!BX70</f>
        <v>0</v>
      </c>
      <c r="BY13" s="674">
        <f ca="1">Ventes!BY25+Ventes!BY39+Ventes!BY56+Ventes!BY63+Ventes!BY70</f>
        <v>0</v>
      </c>
      <c r="BZ13" s="674">
        <f ca="1">Ventes!BZ25+Ventes!BZ39+Ventes!BZ56+Ventes!BZ63+Ventes!BZ70</f>
        <v>0</v>
      </c>
      <c r="CA13" s="674">
        <f ca="1">Ventes!CA25+Ventes!CA39+Ventes!CA56+Ventes!CA63+Ventes!CA70</f>
        <v>0</v>
      </c>
      <c r="CB13" s="674">
        <f ca="1">Ventes!CB25+Ventes!CB39+Ventes!CB56+Ventes!CB63+Ventes!CB70</f>
        <v>0</v>
      </c>
      <c r="CC13" s="675">
        <f ca="1">Ventes!CC25+Ventes!CC39+Ventes!CC56+Ventes!CC63+Ventes!CC70</f>
        <v>0</v>
      </c>
    </row>
    <row r="14" spans="1:81" ht="15.75" customHeight="1">
      <c r="A14" s="43" t="s">
        <v>87</v>
      </c>
      <c r="B14" s="121"/>
      <c r="C14" s="676">
        <f>Ventes!C26+Ventes!C40+Ventes!C57+Ventes!C64+Ventes!C71</f>
        <v>0</v>
      </c>
      <c r="D14" s="677">
        <f>Ventes!D26+Ventes!D40+Ventes!D57+Ventes!D64+Ventes!D71</f>
        <v>0</v>
      </c>
      <c r="E14" s="677">
        <f>Ventes!E26+Ventes!E40+Ventes!E57+Ventes!E64+Ventes!E71</f>
        <v>0</v>
      </c>
      <c r="F14" s="677">
        <f>Ventes!F26+Ventes!F40+Ventes!F57+Ventes!F64+Ventes!F71</f>
        <v>0</v>
      </c>
      <c r="G14" s="677">
        <f>Ventes!G26+Ventes!G40+Ventes!G57+Ventes!G64+Ventes!G71</f>
        <v>0</v>
      </c>
      <c r="H14" s="677">
        <f>Ventes!H26+Ventes!H40+Ventes!H57+Ventes!H64+Ventes!H71</f>
        <v>0</v>
      </c>
      <c r="I14" s="678">
        <f>Ventes!I26+Ventes!I40+Ventes!I57+Ventes!I64+Ventes!I71</f>
        <v>0</v>
      </c>
      <c r="J14" s="677">
        <f>Ventes!J26+Ventes!J40+Ventes!J57+Ventes!J64+Ventes!J71</f>
        <v>0</v>
      </c>
      <c r="K14" s="677">
        <f ca="1">Ventes!K26+Ventes!K40+Ventes!K57+Ventes!K64+Ventes!K71</f>
        <v>0</v>
      </c>
      <c r="L14" s="677">
        <f ca="1">Ventes!L26+Ventes!L40+Ventes!L57+Ventes!L64+Ventes!L71</f>
        <v>0</v>
      </c>
      <c r="M14" s="677">
        <f ca="1">Ventes!M26+Ventes!M40+Ventes!M57+Ventes!M64+Ventes!M71</f>
        <v>0</v>
      </c>
      <c r="N14" s="677">
        <f ca="1">Ventes!N26+Ventes!N40+Ventes!N57+Ventes!N64+Ventes!N71</f>
        <v>0</v>
      </c>
      <c r="O14" s="677">
        <f ca="1">Ventes!O26+Ventes!O40+Ventes!O57+Ventes!O64+Ventes!O71</f>
        <v>0</v>
      </c>
      <c r="P14" s="677">
        <f ca="1">Ventes!P26+Ventes!P40+Ventes!P57+Ventes!P64+Ventes!P71</f>
        <v>0</v>
      </c>
      <c r="Q14" s="677">
        <f ca="1">Ventes!Q26+Ventes!Q40+Ventes!Q57+Ventes!Q64+Ventes!Q71</f>
        <v>0</v>
      </c>
      <c r="R14" s="677">
        <f ca="1">Ventes!R26+Ventes!R40+Ventes!R57+Ventes!R64+Ventes!R71</f>
        <v>0</v>
      </c>
      <c r="S14" s="677">
        <f ca="1">Ventes!S26+Ventes!S40+Ventes!S57+Ventes!S64+Ventes!S71</f>
        <v>0</v>
      </c>
      <c r="T14" s="677">
        <f ca="1">Ventes!T26+Ventes!T40+Ventes!T57+Ventes!T64+Ventes!T71</f>
        <v>0</v>
      </c>
      <c r="U14" s="677">
        <f ca="1">Ventes!U26+Ventes!U40+Ventes!U57+Ventes!U64+Ventes!U71</f>
        <v>0</v>
      </c>
      <c r="V14" s="677">
        <f ca="1">Ventes!V26+Ventes!V40+Ventes!V57+Ventes!V64+Ventes!V71</f>
        <v>0</v>
      </c>
      <c r="W14" s="677">
        <f ca="1">Ventes!W26+Ventes!W40+Ventes!W57+Ventes!W64+Ventes!W71</f>
        <v>0</v>
      </c>
      <c r="X14" s="677">
        <f ca="1">Ventes!X26+Ventes!X40+Ventes!X57+Ventes!X64+Ventes!X71</f>
        <v>0</v>
      </c>
      <c r="Y14" s="677">
        <f ca="1">Ventes!Y26+Ventes!Y40+Ventes!Y57+Ventes!Y64+Ventes!Y71</f>
        <v>0</v>
      </c>
      <c r="Z14" s="677">
        <f ca="1">Ventes!Z26+Ventes!Z40+Ventes!Z57+Ventes!Z64+Ventes!Z71</f>
        <v>0</v>
      </c>
      <c r="AA14" s="677">
        <f ca="1">Ventes!AA26+Ventes!AA40+Ventes!AA57+Ventes!AA64+Ventes!AA71</f>
        <v>0</v>
      </c>
      <c r="AB14" s="677">
        <f ca="1">Ventes!AB26+Ventes!AB40+Ventes!AB57+Ventes!AB64+Ventes!AB71</f>
        <v>0</v>
      </c>
      <c r="AC14" s="677">
        <f ca="1">Ventes!AC26+Ventes!AC40+Ventes!AC57+Ventes!AC64+Ventes!AC71</f>
        <v>0</v>
      </c>
      <c r="AD14" s="677">
        <f ca="1">Ventes!AD26+Ventes!AD40+Ventes!AD57+Ventes!AD64+Ventes!AD71</f>
        <v>0</v>
      </c>
      <c r="AE14" s="677">
        <f ca="1">Ventes!AE26+Ventes!AE40+Ventes!AE57+Ventes!AE64+Ventes!AE71</f>
        <v>0</v>
      </c>
      <c r="AF14" s="677">
        <f ca="1">Ventes!AF26+Ventes!AF40+Ventes!AF57+Ventes!AF64+Ventes!AF71</f>
        <v>0</v>
      </c>
      <c r="AG14" s="677">
        <f ca="1">Ventes!AG26+Ventes!AG40+Ventes!AG57+Ventes!AG64+Ventes!AG71</f>
        <v>0</v>
      </c>
      <c r="AH14" s="677">
        <f ca="1">Ventes!AH26+Ventes!AH40+Ventes!AH57+Ventes!AH64+Ventes!AH71</f>
        <v>0</v>
      </c>
      <c r="AI14" s="677">
        <f ca="1">Ventes!AI26+Ventes!AI40+Ventes!AI57+Ventes!AI64+Ventes!AI71</f>
        <v>0</v>
      </c>
      <c r="AJ14" s="677">
        <f ca="1">Ventes!AJ26+Ventes!AJ40+Ventes!AJ57+Ventes!AJ64+Ventes!AJ71</f>
        <v>0</v>
      </c>
      <c r="AK14" s="677">
        <f ca="1">Ventes!AK26+Ventes!AK40+Ventes!AK57+Ventes!AK64+Ventes!AK71</f>
        <v>0</v>
      </c>
      <c r="AL14" s="677">
        <f ca="1">Ventes!AL26+Ventes!AL40+Ventes!AL57+Ventes!AL64+Ventes!AL71</f>
        <v>0</v>
      </c>
      <c r="AM14" s="677">
        <f ca="1">Ventes!AM26+Ventes!AM40+Ventes!AM57+Ventes!AM64+Ventes!AM71</f>
        <v>0</v>
      </c>
      <c r="AN14" s="677">
        <f ca="1">Ventes!AN26+Ventes!AN40+Ventes!AN57+Ventes!AN64+Ventes!AN71</f>
        <v>0</v>
      </c>
      <c r="AO14" s="677">
        <f ca="1">Ventes!AO26+Ventes!AO40+Ventes!AO57+Ventes!AO64+Ventes!AO71</f>
        <v>0</v>
      </c>
      <c r="AP14" s="677">
        <f ca="1">Ventes!AP26+Ventes!AP40+Ventes!AP57+Ventes!AP64+Ventes!AP71</f>
        <v>0</v>
      </c>
      <c r="AQ14" s="677">
        <f ca="1">Ventes!AQ26+Ventes!AQ40+Ventes!AQ57+Ventes!AQ64+Ventes!AQ71</f>
        <v>0</v>
      </c>
      <c r="AR14" s="677">
        <f ca="1">Ventes!AR26+Ventes!AR40+Ventes!AR57+Ventes!AR64+Ventes!AR71</f>
        <v>0</v>
      </c>
      <c r="AS14" s="677">
        <f ca="1">Ventes!AS26+Ventes!AS40+Ventes!AS57+Ventes!AS64+Ventes!AS71</f>
        <v>0</v>
      </c>
      <c r="AT14" s="677">
        <f ca="1">Ventes!AT26+Ventes!AT40+Ventes!AT57+Ventes!AT64+Ventes!AT71</f>
        <v>0</v>
      </c>
      <c r="AU14" s="677">
        <f ca="1">Ventes!AU26+Ventes!AU40+Ventes!AU57+Ventes!AU64+Ventes!AU71</f>
        <v>0</v>
      </c>
      <c r="AV14" s="677">
        <f ca="1">Ventes!AV26+Ventes!AV40+Ventes!AV57+Ventes!AV64+Ventes!AV71</f>
        <v>0</v>
      </c>
      <c r="AW14" s="677">
        <f ca="1">Ventes!AW26+Ventes!AW40+Ventes!AW57+Ventes!AW64+Ventes!AW71</f>
        <v>0</v>
      </c>
      <c r="AX14" s="677">
        <f ca="1">Ventes!AX26+Ventes!AX40+Ventes!AX57+Ventes!AX64+Ventes!AX71</f>
        <v>0</v>
      </c>
      <c r="AY14" s="677">
        <f ca="1">Ventes!AY26+Ventes!AY40+Ventes!AY57+Ventes!AY64+Ventes!AY71</f>
        <v>0</v>
      </c>
      <c r="AZ14" s="677">
        <f ca="1">Ventes!AZ26+Ventes!AZ40+Ventes!AZ57+Ventes!AZ64+Ventes!AZ71</f>
        <v>0</v>
      </c>
      <c r="BA14" s="677">
        <f ca="1">Ventes!BA26+Ventes!BA40+Ventes!BA57+Ventes!BA64+Ventes!BA71</f>
        <v>0</v>
      </c>
      <c r="BB14" s="677">
        <f ca="1">Ventes!BB26+Ventes!BB40+Ventes!BB57+Ventes!BB64+Ventes!BB71</f>
        <v>0</v>
      </c>
      <c r="BC14" s="677">
        <f ca="1">Ventes!BC26+Ventes!BC40+Ventes!BC57+Ventes!BC64+Ventes!BC71</f>
        <v>0</v>
      </c>
      <c r="BD14" s="677">
        <f ca="1">Ventes!BD26+Ventes!BD40+Ventes!BD57+Ventes!BD64+Ventes!BD71</f>
        <v>0</v>
      </c>
      <c r="BE14" s="677">
        <f ca="1">Ventes!BE26+Ventes!BE40+Ventes!BE57+Ventes!BE64+Ventes!BE71</f>
        <v>0</v>
      </c>
      <c r="BF14" s="677">
        <f ca="1">Ventes!BF26+Ventes!BF40+Ventes!BF57+Ventes!BF64+Ventes!BF71</f>
        <v>0</v>
      </c>
      <c r="BG14" s="677">
        <f ca="1">Ventes!BG26+Ventes!BG40+Ventes!BG57+Ventes!BG64+Ventes!BG71</f>
        <v>0</v>
      </c>
      <c r="BH14" s="677">
        <f ca="1">Ventes!BH26+Ventes!BH40+Ventes!BH57+Ventes!BH64+Ventes!BH71</f>
        <v>0</v>
      </c>
      <c r="BI14" s="677">
        <f ca="1">Ventes!BI26+Ventes!BI40+Ventes!BI57+Ventes!BI64+Ventes!BI71</f>
        <v>0</v>
      </c>
      <c r="BJ14" s="677">
        <f ca="1">Ventes!BJ26+Ventes!BJ40+Ventes!BJ57+Ventes!BJ64+Ventes!BJ71</f>
        <v>0</v>
      </c>
      <c r="BK14" s="677">
        <f ca="1">Ventes!BK26+Ventes!BK40+Ventes!BK57+Ventes!BK64+Ventes!BK71</f>
        <v>0</v>
      </c>
      <c r="BL14" s="677">
        <f ca="1">Ventes!BL26+Ventes!BL40+Ventes!BL57+Ventes!BL64+Ventes!BL71</f>
        <v>0</v>
      </c>
      <c r="BM14" s="677">
        <f ca="1">Ventes!BM26+Ventes!BM40+Ventes!BM57+Ventes!BM64+Ventes!BM71</f>
        <v>0</v>
      </c>
      <c r="BN14" s="677">
        <f ca="1">Ventes!BN26+Ventes!BN40+Ventes!BN57+Ventes!BN64+Ventes!BN71</f>
        <v>0</v>
      </c>
      <c r="BO14" s="677">
        <f ca="1">Ventes!BO26+Ventes!BO40+Ventes!BO57+Ventes!BO64+Ventes!BO71</f>
        <v>0</v>
      </c>
      <c r="BP14" s="677">
        <f ca="1">Ventes!BP26+Ventes!BP40+Ventes!BP57+Ventes!BP64+Ventes!BP71</f>
        <v>0</v>
      </c>
      <c r="BQ14" s="677">
        <f ca="1">Ventes!BQ26+Ventes!BQ40+Ventes!BQ57+Ventes!BQ64+Ventes!BQ71</f>
        <v>0</v>
      </c>
      <c r="BR14" s="677">
        <f ca="1">Ventes!BR26+Ventes!BR40+Ventes!BR57+Ventes!BR64+Ventes!BR71</f>
        <v>0</v>
      </c>
      <c r="BS14" s="677">
        <f ca="1">Ventes!BS26+Ventes!BS40+Ventes!BS57+Ventes!BS64+Ventes!BS71</f>
        <v>0</v>
      </c>
      <c r="BT14" s="677">
        <f ca="1">Ventes!BT26+Ventes!BT40+Ventes!BT57+Ventes!BT64+Ventes!BT71</f>
        <v>0</v>
      </c>
      <c r="BU14" s="677">
        <f ca="1">Ventes!BU26+Ventes!BU40+Ventes!BU57+Ventes!BU64+Ventes!BU71</f>
        <v>0</v>
      </c>
      <c r="BV14" s="677">
        <f ca="1">Ventes!BV26+Ventes!BV40+Ventes!BV57+Ventes!BV64+Ventes!BV71</f>
        <v>0</v>
      </c>
      <c r="BW14" s="677">
        <f ca="1">Ventes!BW26+Ventes!BW40+Ventes!BW57+Ventes!BW64+Ventes!BW71</f>
        <v>0</v>
      </c>
      <c r="BX14" s="677">
        <f ca="1">Ventes!BX26+Ventes!BX40+Ventes!BX57+Ventes!BX64+Ventes!BX71</f>
        <v>0</v>
      </c>
      <c r="BY14" s="677">
        <f ca="1">Ventes!BY26+Ventes!BY40+Ventes!BY57+Ventes!BY64+Ventes!BY71</f>
        <v>0</v>
      </c>
      <c r="BZ14" s="677">
        <f ca="1">Ventes!BZ26+Ventes!BZ40+Ventes!BZ57+Ventes!BZ64+Ventes!BZ71</f>
        <v>0</v>
      </c>
      <c r="CA14" s="677">
        <f ca="1">Ventes!CA26+Ventes!CA40+Ventes!CA57+Ventes!CA64+Ventes!CA71</f>
        <v>0</v>
      </c>
      <c r="CB14" s="677">
        <f ca="1">Ventes!CB26+Ventes!CB40+Ventes!CB57+Ventes!CB64+Ventes!CB71</f>
        <v>0</v>
      </c>
      <c r="CC14" s="678">
        <f ca="1">Ventes!CC26+Ventes!CC40+Ventes!CC57+Ventes!CC64+Ventes!CC71</f>
        <v>0</v>
      </c>
    </row>
    <row r="16" spans="1:81" ht="15.75" customHeight="1">
      <c r="J16" s="679"/>
      <c r="K16" s="679"/>
      <c r="L16" s="679"/>
      <c r="M16" s="679"/>
      <c r="N16" s="679"/>
      <c r="O16" s="679"/>
      <c r="P16" s="679"/>
      <c r="Q16" s="679"/>
      <c r="R16" s="679"/>
      <c r="S16" s="679"/>
      <c r="T16" s="679"/>
      <c r="U16" s="679"/>
      <c r="V16" s="680"/>
      <c r="W16" s="680"/>
      <c r="X16" s="680"/>
      <c r="Y16" s="680"/>
      <c r="Z16" s="680"/>
      <c r="AA16" s="680"/>
      <c r="AB16" s="680"/>
      <c r="AC16" s="680"/>
      <c r="AD16" s="680"/>
      <c r="AE16" s="680"/>
      <c r="AF16" s="680"/>
      <c r="AG16" s="680"/>
      <c r="AH16" s="680"/>
      <c r="AI16" s="680"/>
      <c r="AJ16" s="680"/>
      <c r="AK16" s="680"/>
      <c r="AL16" s="680"/>
      <c r="AM16" s="680"/>
      <c r="AN16" s="680"/>
      <c r="AO16" s="680"/>
      <c r="AP16" s="680"/>
      <c r="AQ16" s="680"/>
      <c r="AR16" s="680"/>
      <c r="AS16" s="680"/>
    </row>
    <row r="21" spans="1:8" ht="15.75" customHeight="1">
      <c r="A21" s="11"/>
      <c r="B21" s="8"/>
      <c r="C21" s="8"/>
      <c r="D21" s="8"/>
      <c r="E21" s="8"/>
      <c r="F21" s="8"/>
      <c r="G21" s="8"/>
      <c r="H21" s="8"/>
    </row>
    <row r="22" spans="1:8" ht="15.75" customHeight="1">
      <c r="A22" s="24" t="s">
        <v>83</v>
      </c>
      <c r="B22" s="707" t="s">
        <v>503</v>
      </c>
      <c r="C22" s="700"/>
      <c r="D22" s="700"/>
      <c r="E22" s="700"/>
      <c r="F22" s="700"/>
      <c r="G22" s="700"/>
      <c r="H22" s="700"/>
    </row>
    <row r="23" spans="1:8" ht="15.75" customHeight="1">
      <c r="B23" s="376">
        <v>2025</v>
      </c>
      <c r="C23" s="681">
        <v>2026</v>
      </c>
      <c r="D23" s="682">
        <v>2027</v>
      </c>
      <c r="E23" s="681">
        <v>2028</v>
      </c>
      <c r="F23" s="683">
        <v>2029</v>
      </c>
      <c r="G23" s="684">
        <v>2030</v>
      </c>
      <c r="H23" s="684">
        <v>2031</v>
      </c>
    </row>
    <row r="24" spans="1:8" ht="15.75" customHeight="1">
      <c r="B24" s="29"/>
      <c r="C24" s="29"/>
      <c r="D24" s="118"/>
      <c r="E24" s="29"/>
      <c r="F24" s="29"/>
      <c r="G24" s="29"/>
      <c r="H24" s="29"/>
    </row>
    <row r="25" spans="1:8" ht="15.75" customHeight="1">
      <c r="A25" s="11" t="s">
        <v>504</v>
      </c>
      <c r="B25" s="685">
        <f>SUM(Ventes!C109:I109)/7</f>
        <v>2</v>
      </c>
      <c r="C25" s="685">
        <f>SUM(Ventes!J109:U109)/12</f>
        <v>1.9166666666666667</v>
      </c>
      <c r="D25" s="685">
        <f ca="1">SUM(OFFSET(Ventes!$J109:$U109,0,12))/12</f>
        <v>2</v>
      </c>
      <c r="E25" s="685">
        <f ca="1">SUM(OFFSET(Ventes!$J109:$U109,0,24))/12</f>
        <v>2</v>
      </c>
      <c r="F25" s="685">
        <f ca="1">SUM(OFFSET(Ventes!$J109:$U109,0,36))/12</f>
        <v>2</v>
      </c>
      <c r="G25" s="685">
        <f ca="1">SUM(OFFSET(Ventes!$J109:$U109,0,48))/12</f>
        <v>6.75</v>
      </c>
      <c r="H25" s="685">
        <f ca="1">SUM(OFFSET(Ventes!$J109:$U109,0,60))/12</f>
        <v>9.4166666666666661</v>
      </c>
    </row>
    <row r="26" spans="1:8" ht="15.75" customHeight="1">
      <c r="A26" s="11" t="s">
        <v>505</v>
      </c>
      <c r="B26" s="686">
        <f>SUMIFS('Annexe A  Plan RH'!$I$4:$I$85,'Annexe A  Plan RH'!$A$4:$A$85,"Support",'Annexe A  Plan RH'!Q$4:Q$85,"&gt;0",'Annexe A  Plan RH'!$B$4:$B$85,"FR")</f>
        <v>1</v>
      </c>
      <c r="C26" s="686">
        <f>SUMIFS('Annexe A  Plan RH'!$I$4:$I$85,'Annexe A  Plan RH'!$A$4:$A$85,"Support",'Annexe A  Plan RH'!X$4:X$85,"&gt;0",'Annexe A  Plan RH'!$B$4:$B$85,"FR")</f>
        <v>2</v>
      </c>
      <c r="D26" s="686">
        <f>SUMIFS('Annexe A  Plan RH'!$I$4:$I$85,'Annexe A  Plan RH'!$A$4:$A$85,"Support",'Annexe A  Plan RH'!AJ$4:AJ$85,"&gt;0",'Annexe A  Plan RH'!$B$4:$B$85,"FR")</f>
        <v>2</v>
      </c>
      <c r="E26" s="686">
        <f>SUMIFS('Annexe A  Plan RH'!$I$4:$I$85,'Annexe A  Plan RH'!$A$4:$A$85,"Support",'Annexe A  Plan RH'!AV$4:AV$85,"&gt;0",'Annexe A  Plan RH'!$B$4:$B$85,"FR")</f>
        <v>2</v>
      </c>
      <c r="F26" s="686">
        <f>SUMIFS('Annexe A  Plan RH'!$I$4:$I$85,'Annexe A  Plan RH'!$A$4:$A$85,"Support",'Annexe A  Plan RH'!BH$4:BH$85,"&gt;0",'Annexe A  Plan RH'!$B$4:$B$85,"FR")</f>
        <v>2</v>
      </c>
      <c r="G26" s="686">
        <f>SUMIFS('Annexe A  Plan RH'!$I$4:$I$85,'Annexe A  Plan RH'!$A$4:$A$85,"Support",'Annexe A  Plan RH'!BT$4:BT$85,"&gt;0",'Annexe A  Plan RH'!$B$4:$B$85,"FR")</f>
        <v>2</v>
      </c>
      <c r="H26" s="686">
        <f>SUMIFS('Annexe A  Plan RH'!$I$4:$I$85,'Annexe A  Plan RH'!$A$4:$A$85,"Support",'Annexe A  Plan RH'!CF$4:CF$85,"&gt;0",'Annexe A  Plan RH'!$B$4:$B$85,"FR")</f>
        <v>7</v>
      </c>
    </row>
    <row r="27" spans="1:8" ht="15.75" customHeight="1">
      <c r="A27" s="11" t="s">
        <v>506</v>
      </c>
      <c r="B27" s="686">
        <f>SUMIFS('Annexe A  Plan RH'!$I$4:$I$85,'Annexe A  Plan RH'!$A$4:$A$85,"G&amp;A",'Annexe A  Plan RH'!Q$4:Q$85,"&gt;0",'Annexe A  Plan RH'!$B$4:$B$85,"FR")</f>
        <v>1</v>
      </c>
      <c r="C27" s="686">
        <f>SUMIFS('Annexe A  Plan RH'!$I$4:$I$85,'Annexe A  Plan RH'!$A$4:$A$85,"G&amp;A",'Annexe A  Plan RH'!X$4:X$85,"&gt;0",'Annexe A  Plan RH'!$B$4:$B$85,"FR")</f>
        <v>1</v>
      </c>
      <c r="D27" s="686">
        <f>SUMIFS('Annexe A  Plan RH'!$I$4:$I$85,'Annexe A  Plan RH'!$A$4:$A$85,"G&amp;A",'Annexe A  Plan RH'!AJ$4:AJ$85,"&gt;0",'Annexe A  Plan RH'!$B$4:$B$85,"FR")</f>
        <v>1</v>
      </c>
      <c r="E27" s="686">
        <f>SUMIFS('Annexe A  Plan RH'!$I$4:$I$85,'Annexe A  Plan RH'!$A$4:$A$85,"G&amp;A",'Annexe A  Plan RH'!AV$4:AV$85,"&gt;0",'Annexe A  Plan RH'!$B$4:$B$85,"FR")</f>
        <v>1</v>
      </c>
      <c r="F27" s="686">
        <f>SUMIFS('Annexe A  Plan RH'!$I$4:$I$85,'Annexe A  Plan RH'!$A$4:$A$85,"G&amp;A",'Annexe A  Plan RH'!BH$4:BH$85,"&gt;0",'Annexe A  Plan RH'!$B$4:$B$85,"FR")</f>
        <v>1</v>
      </c>
      <c r="G27" s="686">
        <f>SUMIFS('Annexe A  Plan RH'!$I$4:$I$85,'Annexe A  Plan RH'!$A$4:$A$85,"G&amp;A",'Annexe A  Plan RH'!BT$4:BT$85,"&gt;0",'Annexe A  Plan RH'!$B$4:$B$85,"FR")</f>
        <v>1</v>
      </c>
      <c r="H27" s="686">
        <f>SUMIFS('Annexe A  Plan RH'!$I$4:$I$85,'Annexe A  Plan RH'!$A$4:$A$85,"G&amp;A",'Annexe A  Plan RH'!CF$4:CF$85,"&gt;0",'Annexe A  Plan RH'!$B$4:$B$85,"FR")</f>
        <v>4</v>
      </c>
    </row>
    <row r="28" spans="1:8" ht="15.75" customHeight="1">
      <c r="A28" s="11" t="s">
        <v>507</v>
      </c>
      <c r="B28" s="686">
        <f>SUMIFS('Annexe A  Plan RH'!$I$4:$I$85,'Annexe A  Plan RH'!$A$4:$A$85,"R&amp;D",'Annexe A  Plan RH'!Q$4:Q$85,"&gt;0",'Annexe A  Plan RH'!$B$4:$B$85,"FR")</f>
        <v>6</v>
      </c>
      <c r="C28" s="686">
        <f>SUMIFS('Annexe A  Plan RH'!$I$4:$I$85,'Annexe A  Plan RH'!$A$4:$A$85,"R&amp;D",'Annexe A  Plan RH'!X$4:X$85,"&gt;0",'Annexe A  Plan RH'!$B$4:$B$85,"FR")</f>
        <v>6</v>
      </c>
      <c r="D28" s="686">
        <f>SUMIFS('Annexe A  Plan RH'!$I$4:$I$85,'Annexe A  Plan RH'!$A$4:$A$85,"R&amp;D",'Annexe A  Plan RH'!AJ$4:AJ$85,"&gt;0",'Annexe A  Plan RH'!$B$4:$B$85,"FR")</f>
        <v>9</v>
      </c>
      <c r="E28" s="686">
        <f>SUMIFS('Annexe A  Plan RH'!$I$4:$I$85,'Annexe A  Plan RH'!$A$4:$A$85,"R&amp;D",'Annexe A  Plan RH'!AV$4:AV$85,"&gt;0",'Annexe A  Plan RH'!$B$4:$B$85,"FR")</f>
        <v>9</v>
      </c>
      <c r="F28" s="686">
        <f>SUMIFS('Annexe A  Plan RH'!$I$4:$I$85,'Annexe A  Plan RH'!$A$4:$A$85,"R&amp;D",'Annexe A  Plan RH'!BH$4:BH$85,"&gt;0",'Annexe A  Plan RH'!$B$4:$B$85,"FR")</f>
        <v>9</v>
      </c>
      <c r="G28" s="686">
        <f>SUMIFS('Annexe A  Plan RH'!$I$4:$I$85,'Annexe A  Plan RH'!$A$4:$A$85,"R&amp;D",'Annexe A  Plan RH'!BT$4:BT$85,"&gt;0",'Annexe A  Plan RH'!$B$4:$B$85,"FR")</f>
        <v>12</v>
      </c>
      <c r="H28" s="686">
        <f>SUMIFS('Annexe A  Plan RH'!$I$4:$I$85,'Annexe A  Plan RH'!$A$4:$A$85,"R&amp;D",'Annexe A  Plan RH'!CF$4:CF$85,"&gt;0",'Annexe A  Plan RH'!$B$4:$B$85,"FR")</f>
        <v>18</v>
      </c>
    </row>
    <row r="29" spans="1:8" ht="15.75" customHeight="1">
      <c r="A29" s="11" t="s">
        <v>508</v>
      </c>
      <c r="B29" s="686">
        <f>SUMIFS('Annexe A  Plan RH'!$I$4:$I$85,'Annexe A  Plan RH'!$A$4:$A$85,"Marketing",'Annexe A  Plan RH'!Q$4:Q$85,"&gt;0",'Annexe A  Plan RH'!$B$4:$B$85,"FR")</f>
        <v>2</v>
      </c>
      <c r="C29" s="686">
        <f>SUMIFS('Annexe A  Plan RH'!$I$4:$I$85,'Annexe A  Plan RH'!$A$4:$A$85,"Marketing",'Annexe A  Plan RH'!X$4:X$85,"&gt;0",'Annexe A  Plan RH'!$B$4:$B$85,"FR")</f>
        <v>1</v>
      </c>
      <c r="D29" s="686">
        <f>SUMIFS('Annexe A  Plan RH'!$I$4:$I$85,'Annexe A  Plan RH'!$A$4:$A$85,"Marketing",'Annexe A  Plan RH'!AJ$4:AJ$85,"&gt;0",'Annexe A  Plan RH'!$B$4:$B$85,"FR")</f>
        <v>1</v>
      </c>
      <c r="E29" s="686">
        <f>SUMIFS('Annexe A  Plan RH'!$I$4:$I$85,'Annexe A  Plan RH'!$A$4:$A$85,"Marketing",'Annexe A  Plan RH'!AV$4:AV$85,"&gt;0",'Annexe A  Plan RH'!$B$4:$B$85,"FR")</f>
        <v>1</v>
      </c>
      <c r="F29" s="686">
        <f>SUMIFS('Annexe A  Plan RH'!$I$4:$I$85,'Annexe A  Plan RH'!$A$4:$A$85,"Marketing",'Annexe A  Plan RH'!BH$4:BH$85,"&gt;0",'Annexe A  Plan RH'!$B$4:$B$85,"FR")</f>
        <v>1</v>
      </c>
      <c r="G29" s="686">
        <f>SUMIFS('Annexe A  Plan RH'!$I$4:$I$85,'Annexe A  Plan RH'!$A$4:$A$85,"Marketing",'Annexe A  Plan RH'!BT$4:BT$85,"&gt;0",'Annexe A  Plan RH'!$B$4:$B$85,"FR")</f>
        <v>1</v>
      </c>
      <c r="H29" s="686">
        <f>SUMIFS('Annexe A  Plan RH'!$I$4:$I$85,'Annexe A  Plan RH'!$A$4:$A$85,"Marketing",'Annexe A  Plan RH'!CF$4:CF$85,"&gt;0",'Annexe A  Plan RH'!$B$4:$B$85,"FR")</f>
        <v>2</v>
      </c>
    </row>
    <row r="30" spans="1:8" ht="15.75" customHeight="1">
      <c r="A30" s="24" t="s">
        <v>427</v>
      </c>
      <c r="B30" s="687">
        <f t="shared" ref="B30:H30" si="2">SUM(B25:B29)</f>
        <v>12</v>
      </c>
      <c r="C30" s="687">
        <f t="shared" si="2"/>
        <v>11.916666666666668</v>
      </c>
      <c r="D30" s="687">
        <f t="shared" ca="1" si="2"/>
        <v>15</v>
      </c>
      <c r="E30" s="687">
        <f t="shared" ca="1" si="2"/>
        <v>15</v>
      </c>
      <c r="F30" s="687">
        <f t="shared" ca="1" si="2"/>
        <v>15</v>
      </c>
      <c r="G30" s="687">
        <f t="shared" ca="1" si="2"/>
        <v>22.75</v>
      </c>
      <c r="H30" s="687">
        <f t="shared" ca="1" si="2"/>
        <v>40.416666666666664</v>
      </c>
    </row>
    <row r="32" spans="1:8" ht="15.75" customHeight="1">
      <c r="A32" s="24" t="s">
        <v>84</v>
      </c>
    </row>
    <row r="34" spans="1:8" ht="15.75" customHeight="1">
      <c r="A34" s="11" t="s">
        <v>509</v>
      </c>
      <c r="B34" s="685">
        <f>SUM(Ventes!C110:I110)/7</f>
        <v>0</v>
      </c>
      <c r="C34" s="685">
        <f>SUM(Ventes!J110:U110)/12</f>
        <v>0</v>
      </c>
      <c r="D34" s="685">
        <f ca="1">SUM(OFFSET(Ventes!J110:U110,0,12))/12</f>
        <v>0</v>
      </c>
      <c r="E34" s="685">
        <f ca="1">SUM(OFFSET(Ventes!J110:U110,0,24))/12</f>
        <v>0</v>
      </c>
      <c r="F34" s="685">
        <f ca="1">SUM(OFFSET(Ventes!J110:U110,0,36))/12</f>
        <v>0</v>
      </c>
      <c r="G34" s="685">
        <f ca="1">SUM(OFFSET(Ventes!J110:U110,0,48))/12</f>
        <v>0.91666666666666663</v>
      </c>
      <c r="H34" s="685">
        <f ca="1">SUM(OFFSET(Ventes!J110:U110,0,60))/12</f>
        <v>3.6666666666666665</v>
      </c>
    </row>
    <row r="35" spans="1:8" ht="15.75" customHeight="1">
      <c r="A35" s="11" t="s">
        <v>276</v>
      </c>
      <c r="B35" s="686">
        <f>SUMIFS('Annexe A  Plan RH'!$I$4:$I$85,'Annexe A  Plan RH'!$A$4:$A$85,"Support",'Annexe A  Plan RH'!Q$4:Q$85,"&gt;0",'Annexe A  Plan RH'!$B$4:$B$85,"ES")</f>
        <v>0</v>
      </c>
      <c r="C35" s="686">
        <f>SUMIFS('Annexe A  Plan RH'!$I$4:$I$85,'Annexe A  Plan RH'!$A$4:$A$85,"Support",'Annexe A  Plan RH'!X$4:X$85,"&gt;0",'Annexe A  Plan RH'!$B$4:$B$85,"ES")</f>
        <v>0</v>
      </c>
      <c r="D35" s="686">
        <f>SUMIFS('Annexe A  Plan RH'!$I$4:$I$85,'Annexe A  Plan RH'!$A$4:$A$85,"Support",'Annexe A  Plan RH'!AJ$4:AJ$85,"&gt;0",'Annexe A  Plan RH'!$B$4:$B$85,"ES")</f>
        <v>0</v>
      </c>
      <c r="E35" s="686">
        <f>SUMIFS('Annexe A  Plan RH'!$I$4:$I$85,'Annexe A  Plan RH'!$A$4:$A$85,"Support",'Annexe A  Plan RH'!AV$4:AV$85,"&gt;0",'Annexe A  Plan RH'!$B$4:$B$85,"ES")</f>
        <v>0</v>
      </c>
      <c r="F35" s="686">
        <f>SUMIFS('Annexe A  Plan RH'!$I$4:$I$85,'Annexe A  Plan RH'!$A$4:$A$85,"Support",'Annexe A  Plan RH'!BH$4:BH$85,"&gt;0",'Annexe A  Plan RH'!$B$4:$B$85,"ES")</f>
        <v>0</v>
      </c>
      <c r="G35" s="686">
        <f>SUMIFS('Annexe A  Plan RH'!$I$4:$I$85,'Annexe A  Plan RH'!$A$4:$A$85,"Support",'Annexe A  Plan RH'!BT$4:BT$85,"&gt;0",'Annexe A  Plan RH'!$B$4:$B$85,"ES")</f>
        <v>0</v>
      </c>
      <c r="H35" s="686">
        <f>SUMIFS('Annexe A  Plan RH'!$I$4:$I$85,'Annexe A  Plan RH'!$A$4:$A$85,"Support",'Annexe A  Plan RH'!CF$4:CF$85,"&gt;0",'Annexe A  Plan RH'!$B$4:$B$85,"ES")</f>
        <v>1</v>
      </c>
    </row>
    <row r="36" spans="1:8" ht="15.75" customHeight="1">
      <c r="A36" s="11" t="s">
        <v>279</v>
      </c>
      <c r="B36" s="686">
        <f>SUMIFS('Annexe A  Plan RH'!$I$4:$I$85,'Annexe A  Plan RH'!$A$4:$A$85,"G&amp;A",'Annexe A  Plan RH'!Q$4:Q$85,"&gt;0",'Annexe A  Plan RH'!$B$4:$B$85,"ES")</f>
        <v>0</v>
      </c>
      <c r="C36" s="686">
        <f>SUMIFS('Annexe A  Plan RH'!$I$4:$I$85,'Annexe A  Plan RH'!$A$4:$A$85,"G&amp;A",'Annexe A  Plan RH'!X$4:X$85,"&gt;0",'Annexe A  Plan RH'!$B$4:$B$85,"ES")</f>
        <v>0</v>
      </c>
      <c r="D36" s="686">
        <f>SUMIFS('Annexe A  Plan RH'!$I$4:$I$85,'Annexe A  Plan RH'!$A$4:$A$85,"G&amp;A",'Annexe A  Plan RH'!AJ$4:AJ$85,"&gt;0",'Annexe A  Plan RH'!$B$4:$B$85,"ES")</f>
        <v>0</v>
      </c>
      <c r="E36" s="686">
        <f>SUMIFS('Annexe A  Plan RH'!$I$4:$I$85,'Annexe A  Plan RH'!$A$4:$A$85,"G&amp;A",'Annexe A  Plan RH'!AV$4:AV$85,"&gt;0",'Annexe A  Plan RH'!$B$4:$B$85,"ES")</f>
        <v>0</v>
      </c>
      <c r="F36" s="686">
        <f>SUMIFS('Annexe A  Plan RH'!$I$4:$I$85,'Annexe A  Plan RH'!$A$4:$A$85,"G&amp;A",'Annexe A  Plan RH'!BH$4:BH$85,"&gt;0",'Annexe A  Plan RH'!$B$4:$B$85,"ES")</f>
        <v>0</v>
      </c>
      <c r="G36" s="686">
        <f>SUMIFS('Annexe A  Plan RH'!$I$4:$I$85,'Annexe A  Plan RH'!$A$4:$A$85,"G&amp;A",'Annexe A  Plan RH'!BT$4:BT$85,"&gt;0",'Annexe A  Plan RH'!$B$4:$B$85,"ES")</f>
        <v>0</v>
      </c>
      <c r="H36" s="686">
        <f>SUMIFS('Annexe A  Plan RH'!$I$4:$I$85,'Annexe A  Plan RH'!$A$4:$A$85,"G&amp;A",'Annexe A  Plan RH'!CF$4:CF$85,"&gt;0",'Annexe A  Plan RH'!$B$4:$B$85,"ES")</f>
        <v>0</v>
      </c>
    </row>
    <row r="37" spans="1:8" ht="15.75" customHeight="1">
      <c r="A37" s="24" t="s">
        <v>427</v>
      </c>
      <c r="B37" s="687">
        <f t="shared" ref="B37:H37" si="3">SUM(B34:B36)</f>
        <v>0</v>
      </c>
      <c r="C37" s="687">
        <f t="shared" si="3"/>
        <v>0</v>
      </c>
      <c r="D37" s="687">
        <f t="shared" ca="1" si="3"/>
        <v>0</v>
      </c>
      <c r="E37" s="687">
        <f t="shared" ca="1" si="3"/>
        <v>0</v>
      </c>
      <c r="F37" s="687">
        <f t="shared" ca="1" si="3"/>
        <v>0</v>
      </c>
      <c r="G37" s="687">
        <f t="shared" ca="1" si="3"/>
        <v>0.91666666666666663</v>
      </c>
      <c r="H37" s="687">
        <f t="shared" ca="1" si="3"/>
        <v>4.6666666666666661</v>
      </c>
    </row>
    <row r="40" spans="1:8" ht="15.75" customHeight="1">
      <c r="A40" s="24" t="s">
        <v>85</v>
      </c>
    </row>
    <row r="42" spans="1:8" ht="15.75" customHeight="1">
      <c r="A42" s="11" t="s">
        <v>509</v>
      </c>
      <c r="B42" s="118">
        <f>SUM(Ventes!C111:I111)/7</f>
        <v>0</v>
      </c>
      <c r="C42" s="118">
        <f>SUM(Ventes!J111:U111)/12</f>
        <v>0</v>
      </c>
      <c r="D42" s="118">
        <f ca="1">SUM(OFFSET(Ventes!J111:U111,0,12))/12</f>
        <v>0</v>
      </c>
      <c r="E42" s="118">
        <f ca="1">SUM(OFFSET(Ventes!J111:U111,0,24))/12</f>
        <v>0</v>
      </c>
      <c r="F42" s="118">
        <f ca="1">SUM(OFFSET(Ventes!J111:U111,0,36))/12</f>
        <v>0</v>
      </c>
      <c r="G42" s="118">
        <f ca="1">SUM(OFFSET(Ventes!J111:U111,0,48))/12</f>
        <v>0</v>
      </c>
      <c r="H42" s="118">
        <f ca="1">SUM(OFFSET(Ventes!J111:U111,0,60))/12</f>
        <v>1.4166666666666667</v>
      </c>
    </row>
    <row r="43" spans="1:8" ht="15.75" customHeight="1">
      <c r="A43" s="11" t="s">
        <v>276</v>
      </c>
      <c r="B43" s="686">
        <f>SUMIFS('Annexe A  Plan RH'!$I$4:$I$85,'Annexe A  Plan RH'!$A$4:$A$85,"Support",'Annexe A  Plan RH'!Q$4:Q$85,"&gt;0",'Annexe A  Plan RH'!$B$4:$B$85,"CH")</f>
        <v>0</v>
      </c>
      <c r="C43" s="686">
        <f>SUMIFS('Annexe A  Plan RH'!$I$4:$I$85,'Annexe A  Plan RH'!$A$4:$A$85,"Support",'Annexe A  Plan RH'!X$4:X$85,"&gt;0",'Annexe A  Plan RH'!$B$4:$B$85,"CH")</f>
        <v>0</v>
      </c>
      <c r="D43" s="686">
        <f>SUMIFS('Annexe A  Plan RH'!$I$4:$I$85,'Annexe A  Plan RH'!$A$4:$A$85,"Support",'Annexe A  Plan RH'!AJ$4:AJ$85,"&gt;0",'Annexe A  Plan RH'!$B$4:$B$85,"CH")</f>
        <v>0</v>
      </c>
      <c r="E43" s="686">
        <f>SUMIFS('Annexe A  Plan RH'!$I$4:$I$85,'Annexe A  Plan RH'!$A$4:$A$85,"Support",'Annexe A  Plan RH'!AV$4:AV$85,"&gt;0",'Annexe A  Plan RH'!$B$4:$B$85,"CH")</f>
        <v>0</v>
      </c>
      <c r="F43" s="686">
        <f>SUMIFS('Annexe A  Plan RH'!$I$4:$I$85,'Annexe A  Plan RH'!$A$4:$A$85,"Support",'Annexe A  Plan RH'!BH$4:BH$85,"&gt;0",'Annexe A  Plan RH'!$B$4:$B$85,"CH")</f>
        <v>0</v>
      </c>
      <c r="G43" s="686">
        <f>SUMIFS('Annexe A  Plan RH'!$I$4:$I$85,'Annexe A  Plan RH'!$A$4:$A$85,"Support",'Annexe A  Plan RH'!BT$4:BT$85,"&gt;0",'Annexe A  Plan RH'!$B$4:$B$85,"CH")</f>
        <v>0</v>
      </c>
      <c r="H43" s="686">
        <f>SUMIFS('Annexe A  Plan RH'!$I$4:$I$85,'Annexe A  Plan RH'!$A$4:$A$85,"Support",'Annexe A  Plan RH'!CF$4:CF$85,"&gt;0",'Annexe A  Plan RH'!$B$4:$B$85,"CH")</f>
        <v>0</v>
      </c>
    </row>
    <row r="44" spans="1:8" ht="15.75" customHeight="1">
      <c r="A44" s="11" t="s">
        <v>279</v>
      </c>
      <c r="B44" s="686">
        <f>SUMIFS('Annexe A  Plan RH'!$I$4:$I$85,'Annexe A  Plan RH'!$A$4:$A$85,"G&amp;A",'Annexe A  Plan RH'!Q$4:Q$85,"&gt;0",'Annexe A  Plan RH'!$B$4:$B$85,"CH")</f>
        <v>0</v>
      </c>
      <c r="C44" s="686">
        <f>SUMIFS('Annexe A  Plan RH'!$I$4:$I$85,'Annexe A  Plan RH'!$A$4:$A$85,"G&amp;A",'Annexe A  Plan RH'!X$4:X$85,"&gt;0",'Annexe A  Plan RH'!$B$4:$B$85,"CH")</f>
        <v>0</v>
      </c>
      <c r="D44" s="686">
        <f>SUMIFS('Annexe A  Plan RH'!$I$4:$I$85,'Annexe A  Plan RH'!$A$4:$A$85,"G&amp;A",'Annexe A  Plan RH'!AJ$4:AJ$85,"&gt;0",'Annexe A  Plan RH'!$B$4:$B$85,"CH")</f>
        <v>0</v>
      </c>
      <c r="E44" s="686">
        <f>SUMIFS('Annexe A  Plan RH'!$I$4:$I$85,'Annexe A  Plan RH'!$A$4:$A$85,"G&amp;A",'Annexe A  Plan RH'!AV$4:AV$85,"&gt;0",'Annexe A  Plan RH'!$B$4:$B$85,"CH")</f>
        <v>0</v>
      </c>
      <c r="F44" s="686">
        <f>SUMIFS('Annexe A  Plan RH'!$I$4:$I$85,'Annexe A  Plan RH'!$A$4:$A$85,"G&amp;A",'Annexe A  Plan RH'!BH$4:BH$85,"&gt;0",'Annexe A  Plan RH'!$B$4:$B$85,"CH")</f>
        <v>0</v>
      </c>
      <c r="G44" s="686">
        <f>SUMIFS('Annexe A  Plan RH'!$I$4:$I$85,'Annexe A  Plan RH'!$A$4:$A$85,"G&amp;A",'Annexe A  Plan RH'!BT$4:BT$85,"&gt;0",'Annexe A  Plan RH'!$B$4:$B$85,"CH")</f>
        <v>0</v>
      </c>
      <c r="H44" s="686">
        <f>SUMIFS('Annexe A  Plan RH'!$I$4:$I$85,'Annexe A  Plan RH'!$A$4:$A$85,"G&amp;A",'Annexe A  Plan RH'!CF$4:CF$85,"&gt;0",'Annexe A  Plan RH'!$B$4:$B$85,"CH")</f>
        <v>0</v>
      </c>
    </row>
    <row r="45" spans="1:8" ht="15.75" customHeight="1">
      <c r="A45" s="24" t="s">
        <v>427</v>
      </c>
      <c r="B45" s="687">
        <f t="shared" ref="B45:H45" si="4">SUM(B42:B44)</f>
        <v>0</v>
      </c>
      <c r="C45" s="687">
        <f t="shared" si="4"/>
        <v>0</v>
      </c>
      <c r="D45" s="687">
        <f t="shared" ca="1" si="4"/>
        <v>0</v>
      </c>
      <c r="E45" s="687">
        <f t="shared" ca="1" si="4"/>
        <v>0</v>
      </c>
      <c r="F45" s="687">
        <f t="shared" ca="1" si="4"/>
        <v>0</v>
      </c>
      <c r="G45" s="687">
        <f t="shared" ca="1" si="4"/>
        <v>0</v>
      </c>
      <c r="H45" s="687">
        <f t="shared" ca="1" si="4"/>
        <v>1.4166666666666667</v>
      </c>
    </row>
    <row r="48" spans="1:8" ht="15.75" customHeight="1">
      <c r="A48" s="688" t="s">
        <v>86</v>
      </c>
    </row>
    <row r="49" spans="1:8" ht="15.75" customHeight="1">
      <c r="A49" s="108"/>
    </row>
    <row r="50" spans="1:8" ht="15.75" customHeight="1">
      <c r="A50" s="108" t="s">
        <v>509</v>
      </c>
      <c r="B50" s="29">
        <f>SUM(Ventes!C112:I112)/7</f>
        <v>0</v>
      </c>
      <c r="C50" s="118">
        <f>SUM(Ventes!J112:U112)/12</f>
        <v>0</v>
      </c>
      <c r="D50" s="118">
        <f ca="1">SUM(OFFSET(Ventes!J112:U112,0,12))/12</f>
        <v>0</v>
      </c>
      <c r="E50" s="118">
        <f ca="1">SUM(OFFSET(Ventes!J112:U112,0,24))/12</f>
        <v>0</v>
      </c>
      <c r="F50" s="118">
        <f ca="1">SUM(OFFSET(Ventes!J112:U112,0,36))/12</f>
        <v>0</v>
      </c>
      <c r="G50" s="118">
        <f ca="1">SUM(OFFSET(Ventes!J112:U112,0,48))/12</f>
        <v>0</v>
      </c>
      <c r="H50" s="118">
        <f ca="1">SUM(OFFSET(Ventes!J112:U112,0,60))/12</f>
        <v>0</v>
      </c>
    </row>
    <row r="51" spans="1:8" ht="15.75" customHeight="1">
      <c r="A51" s="108" t="s">
        <v>276</v>
      </c>
      <c r="B51" s="29">
        <f>SUM(Ventes!C113:I113)/7</f>
        <v>0</v>
      </c>
      <c r="C51" s="686">
        <f>SUMIFS('Annexe A  Plan RH'!$I$4:$I$85,'Annexe A  Plan RH'!$A$4:$A$85,"Support",'Annexe A  Plan RH'!X$4:X$85,"&gt;0",'Annexe A  Plan RH'!$B$4:$B$85,"BE")</f>
        <v>0</v>
      </c>
      <c r="D51" s="686">
        <f>SUMIFS('Annexe A  Plan RH'!$I$4:$I$85,'Annexe A  Plan RH'!$A$4:$A$85,"Support",'Annexe A  Plan RH'!AJ$4:AJ$85,"&gt;0",'Annexe A  Plan RH'!$B$4:$B$85,"BE")</f>
        <v>0</v>
      </c>
      <c r="E51" s="686">
        <f>SUMIFS('Annexe A  Plan RH'!$I$4:$I$85,'Annexe A  Plan RH'!$A$4:$A$85,"Support",'Annexe A  Plan RH'!AV$4:AV$85,"&gt;0",'Annexe A  Plan RH'!$B$4:$B$85,"BE")</f>
        <v>0</v>
      </c>
      <c r="F51" s="686">
        <f>SUMIFS('Annexe A  Plan RH'!$I$4:$I$85,'Annexe A  Plan RH'!$A$4:$A$85,"Support",'Annexe A  Plan RH'!BH$4:BH$85,"&gt;0",'Annexe A  Plan RH'!$B$4:$B$85,"BE")</f>
        <v>0</v>
      </c>
      <c r="G51" s="686">
        <f>SUMIFS('Annexe A  Plan RH'!$I$4:$I$85,'Annexe A  Plan RH'!$A$4:$A$85,"Support",'Annexe A  Plan RH'!BT$4:BT$85,"&gt;0",'Annexe A  Plan RH'!$B$4:$B$85,"BE")</f>
        <v>0</v>
      </c>
      <c r="H51" s="686">
        <f>SUMIFS('Annexe A  Plan RH'!$I$4:$I$85,'Annexe A  Plan RH'!$A$4:$A$85,"Support",'Annexe A  Plan RH'!CF$4:CF$85,"&gt;0",'Annexe A  Plan RH'!$B$4:$B$85,"BE")</f>
        <v>0</v>
      </c>
    </row>
    <row r="52" spans="1:8" ht="13">
      <c r="A52" s="108" t="s">
        <v>279</v>
      </c>
      <c r="B52" s="29">
        <f>SUM(Ventes!C114:I114)/7</f>
        <v>0</v>
      </c>
      <c r="C52" s="686">
        <f>SUMIFS('Annexe A  Plan RH'!$I$4:$I$85,'Annexe A  Plan RH'!$A$4:$A$85,"G&amp;A",'Annexe A  Plan RH'!X$4:X$85,"&gt;0",'Annexe A  Plan RH'!$B$4:$B$85,"BE")</f>
        <v>0</v>
      </c>
      <c r="D52" s="686">
        <f>SUMIFS('Annexe A  Plan RH'!$I$4:$I$85,'Annexe A  Plan RH'!$A$4:$A$85,"G&amp;A",'Annexe A  Plan RH'!AJ$4:AJ$85,"&gt;0",'Annexe A  Plan RH'!$B$4:$B$85,"BE")</f>
        <v>0</v>
      </c>
      <c r="E52" s="686">
        <f>SUMIFS('Annexe A  Plan RH'!$I$4:$I$85,'Annexe A  Plan RH'!$A$4:$A$85,"G&amp;A",'Annexe A  Plan RH'!AV$4:AV$85,"&gt;0",'Annexe A  Plan RH'!$B$4:$B$85,"BE")</f>
        <v>0</v>
      </c>
      <c r="F52" s="686">
        <f>SUMIFS('Annexe A  Plan RH'!$I$4:$I$85,'Annexe A  Plan RH'!$A$4:$A$85,"G&amp;A",'Annexe A  Plan RH'!BH$4:BH$85,"&gt;0",'Annexe A  Plan RH'!$B$4:$B$85,"BE")</f>
        <v>0</v>
      </c>
      <c r="G52" s="686">
        <f>SUMIFS('Annexe A  Plan RH'!$I$4:$I$85,'Annexe A  Plan RH'!$A$4:$A$85,"G&amp;A",'Annexe A  Plan RH'!BT$4:BT$85,"&gt;0",'Annexe A  Plan RH'!$B$4:$B$85,"BE")</f>
        <v>0</v>
      </c>
      <c r="H52" s="686">
        <f>SUMIFS('Annexe A  Plan RH'!$I$4:$I$85,'Annexe A  Plan RH'!$A$4:$A$85,"G&amp;A",'Annexe A  Plan RH'!CF$4:CF$85,"&gt;0",'Annexe A  Plan RH'!$B$4:$B$85,"BE")</f>
        <v>0</v>
      </c>
    </row>
    <row r="53" spans="1:8" ht="13">
      <c r="A53" s="688" t="s">
        <v>427</v>
      </c>
      <c r="B53" s="8">
        <f t="shared" ref="B53:H53" si="5">SUM(B50:B52)</f>
        <v>0</v>
      </c>
      <c r="C53" s="687">
        <f t="shared" si="5"/>
        <v>0</v>
      </c>
      <c r="D53" s="687">
        <f t="shared" ca="1" si="5"/>
        <v>0</v>
      </c>
      <c r="E53" s="687">
        <f t="shared" ca="1" si="5"/>
        <v>0</v>
      </c>
      <c r="F53" s="687">
        <f t="shared" ca="1" si="5"/>
        <v>0</v>
      </c>
      <c r="G53" s="687">
        <f t="shared" ca="1" si="5"/>
        <v>0</v>
      </c>
      <c r="H53" s="687">
        <f t="shared" ca="1" si="5"/>
        <v>0</v>
      </c>
    </row>
    <row r="54" spans="1:8" ht="13">
      <c r="A54" s="108"/>
    </row>
    <row r="55" spans="1:8" ht="13">
      <c r="A55" s="108"/>
    </row>
    <row r="56" spans="1:8" ht="13">
      <c r="A56" s="688" t="s">
        <v>87</v>
      </c>
    </row>
    <row r="57" spans="1:8" ht="13">
      <c r="A57" s="108"/>
    </row>
    <row r="58" spans="1:8" ht="13">
      <c r="A58" s="108" t="s">
        <v>509</v>
      </c>
      <c r="B58" s="29">
        <f>SUM(Ventes!C113:I113)/7</f>
        <v>0</v>
      </c>
      <c r="C58" s="118">
        <f>SUM(Ventes!J113:U113)/12</f>
        <v>0</v>
      </c>
      <c r="D58" s="118">
        <f ca="1">SUM(OFFSET(Ventes!J113:U113,0,12))/12</f>
        <v>0</v>
      </c>
      <c r="E58" s="118">
        <f ca="1">SUM(OFFSET(Ventes!J113:U113,0,24))/12</f>
        <v>0</v>
      </c>
      <c r="F58" s="118">
        <f ca="1">SUM(OFFSET(Ventes!J113:U113,0,36))/12</f>
        <v>0</v>
      </c>
      <c r="G58" s="118">
        <f ca="1">SUM(OFFSET(Ventes!J113:U113,0,48))/12</f>
        <v>0</v>
      </c>
      <c r="H58" s="118">
        <f ca="1">SUM(OFFSET(Ventes!J113:U113,0,60))/12</f>
        <v>0</v>
      </c>
    </row>
    <row r="59" spans="1:8" ht="13">
      <c r="A59" s="108" t="s">
        <v>276</v>
      </c>
      <c r="B59" s="29">
        <f>SUM(Ventes!C114:I114)/7</f>
        <v>0</v>
      </c>
      <c r="C59" s="686">
        <f>SUMIFS('Annexe A  Plan RH'!$I$4:$I$85,'Annexe A  Plan RH'!$A$4:$A$85,"Support",'Annexe A  Plan RH'!X$4:X$85,"&gt;0",'Annexe A  Plan RH'!$B$4:$B$85,"DE")</f>
        <v>0</v>
      </c>
      <c r="D59" s="686">
        <f>SUMIFS('Annexe A  Plan RH'!$I$4:$I$85,'Annexe A  Plan RH'!$A$4:$A$85,"Support",'Annexe A  Plan RH'!AJ$4:AJ$85,"&gt;0",'Annexe A  Plan RH'!$B$4:$B$85,"DE")</f>
        <v>0</v>
      </c>
      <c r="E59" s="686">
        <f>SUMIFS('Annexe A  Plan RH'!$I$4:$I$85,'Annexe A  Plan RH'!$A$4:$A$85,"Support",'Annexe A  Plan RH'!AV$4:AV$85,"&gt;0",'Annexe A  Plan RH'!$B$4:$B$85,"DE")</f>
        <v>0</v>
      </c>
      <c r="F59" s="686">
        <f>SUMIFS('Annexe A  Plan RH'!$I$4:$I$85,'Annexe A  Plan RH'!$A$4:$A$85,"Support",'Annexe A  Plan RH'!BH$4:BH$85,"&gt;0",'Annexe A  Plan RH'!$B$4:$B$85,"DE")</f>
        <v>0</v>
      </c>
      <c r="G59" s="686">
        <f>SUMIFS('Annexe A  Plan RH'!$I$4:$I$85,'Annexe A  Plan RH'!$A$4:$A$85,"Support",'Annexe A  Plan RH'!BT$4:BT$85,"&gt;0",'Annexe A  Plan RH'!$B$4:$B$85,"DE")</f>
        <v>0</v>
      </c>
      <c r="H59" s="686">
        <f>SUMIFS('Annexe A  Plan RH'!$I$4:$I$85,'Annexe A  Plan RH'!$A$4:$A$85,"Support",'Annexe A  Plan RH'!CF$4:CF$85,"&gt;0",'Annexe A  Plan RH'!$B$4:$B$85,"DE")</f>
        <v>0</v>
      </c>
    </row>
    <row r="60" spans="1:8" ht="13">
      <c r="A60" s="108" t="s">
        <v>279</v>
      </c>
      <c r="B60" s="29">
        <f>SUM(Ventes!C115:I115)/7</f>
        <v>0</v>
      </c>
      <c r="C60" s="686">
        <f>SUMIFS('Annexe A  Plan RH'!$I$4:$I$85,'Annexe A  Plan RH'!$A$4:$A$85,"G&amp;A",'Annexe A  Plan RH'!X$4:X$85,"&gt;0",'Annexe A  Plan RH'!$B$4:$B$85,"DE")</f>
        <v>0</v>
      </c>
      <c r="D60" s="686">
        <f>SUMIFS('Annexe A  Plan RH'!$I$4:$I$85,'Annexe A  Plan RH'!$A$4:$A$85,"G&amp;A",'Annexe A  Plan RH'!AJ$4:AJ$85,"&gt;0",'Annexe A  Plan RH'!$B$4:$B$85,"DE")</f>
        <v>0</v>
      </c>
      <c r="E60" s="686">
        <f>SUMIFS('Annexe A  Plan RH'!$I$4:$I$85,'Annexe A  Plan RH'!$A$4:$A$85,"G&amp;A",'Annexe A  Plan RH'!AV$4:AV$85,"&gt;0",'Annexe A  Plan RH'!$B$4:$B$85,"DE")</f>
        <v>0</v>
      </c>
      <c r="F60" s="686">
        <f>SUMIFS('Annexe A  Plan RH'!$I$4:$I$85,'Annexe A  Plan RH'!$A$4:$A$85,"G&amp;A",'Annexe A  Plan RH'!BH$4:BH$85,"&gt;0",'Annexe A  Plan RH'!$B$4:$B$85,"DE")</f>
        <v>0</v>
      </c>
      <c r="G60" s="686">
        <f>SUMIFS('Annexe A  Plan RH'!$I$4:$I$85,'Annexe A  Plan RH'!$A$4:$A$85,"G&amp;A",'Annexe A  Plan RH'!BT$4:BT$85,"&gt;0",'Annexe A  Plan RH'!$B$4:$B$85,"DE")</f>
        <v>0</v>
      </c>
      <c r="H60" s="686">
        <f>SUMIFS('Annexe A  Plan RH'!$I$4:$I$85,'Annexe A  Plan RH'!$A$4:$A$85,"G&amp;A",'Annexe A  Plan RH'!CF$4:CF$85,"&gt;0",'Annexe A  Plan RH'!$B$4:$B$85,"DE")</f>
        <v>0</v>
      </c>
    </row>
    <row r="61" spans="1:8" ht="13">
      <c r="A61" s="688" t="s">
        <v>427</v>
      </c>
      <c r="B61" s="8">
        <f t="shared" ref="B61:H61" si="6">SUM(B58:B60)</f>
        <v>0</v>
      </c>
      <c r="C61" s="687">
        <f t="shared" si="6"/>
        <v>0</v>
      </c>
      <c r="D61" s="687">
        <f t="shared" ca="1" si="6"/>
        <v>0</v>
      </c>
      <c r="E61" s="687">
        <f t="shared" ca="1" si="6"/>
        <v>0</v>
      </c>
      <c r="F61" s="687">
        <f t="shared" ca="1" si="6"/>
        <v>0</v>
      </c>
      <c r="G61" s="687">
        <f t="shared" ca="1" si="6"/>
        <v>0</v>
      </c>
      <c r="H61" s="687">
        <f t="shared" ca="1" si="6"/>
        <v>0</v>
      </c>
    </row>
    <row r="65" spans="1:8" ht="13">
      <c r="A65" s="11" t="s">
        <v>510</v>
      </c>
      <c r="B65" s="118">
        <f t="shared" ref="B65:H65" si="7">B58+B50+B42+B34</f>
        <v>0</v>
      </c>
      <c r="C65" s="118">
        <f t="shared" si="7"/>
        <v>0</v>
      </c>
      <c r="D65" s="118">
        <f t="shared" ca="1" si="7"/>
        <v>0</v>
      </c>
      <c r="E65" s="118">
        <f t="shared" ca="1" si="7"/>
        <v>0</v>
      </c>
      <c r="F65" s="118">
        <f t="shared" ca="1" si="7"/>
        <v>0</v>
      </c>
      <c r="G65" s="118">
        <f t="shared" ca="1" si="7"/>
        <v>0.91666666666666663</v>
      </c>
      <c r="H65" s="118">
        <f t="shared" ca="1" si="7"/>
        <v>5.083333333333333</v>
      </c>
    </row>
  </sheetData>
  <mergeCells count="1">
    <mergeCell ref="B22:H2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3:DN128"/>
  <sheetViews>
    <sheetView topLeftCell="A35" workbookViewId="0">
      <selection activeCell="D110" sqref="D110"/>
    </sheetView>
  </sheetViews>
  <sheetFormatPr baseColWidth="10" defaultColWidth="12.6640625" defaultRowHeight="15.75" customHeight="1"/>
  <cols>
    <col min="1" max="1" width="31.5" customWidth="1"/>
  </cols>
  <sheetData>
    <row r="3" spans="1:118" ht="13">
      <c r="A3" s="24" t="s">
        <v>511</v>
      </c>
    </row>
    <row r="5" spans="1:118" ht="13">
      <c r="A5" s="11"/>
      <c r="B5" s="689"/>
    </row>
    <row r="6" spans="1:118" ht="13">
      <c r="A6" s="11" t="s">
        <v>593</v>
      </c>
      <c r="B6" s="689">
        <v>44348</v>
      </c>
      <c r="D6" s="11" t="s">
        <v>512</v>
      </c>
    </row>
    <row r="7" spans="1:118" ht="13">
      <c r="A7" s="11" t="s">
        <v>513</v>
      </c>
      <c r="B7" s="689">
        <v>43160</v>
      </c>
    </row>
    <row r="8" spans="1:118" ht="13">
      <c r="A8" s="11" t="s">
        <v>514</v>
      </c>
      <c r="B8" s="689">
        <v>43831</v>
      </c>
    </row>
    <row r="9" spans="1:118" ht="13">
      <c r="A9" s="11" t="s">
        <v>515</v>
      </c>
      <c r="B9" s="689"/>
      <c r="C9" s="59">
        <v>2025</v>
      </c>
      <c r="D9" s="59">
        <v>2026</v>
      </c>
      <c r="E9" s="59">
        <v>2027</v>
      </c>
      <c r="F9" s="59">
        <v>2028</v>
      </c>
      <c r="G9" s="59">
        <v>2029</v>
      </c>
      <c r="H9" s="59">
        <v>2030</v>
      </c>
      <c r="I9" s="59">
        <v>2031</v>
      </c>
    </row>
    <row r="10" spans="1:118" ht="13">
      <c r="A10" s="11"/>
      <c r="B10" s="689"/>
      <c r="C10" s="19"/>
      <c r="D10" s="690">
        <v>50000</v>
      </c>
      <c r="E10" s="690">
        <v>100000</v>
      </c>
      <c r="F10" s="690">
        <v>200000</v>
      </c>
      <c r="G10" s="690">
        <v>250000</v>
      </c>
      <c r="H10" s="690">
        <v>300000</v>
      </c>
      <c r="I10" s="690">
        <v>600000</v>
      </c>
    </row>
    <row r="11" spans="1:118" ht="13">
      <c r="A11" s="11"/>
      <c r="B11" s="689"/>
    </row>
    <row r="12" spans="1:118" ht="13">
      <c r="A12" s="11"/>
      <c r="B12" s="689"/>
    </row>
    <row r="13" spans="1:118" ht="13">
      <c r="A13" s="24"/>
    </row>
    <row r="14" spans="1:118" ht="14" hidden="1">
      <c r="A14" s="537" t="s">
        <v>62</v>
      </c>
      <c r="B14" s="8" t="s">
        <v>516</v>
      </c>
      <c r="C14" s="8" t="s">
        <v>517</v>
      </c>
      <c r="D14" s="8" t="s">
        <v>518</v>
      </c>
      <c r="E14" s="8" t="s">
        <v>519</v>
      </c>
      <c r="F14" s="8" t="s">
        <v>520</v>
      </c>
      <c r="G14" s="8" t="s">
        <v>521</v>
      </c>
      <c r="H14" s="8" t="s">
        <v>522</v>
      </c>
      <c r="I14" s="8" t="s">
        <v>523</v>
      </c>
      <c r="J14" s="8" t="s">
        <v>524</v>
      </c>
      <c r="K14" s="8" t="s">
        <v>525</v>
      </c>
      <c r="L14" s="8" t="s">
        <v>526</v>
      </c>
      <c r="M14" s="8" t="s">
        <v>527</v>
      </c>
      <c r="N14" s="8" t="s">
        <v>528</v>
      </c>
      <c r="O14" s="8" t="s">
        <v>529</v>
      </c>
      <c r="P14" s="8" t="s">
        <v>530</v>
      </c>
      <c r="Q14" s="8" t="s">
        <v>531</v>
      </c>
      <c r="R14" s="8" t="s">
        <v>532</v>
      </c>
      <c r="S14" s="8" t="s">
        <v>533</v>
      </c>
      <c r="T14" s="8" t="s">
        <v>534</v>
      </c>
      <c r="U14" s="8" t="s">
        <v>535</v>
      </c>
      <c r="V14" s="8" t="s">
        <v>536</v>
      </c>
      <c r="W14" s="8" t="s">
        <v>537</v>
      </c>
      <c r="X14" s="8" t="s">
        <v>538</v>
      </c>
      <c r="Y14" s="8" t="s">
        <v>539</v>
      </c>
      <c r="Z14" s="8" t="s">
        <v>540</v>
      </c>
      <c r="AA14" s="8" t="s">
        <v>541</v>
      </c>
      <c r="AB14" s="8" t="s">
        <v>542</v>
      </c>
      <c r="AC14" s="8" t="s">
        <v>543</v>
      </c>
      <c r="AD14" s="8" t="s">
        <v>544</v>
      </c>
      <c r="AE14" s="8" t="s">
        <v>545</v>
      </c>
      <c r="AF14" s="8" t="s">
        <v>546</v>
      </c>
      <c r="AG14" s="8" t="s">
        <v>547</v>
      </c>
      <c r="AH14" s="8" t="s">
        <v>548</v>
      </c>
      <c r="AI14" s="8" t="s">
        <v>549</v>
      </c>
      <c r="AJ14" s="8" t="s">
        <v>550</v>
      </c>
      <c r="AK14" s="8" t="s">
        <v>551</v>
      </c>
      <c r="AL14" s="8" t="s">
        <v>552</v>
      </c>
      <c r="AM14" s="8" t="s">
        <v>553</v>
      </c>
      <c r="AN14" s="8" t="s">
        <v>554</v>
      </c>
      <c r="AO14" s="8" t="s">
        <v>555</v>
      </c>
      <c r="AP14" s="8" t="s">
        <v>556</v>
      </c>
      <c r="AQ14" s="8" t="s">
        <v>557</v>
      </c>
      <c r="AR14" s="8" t="s">
        <v>558</v>
      </c>
      <c r="AS14" s="8" t="s">
        <v>559</v>
      </c>
      <c r="AT14" s="8" t="s">
        <v>560</v>
      </c>
      <c r="AU14" s="8" t="s">
        <v>561</v>
      </c>
      <c r="AV14" s="8" t="s">
        <v>562</v>
      </c>
      <c r="AW14" s="8" t="s">
        <v>563</v>
      </c>
      <c r="AX14" s="8" t="s">
        <v>564</v>
      </c>
      <c r="AY14" s="8" t="s">
        <v>565</v>
      </c>
      <c r="AZ14" s="8" t="s">
        <v>566</v>
      </c>
      <c r="BA14" s="8" t="s">
        <v>567</v>
      </c>
      <c r="BB14" s="8" t="s">
        <v>568</v>
      </c>
      <c r="BC14" s="8" t="s">
        <v>569</v>
      </c>
      <c r="BD14" s="8" t="s">
        <v>570</v>
      </c>
      <c r="BE14" s="8" t="s">
        <v>571</v>
      </c>
      <c r="BF14" s="8" t="s">
        <v>572</v>
      </c>
      <c r="BG14" s="8" t="s">
        <v>573</v>
      </c>
      <c r="BH14" s="8" t="s">
        <v>574</v>
      </c>
      <c r="BI14" s="8" t="s">
        <v>575</v>
      </c>
      <c r="BJ14" s="8" t="s">
        <v>576</v>
      </c>
      <c r="BK14" s="8" t="s">
        <v>577</v>
      </c>
      <c r="BL14" s="8" t="s">
        <v>578</v>
      </c>
      <c r="BM14" s="8" t="s">
        <v>579</v>
      </c>
      <c r="BN14" s="8" t="s">
        <v>580</v>
      </c>
      <c r="BO14" s="8" t="s">
        <v>581</v>
      </c>
      <c r="BP14" s="8" t="s">
        <v>582</v>
      </c>
      <c r="BQ14" s="8" t="s">
        <v>583</v>
      </c>
      <c r="BR14" s="8" t="s">
        <v>584</v>
      </c>
      <c r="BS14" s="8" t="s">
        <v>585</v>
      </c>
      <c r="BT14" s="8" t="s">
        <v>586</v>
      </c>
      <c r="BU14" s="8" t="s">
        <v>587</v>
      </c>
      <c r="BV14" s="8" t="s">
        <v>588</v>
      </c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</row>
    <row r="15" spans="1:118" ht="14" hidden="1">
      <c r="A15" s="305" t="s">
        <v>185</v>
      </c>
    </row>
    <row r="16" spans="1:118" ht="14" hidden="1">
      <c r="A16" s="305" t="s">
        <v>186</v>
      </c>
    </row>
    <row r="17" spans="1:1" ht="14" hidden="1">
      <c r="A17" s="194" t="s">
        <v>187</v>
      </c>
    </row>
    <row r="18" spans="1:1" ht="14" hidden="1">
      <c r="A18" s="194" t="s">
        <v>188</v>
      </c>
    </row>
    <row r="19" spans="1:1" ht="14" hidden="1">
      <c r="A19" s="305" t="s">
        <v>189</v>
      </c>
    </row>
    <row r="20" spans="1:1" ht="14" hidden="1">
      <c r="A20" s="305" t="s">
        <v>190</v>
      </c>
    </row>
    <row r="21" spans="1:1" ht="14" hidden="1">
      <c r="A21" s="194" t="s">
        <v>191</v>
      </c>
    </row>
    <row r="22" spans="1:1" ht="14" hidden="1">
      <c r="A22" s="194" t="s">
        <v>198</v>
      </c>
    </row>
    <row r="23" spans="1:1" ht="14" hidden="1">
      <c r="A23" s="194" t="s">
        <v>199</v>
      </c>
    </row>
    <row r="24" spans="1:1" ht="14" hidden="1">
      <c r="A24" s="194" t="s">
        <v>200</v>
      </c>
    </row>
    <row r="25" spans="1:1" ht="14" hidden="1">
      <c r="A25" s="194" t="s">
        <v>195</v>
      </c>
    </row>
    <row r="26" spans="1:1" ht="14" hidden="1">
      <c r="A26" s="194" t="s">
        <v>197</v>
      </c>
    </row>
    <row r="31" spans="1:1" ht="13">
      <c r="A31" s="24" t="s">
        <v>589</v>
      </c>
    </row>
    <row r="32" spans="1:1" ht="13">
      <c r="A32" s="24"/>
    </row>
    <row r="34" spans="1:118" ht="13">
      <c r="A34" s="11"/>
      <c r="B34" s="691"/>
    </row>
    <row r="35" spans="1:118" ht="13">
      <c r="A35" s="11" t="s">
        <v>593</v>
      </c>
      <c r="B35" s="689">
        <f>'Plan stratégique  likewatt'!G39+180</f>
        <v>47695</v>
      </c>
    </row>
    <row r="36" spans="1:118" ht="13">
      <c r="A36" s="11" t="s">
        <v>513</v>
      </c>
      <c r="B36" s="689">
        <f>'Plan stratégique  likewatt'!G39</f>
        <v>47515</v>
      </c>
    </row>
    <row r="37" spans="1:118" ht="13">
      <c r="A37" s="11" t="s">
        <v>514</v>
      </c>
      <c r="B37" s="689">
        <f>'Plan stratégique  likewatt'!G39+180</f>
        <v>47695</v>
      </c>
    </row>
    <row r="38" spans="1:118" ht="13">
      <c r="A38" s="11" t="s">
        <v>515</v>
      </c>
      <c r="C38" s="59">
        <v>2025</v>
      </c>
      <c r="D38" s="59">
        <v>2026</v>
      </c>
      <c r="E38" s="59">
        <v>2027</v>
      </c>
      <c r="F38" s="59">
        <v>2028</v>
      </c>
      <c r="G38" s="59">
        <v>2029</v>
      </c>
      <c r="H38" s="59">
        <v>2030</v>
      </c>
      <c r="I38" s="59">
        <v>2031</v>
      </c>
    </row>
    <row r="39" spans="1:118" ht="13">
      <c r="C39" s="19"/>
      <c r="D39" s="690">
        <v>20000</v>
      </c>
      <c r="E39" s="690">
        <v>150000</v>
      </c>
      <c r="F39" s="690">
        <v>200000</v>
      </c>
      <c r="G39" s="690">
        <v>250000</v>
      </c>
      <c r="H39" s="690">
        <v>300000</v>
      </c>
      <c r="I39" s="690">
        <v>400000</v>
      </c>
    </row>
    <row r="41" spans="1:118" ht="14" hidden="1">
      <c r="A41" s="537" t="s">
        <v>62</v>
      </c>
      <c r="B41" s="8" t="s">
        <v>516</v>
      </c>
      <c r="C41" s="8" t="s">
        <v>517</v>
      </c>
      <c r="D41" s="8" t="s">
        <v>518</v>
      </c>
      <c r="E41" s="8" t="s">
        <v>519</v>
      </c>
      <c r="F41" s="8" t="s">
        <v>520</v>
      </c>
      <c r="G41" s="8" t="s">
        <v>521</v>
      </c>
      <c r="H41" s="8" t="s">
        <v>522</v>
      </c>
      <c r="I41" s="8" t="s">
        <v>523</v>
      </c>
      <c r="J41" s="8" t="s">
        <v>524</v>
      </c>
      <c r="K41" s="8" t="s">
        <v>525</v>
      </c>
      <c r="L41" s="8" t="s">
        <v>526</v>
      </c>
      <c r="M41" s="8" t="s">
        <v>527</v>
      </c>
      <c r="N41" s="8" t="s">
        <v>528</v>
      </c>
      <c r="O41" s="8" t="s">
        <v>529</v>
      </c>
      <c r="P41" s="8" t="s">
        <v>530</v>
      </c>
      <c r="Q41" s="8" t="s">
        <v>531</v>
      </c>
      <c r="R41" s="8" t="s">
        <v>532</v>
      </c>
      <c r="S41" s="8" t="s">
        <v>533</v>
      </c>
      <c r="T41" s="8" t="s">
        <v>534</v>
      </c>
      <c r="U41" s="8" t="s">
        <v>535</v>
      </c>
      <c r="V41" s="8" t="s">
        <v>536</v>
      </c>
      <c r="W41" s="8" t="s">
        <v>537</v>
      </c>
      <c r="X41" s="8" t="s">
        <v>538</v>
      </c>
      <c r="Y41" s="8" t="s">
        <v>539</v>
      </c>
      <c r="Z41" s="8" t="s">
        <v>540</v>
      </c>
      <c r="AA41" s="8" t="s">
        <v>541</v>
      </c>
      <c r="AB41" s="8" t="s">
        <v>542</v>
      </c>
      <c r="AC41" s="8" t="s">
        <v>543</v>
      </c>
      <c r="AD41" s="8" t="s">
        <v>544</v>
      </c>
      <c r="AE41" s="8" t="s">
        <v>545</v>
      </c>
      <c r="AF41" s="8" t="s">
        <v>546</v>
      </c>
      <c r="AG41" s="8" t="s">
        <v>547</v>
      </c>
      <c r="AH41" s="8" t="s">
        <v>548</v>
      </c>
      <c r="AI41" s="8" t="s">
        <v>549</v>
      </c>
      <c r="AJ41" s="8" t="s">
        <v>550</v>
      </c>
      <c r="AK41" s="8" t="s">
        <v>551</v>
      </c>
      <c r="AL41" s="8" t="s">
        <v>552</v>
      </c>
      <c r="AM41" s="8" t="s">
        <v>553</v>
      </c>
      <c r="AN41" s="8" t="s">
        <v>554</v>
      </c>
      <c r="AO41" s="8" t="s">
        <v>555</v>
      </c>
      <c r="AP41" s="8" t="s">
        <v>556</v>
      </c>
      <c r="AQ41" s="8" t="s">
        <v>557</v>
      </c>
      <c r="AR41" s="8" t="s">
        <v>558</v>
      </c>
      <c r="AS41" s="8" t="s">
        <v>559</v>
      </c>
      <c r="AT41" s="8" t="s">
        <v>560</v>
      </c>
      <c r="AU41" s="8" t="s">
        <v>561</v>
      </c>
      <c r="AV41" s="8" t="s">
        <v>562</v>
      </c>
      <c r="AW41" s="8" t="s">
        <v>563</v>
      </c>
      <c r="AX41" s="8" t="s">
        <v>564</v>
      </c>
      <c r="AY41" s="8" t="s">
        <v>565</v>
      </c>
      <c r="AZ41" s="8" t="s">
        <v>566</v>
      </c>
      <c r="BA41" s="8" t="s">
        <v>567</v>
      </c>
      <c r="BB41" s="8" t="s">
        <v>568</v>
      </c>
      <c r="BC41" s="8" t="s">
        <v>569</v>
      </c>
      <c r="BD41" s="8" t="s">
        <v>570</v>
      </c>
      <c r="BE41" s="8" t="s">
        <v>571</v>
      </c>
      <c r="BF41" s="8" t="s">
        <v>572</v>
      </c>
      <c r="BG41" s="8" t="s">
        <v>573</v>
      </c>
      <c r="BH41" s="8" t="s">
        <v>574</v>
      </c>
      <c r="BI41" s="8" t="s">
        <v>575</v>
      </c>
      <c r="BJ41" s="8" t="s">
        <v>576</v>
      </c>
      <c r="BK41" s="8" t="s">
        <v>577</v>
      </c>
      <c r="BL41" s="8" t="s">
        <v>578</v>
      </c>
      <c r="BM41" s="8" t="s">
        <v>579</v>
      </c>
      <c r="BN41" s="8" t="s">
        <v>580</v>
      </c>
      <c r="BO41" s="8" t="s">
        <v>581</v>
      </c>
      <c r="BP41" s="8" t="s">
        <v>582</v>
      </c>
      <c r="BQ41" s="8" t="s">
        <v>583</v>
      </c>
      <c r="BR41" s="8" t="s">
        <v>584</v>
      </c>
      <c r="BS41" s="8" t="s">
        <v>585</v>
      </c>
      <c r="BT41" s="8" t="s">
        <v>586</v>
      </c>
      <c r="BU41" s="8" t="s">
        <v>587</v>
      </c>
      <c r="BV41" s="8" t="s">
        <v>588</v>
      </c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</row>
    <row r="42" spans="1:118" ht="14" hidden="1">
      <c r="A42" s="305" t="s">
        <v>185</v>
      </c>
    </row>
    <row r="43" spans="1:118" ht="14" hidden="1">
      <c r="A43" s="305" t="s">
        <v>186</v>
      </c>
    </row>
    <row r="44" spans="1:118" ht="14" hidden="1">
      <c r="A44" s="194" t="s">
        <v>187</v>
      </c>
    </row>
    <row r="45" spans="1:118" ht="14" hidden="1">
      <c r="A45" s="194" t="s">
        <v>188</v>
      </c>
    </row>
    <row r="46" spans="1:118" ht="14" hidden="1">
      <c r="A46" s="305" t="s">
        <v>189</v>
      </c>
    </row>
    <row r="47" spans="1:118" ht="14" hidden="1">
      <c r="A47" s="305" t="s">
        <v>190</v>
      </c>
    </row>
    <row r="48" spans="1:118" ht="14" hidden="1">
      <c r="A48" s="194" t="s">
        <v>191</v>
      </c>
    </row>
    <row r="49" spans="1:2" ht="14" hidden="1">
      <c r="A49" s="194" t="s">
        <v>198</v>
      </c>
    </row>
    <row r="50" spans="1:2" ht="14" hidden="1">
      <c r="A50" s="194" t="s">
        <v>199</v>
      </c>
    </row>
    <row r="51" spans="1:2" ht="14" hidden="1">
      <c r="A51" s="194" t="s">
        <v>200</v>
      </c>
    </row>
    <row r="52" spans="1:2" ht="14" hidden="1">
      <c r="A52" s="194" t="s">
        <v>195</v>
      </c>
    </row>
    <row r="53" spans="1:2" ht="14" hidden="1">
      <c r="A53" s="194" t="s">
        <v>197</v>
      </c>
    </row>
    <row r="58" spans="1:2" ht="13">
      <c r="A58" s="24"/>
    </row>
    <row r="59" spans="1:2" ht="13">
      <c r="A59" s="24" t="s">
        <v>590</v>
      </c>
    </row>
    <row r="61" spans="1:2" ht="13">
      <c r="A61" s="11" t="s">
        <v>593</v>
      </c>
      <c r="B61" s="689">
        <f>'Plan stratégique  likewatt'!G40+180</f>
        <v>48061</v>
      </c>
    </row>
    <row r="62" spans="1:2" ht="13">
      <c r="A62" s="11" t="s">
        <v>513</v>
      </c>
      <c r="B62" s="689">
        <f>'Plan stratégique  likewatt'!G40</f>
        <v>47881</v>
      </c>
    </row>
    <row r="63" spans="1:2" ht="13">
      <c r="A63" s="11" t="s">
        <v>514</v>
      </c>
      <c r="B63" s="689">
        <f>'Plan stratégique  likewatt'!G40+180</f>
        <v>48061</v>
      </c>
    </row>
    <row r="64" spans="1:2" ht="13">
      <c r="A64" s="11" t="s">
        <v>514</v>
      </c>
      <c r="B64" s="691"/>
    </row>
    <row r="65" spans="1:118" ht="13">
      <c r="A65" s="11" t="s">
        <v>515</v>
      </c>
      <c r="C65" s="59">
        <v>2025</v>
      </c>
      <c r="D65" s="59">
        <v>2026</v>
      </c>
      <c r="E65" s="59">
        <v>2027</v>
      </c>
      <c r="F65" s="59">
        <v>2028</v>
      </c>
      <c r="G65" s="59">
        <v>2029</v>
      </c>
      <c r="H65" s="59">
        <v>2030</v>
      </c>
      <c r="I65" s="59">
        <v>2031</v>
      </c>
    </row>
    <row r="66" spans="1:118" ht="13">
      <c r="C66" s="19"/>
      <c r="D66" s="690"/>
      <c r="E66" s="690">
        <v>150000</v>
      </c>
      <c r="F66" s="690">
        <v>200000</v>
      </c>
      <c r="G66" s="690">
        <v>250000</v>
      </c>
      <c r="H66" s="690">
        <v>300000</v>
      </c>
      <c r="I66" s="690">
        <v>500000</v>
      </c>
    </row>
    <row r="68" spans="1:118" ht="14" hidden="1">
      <c r="A68" s="537" t="s">
        <v>62</v>
      </c>
      <c r="B68" s="8" t="s">
        <v>516</v>
      </c>
      <c r="C68" s="8" t="s">
        <v>517</v>
      </c>
      <c r="D68" s="8" t="s">
        <v>518</v>
      </c>
      <c r="E68" s="8" t="s">
        <v>519</v>
      </c>
      <c r="F68" s="8" t="s">
        <v>520</v>
      </c>
      <c r="G68" s="8" t="s">
        <v>521</v>
      </c>
      <c r="H68" s="8" t="s">
        <v>522</v>
      </c>
      <c r="I68" s="8" t="s">
        <v>523</v>
      </c>
      <c r="J68" s="8" t="s">
        <v>524</v>
      </c>
      <c r="K68" s="8" t="s">
        <v>525</v>
      </c>
      <c r="L68" s="8" t="s">
        <v>526</v>
      </c>
      <c r="M68" s="8" t="s">
        <v>527</v>
      </c>
      <c r="N68" s="8" t="s">
        <v>528</v>
      </c>
      <c r="O68" s="8" t="s">
        <v>529</v>
      </c>
      <c r="P68" s="8" t="s">
        <v>530</v>
      </c>
      <c r="Q68" s="8" t="s">
        <v>531</v>
      </c>
      <c r="R68" s="8" t="s">
        <v>532</v>
      </c>
      <c r="S68" s="8" t="s">
        <v>533</v>
      </c>
      <c r="T68" s="8" t="s">
        <v>534</v>
      </c>
      <c r="U68" s="8" t="s">
        <v>535</v>
      </c>
      <c r="V68" s="8" t="s">
        <v>536</v>
      </c>
      <c r="W68" s="8" t="s">
        <v>537</v>
      </c>
      <c r="X68" s="8" t="s">
        <v>538</v>
      </c>
      <c r="Y68" s="8" t="s">
        <v>539</v>
      </c>
      <c r="Z68" s="8" t="s">
        <v>540</v>
      </c>
      <c r="AA68" s="8" t="s">
        <v>541</v>
      </c>
      <c r="AB68" s="8" t="s">
        <v>542</v>
      </c>
      <c r="AC68" s="8" t="s">
        <v>543</v>
      </c>
      <c r="AD68" s="8" t="s">
        <v>544</v>
      </c>
      <c r="AE68" s="8" t="s">
        <v>545</v>
      </c>
      <c r="AF68" s="8" t="s">
        <v>546</v>
      </c>
      <c r="AG68" s="8" t="s">
        <v>547</v>
      </c>
      <c r="AH68" s="8" t="s">
        <v>548</v>
      </c>
      <c r="AI68" s="8" t="s">
        <v>549</v>
      </c>
      <c r="AJ68" s="8" t="s">
        <v>550</v>
      </c>
      <c r="AK68" s="8" t="s">
        <v>551</v>
      </c>
      <c r="AL68" s="8" t="s">
        <v>552</v>
      </c>
      <c r="AM68" s="8" t="s">
        <v>553</v>
      </c>
      <c r="AN68" s="8" t="s">
        <v>554</v>
      </c>
      <c r="AO68" s="8" t="s">
        <v>555</v>
      </c>
      <c r="AP68" s="8" t="s">
        <v>556</v>
      </c>
      <c r="AQ68" s="8" t="s">
        <v>557</v>
      </c>
      <c r="AR68" s="8" t="s">
        <v>558</v>
      </c>
      <c r="AS68" s="8" t="s">
        <v>559</v>
      </c>
      <c r="AT68" s="8" t="s">
        <v>560</v>
      </c>
      <c r="AU68" s="8" t="s">
        <v>561</v>
      </c>
      <c r="AV68" s="8" t="s">
        <v>562</v>
      </c>
      <c r="AW68" s="8" t="s">
        <v>563</v>
      </c>
      <c r="AX68" s="8" t="s">
        <v>564</v>
      </c>
      <c r="AY68" s="8" t="s">
        <v>565</v>
      </c>
      <c r="AZ68" s="8" t="s">
        <v>566</v>
      </c>
      <c r="BA68" s="8" t="s">
        <v>567</v>
      </c>
      <c r="BB68" s="8" t="s">
        <v>568</v>
      </c>
      <c r="BC68" s="8" t="s">
        <v>569</v>
      </c>
      <c r="BD68" s="8" t="s">
        <v>570</v>
      </c>
      <c r="BE68" s="8" t="s">
        <v>571</v>
      </c>
      <c r="BF68" s="8" t="s">
        <v>572</v>
      </c>
      <c r="BG68" s="8" t="s">
        <v>573</v>
      </c>
      <c r="BH68" s="8" t="s">
        <v>574</v>
      </c>
      <c r="BI68" s="8" t="s">
        <v>575</v>
      </c>
      <c r="BJ68" s="8" t="s">
        <v>576</v>
      </c>
      <c r="BK68" s="8" t="s">
        <v>577</v>
      </c>
      <c r="BL68" s="8" t="s">
        <v>578</v>
      </c>
      <c r="BM68" s="8" t="s">
        <v>579</v>
      </c>
      <c r="BN68" s="8" t="s">
        <v>580</v>
      </c>
      <c r="BO68" s="8" t="s">
        <v>581</v>
      </c>
      <c r="BP68" s="8" t="s">
        <v>582</v>
      </c>
      <c r="BQ68" s="8" t="s">
        <v>583</v>
      </c>
      <c r="BR68" s="8" t="s">
        <v>584</v>
      </c>
      <c r="BS68" s="8" t="s">
        <v>585</v>
      </c>
      <c r="BT68" s="8" t="s">
        <v>586</v>
      </c>
      <c r="BU68" s="8" t="s">
        <v>587</v>
      </c>
      <c r="BV68" s="8" t="s">
        <v>588</v>
      </c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</row>
    <row r="69" spans="1:118" ht="14" hidden="1">
      <c r="A69" s="305" t="s">
        <v>185</v>
      </c>
    </row>
    <row r="70" spans="1:118" ht="14" hidden="1">
      <c r="A70" s="305" t="s">
        <v>186</v>
      </c>
    </row>
    <row r="71" spans="1:118" ht="14" hidden="1">
      <c r="A71" s="194" t="s">
        <v>187</v>
      </c>
    </row>
    <row r="72" spans="1:118" ht="14" hidden="1">
      <c r="A72" s="194" t="s">
        <v>188</v>
      </c>
    </row>
    <row r="73" spans="1:118" ht="14" hidden="1">
      <c r="A73" s="305" t="s">
        <v>189</v>
      </c>
    </row>
    <row r="74" spans="1:118" ht="14" hidden="1">
      <c r="A74" s="305" t="s">
        <v>190</v>
      </c>
    </row>
    <row r="75" spans="1:118" ht="14" hidden="1">
      <c r="A75" s="194" t="s">
        <v>191</v>
      </c>
    </row>
    <row r="76" spans="1:118" ht="14" hidden="1">
      <c r="A76" s="194" t="s">
        <v>198</v>
      </c>
    </row>
    <row r="77" spans="1:118" ht="14" hidden="1">
      <c r="A77" s="194" t="s">
        <v>199</v>
      </c>
    </row>
    <row r="78" spans="1:118" ht="14" hidden="1">
      <c r="A78" s="194" t="s">
        <v>200</v>
      </c>
    </row>
    <row r="79" spans="1:118" ht="14" hidden="1">
      <c r="A79" s="194" t="s">
        <v>195</v>
      </c>
    </row>
    <row r="80" spans="1:118" ht="14" hidden="1">
      <c r="A80" s="194" t="s">
        <v>197</v>
      </c>
    </row>
    <row r="83" spans="1:118" ht="13">
      <c r="A83" s="24" t="s">
        <v>591</v>
      </c>
    </row>
    <row r="85" spans="1:118" ht="13">
      <c r="A85" s="11" t="s">
        <v>593</v>
      </c>
      <c r="B85" s="689">
        <f>'Plan stratégique  likewatt'!G$41+180</f>
        <v>48427</v>
      </c>
    </row>
    <row r="86" spans="1:118" ht="13">
      <c r="A86" s="11" t="s">
        <v>513</v>
      </c>
      <c r="B86" s="689">
        <f>'Plan stratégique  likewatt'!G$41</f>
        <v>48247</v>
      </c>
    </row>
    <row r="87" spans="1:118" ht="13">
      <c r="A87" s="11" t="s">
        <v>514</v>
      </c>
      <c r="B87" s="689">
        <f>'Plan stratégique  likewatt'!G$41</f>
        <v>48247</v>
      </c>
    </row>
    <row r="88" spans="1:118" ht="13">
      <c r="A88" s="11" t="s">
        <v>514</v>
      </c>
      <c r="B88" s="691"/>
    </row>
    <row r="89" spans="1:118" ht="13">
      <c r="A89" s="11" t="s">
        <v>515</v>
      </c>
      <c r="C89" s="59">
        <v>2025</v>
      </c>
      <c r="D89" s="59">
        <v>2026</v>
      </c>
      <c r="E89" s="59">
        <v>2027</v>
      </c>
      <c r="F89" s="59">
        <v>2028</v>
      </c>
      <c r="G89" s="59">
        <v>2029</v>
      </c>
      <c r="H89" s="59">
        <v>2030</v>
      </c>
      <c r="I89" s="59">
        <v>2031</v>
      </c>
    </row>
    <row r="90" spans="1:118" ht="13">
      <c r="C90" s="19"/>
      <c r="D90" s="690"/>
      <c r="E90" s="690">
        <v>150000</v>
      </c>
      <c r="F90" s="690">
        <v>200000</v>
      </c>
      <c r="G90" s="690">
        <v>250000</v>
      </c>
      <c r="H90" s="690">
        <v>300000</v>
      </c>
      <c r="I90" s="690">
        <v>400000</v>
      </c>
    </row>
    <row r="92" spans="1:118" ht="14" hidden="1">
      <c r="A92" s="537" t="s">
        <v>62</v>
      </c>
      <c r="B92" s="8" t="s">
        <v>516</v>
      </c>
      <c r="C92" s="8" t="s">
        <v>517</v>
      </c>
      <c r="D92" s="8" t="s">
        <v>518</v>
      </c>
      <c r="E92" s="8" t="s">
        <v>519</v>
      </c>
      <c r="F92" s="8" t="s">
        <v>520</v>
      </c>
      <c r="G92" s="8" t="s">
        <v>521</v>
      </c>
      <c r="H92" s="8" t="s">
        <v>522</v>
      </c>
      <c r="I92" s="8" t="s">
        <v>523</v>
      </c>
      <c r="J92" s="8" t="s">
        <v>524</v>
      </c>
      <c r="K92" s="8" t="s">
        <v>525</v>
      </c>
      <c r="L92" s="8" t="s">
        <v>526</v>
      </c>
      <c r="M92" s="8" t="s">
        <v>527</v>
      </c>
      <c r="N92" s="8" t="s">
        <v>528</v>
      </c>
      <c r="O92" s="8" t="s">
        <v>529</v>
      </c>
      <c r="P92" s="8" t="s">
        <v>530</v>
      </c>
      <c r="Q92" s="8" t="s">
        <v>531</v>
      </c>
      <c r="R92" s="8" t="s">
        <v>532</v>
      </c>
      <c r="S92" s="8" t="s">
        <v>533</v>
      </c>
      <c r="T92" s="8" t="s">
        <v>534</v>
      </c>
      <c r="U92" s="8" t="s">
        <v>535</v>
      </c>
      <c r="V92" s="8" t="s">
        <v>536</v>
      </c>
      <c r="W92" s="8" t="s">
        <v>537</v>
      </c>
      <c r="X92" s="8" t="s">
        <v>538</v>
      </c>
      <c r="Y92" s="8" t="s">
        <v>539</v>
      </c>
      <c r="Z92" s="8" t="s">
        <v>540</v>
      </c>
      <c r="AA92" s="8" t="s">
        <v>541</v>
      </c>
      <c r="AB92" s="8" t="s">
        <v>542</v>
      </c>
      <c r="AC92" s="8" t="s">
        <v>543</v>
      </c>
      <c r="AD92" s="8" t="s">
        <v>544</v>
      </c>
      <c r="AE92" s="8" t="s">
        <v>545</v>
      </c>
      <c r="AF92" s="8" t="s">
        <v>546</v>
      </c>
      <c r="AG92" s="8" t="s">
        <v>547</v>
      </c>
      <c r="AH92" s="8" t="s">
        <v>548</v>
      </c>
      <c r="AI92" s="8" t="s">
        <v>549</v>
      </c>
      <c r="AJ92" s="8" t="s">
        <v>550</v>
      </c>
      <c r="AK92" s="8" t="s">
        <v>551</v>
      </c>
      <c r="AL92" s="8" t="s">
        <v>552</v>
      </c>
      <c r="AM92" s="8" t="s">
        <v>553</v>
      </c>
      <c r="AN92" s="8" t="s">
        <v>554</v>
      </c>
      <c r="AO92" s="8" t="s">
        <v>555</v>
      </c>
      <c r="AP92" s="8" t="s">
        <v>556</v>
      </c>
      <c r="AQ92" s="8" t="s">
        <v>557</v>
      </c>
      <c r="AR92" s="8" t="s">
        <v>558</v>
      </c>
      <c r="AS92" s="8" t="s">
        <v>559</v>
      </c>
      <c r="AT92" s="8" t="s">
        <v>560</v>
      </c>
      <c r="AU92" s="8" t="s">
        <v>561</v>
      </c>
      <c r="AV92" s="8" t="s">
        <v>562</v>
      </c>
      <c r="AW92" s="8" t="s">
        <v>563</v>
      </c>
      <c r="AX92" s="8" t="s">
        <v>564</v>
      </c>
      <c r="AY92" s="8" t="s">
        <v>565</v>
      </c>
      <c r="AZ92" s="8" t="s">
        <v>566</v>
      </c>
      <c r="BA92" s="8" t="s">
        <v>567</v>
      </c>
      <c r="BB92" s="8" t="s">
        <v>568</v>
      </c>
      <c r="BC92" s="8" t="s">
        <v>569</v>
      </c>
      <c r="BD92" s="8" t="s">
        <v>570</v>
      </c>
      <c r="BE92" s="8" t="s">
        <v>571</v>
      </c>
      <c r="BF92" s="8" t="s">
        <v>572</v>
      </c>
      <c r="BG92" s="8" t="s">
        <v>573</v>
      </c>
      <c r="BH92" s="8" t="s">
        <v>574</v>
      </c>
      <c r="BI92" s="8" t="s">
        <v>575</v>
      </c>
      <c r="BJ92" s="8" t="s">
        <v>576</v>
      </c>
      <c r="BK92" s="8" t="s">
        <v>577</v>
      </c>
      <c r="BL92" s="8" t="s">
        <v>578</v>
      </c>
      <c r="BM92" s="8" t="s">
        <v>579</v>
      </c>
      <c r="BN92" s="8" t="s">
        <v>580</v>
      </c>
      <c r="BO92" s="8" t="s">
        <v>581</v>
      </c>
      <c r="BP92" s="8" t="s">
        <v>582</v>
      </c>
      <c r="BQ92" s="8" t="s">
        <v>583</v>
      </c>
      <c r="BR92" s="8" t="s">
        <v>584</v>
      </c>
      <c r="BS92" s="8" t="s">
        <v>585</v>
      </c>
      <c r="BT92" s="8" t="s">
        <v>586</v>
      </c>
      <c r="BU92" s="8" t="s">
        <v>587</v>
      </c>
      <c r="BV92" s="8" t="s">
        <v>588</v>
      </c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</row>
    <row r="93" spans="1:118" ht="14" hidden="1">
      <c r="A93" s="305" t="s">
        <v>185</v>
      </c>
    </row>
    <row r="94" spans="1:118" ht="14" hidden="1">
      <c r="A94" s="305" t="s">
        <v>186</v>
      </c>
    </row>
    <row r="95" spans="1:118" ht="14" hidden="1">
      <c r="A95" s="194" t="s">
        <v>187</v>
      </c>
    </row>
    <row r="96" spans="1:118" ht="14" hidden="1">
      <c r="A96" s="194" t="s">
        <v>188</v>
      </c>
    </row>
    <row r="97" spans="1:2" ht="14" hidden="1">
      <c r="A97" s="305" t="s">
        <v>189</v>
      </c>
    </row>
    <row r="98" spans="1:2" ht="14" hidden="1">
      <c r="A98" s="305" t="s">
        <v>190</v>
      </c>
    </row>
    <row r="99" spans="1:2" ht="14" hidden="1">
      <c r="A99" s="194" t="s">
        <v>191</v>
      </c>
    </row>
    <row r="100" spans="1:2" ht="14" hidden="1">
      <c r="A100" s="194" t="s">
        <v>198</v>
      </c>
    </row>
    <row r="101" spans="1:2" ht="14" hidden="1">
      <c r="A101" s="194" t="s">
        <v>199</v>
      </c>
    </row>
    <row r="102" spans="1:2" ht="14" hidden="1">
      <c r="A102" s="194" t="s">
        <v>200</v>
      </c>
    </row>
    <row r="103" spans="1:2" ht="14" hidden="1">
      <c r="A103" s="194" t="s">
        <v>195</v>
      </c>
    </row>
    <row r="104" spans="1:2" ht="14" hidden="1">
      <c r="A104" s="194" t="s">
        <v>197</v>
      </c>
    </row>
    <row r="107" spans="1:2" ht="13">
      <c r="A107" s="24" t="s">
        <v>592</v>
      </c>
    </row>
    <row r="109" spans="1:2" ht="13">
      <c r="A109" s="11" t="s">
        <v>593</v>
      </c>
      <c r="B109" s="689">
        <f>'Plan stratégique  likewatt'!G$42+180</f>
        <v>48793</v>
      </c>
    </row>
    <row r="110" spans="1:2" ht="13">
      <c r="A110" s="11" t="s">
        <v>513</v>
      </c>
      <c r="B110" s="689">
        <f>'Plan stratégique  likewatt'!G$42</f>
        <v>48613</v>
      </c>
    </row>
    <row r="111" spans="1:2" ht="13">
      <c r="A111" s="11" t="s">
        <v>514</v>
      </c>
      <c r="B111" s="689">
        <f>'Plan stratégique  likewatt'!G$42</f>
        <v>48613</v>
      </c>
    </row>
    <row r="112" spans="1:2" ht="13">
      <c r="A112" s="11" t="s">
        <v>514</v>
      </c>
      <c r="B112" s="691"/>
    </row>
    <row r="113" spans="1:118" ht="13">
      <c r="A113" s="11" t="s">
        <v>515</v>
      </c>
      <c r="C113" s="59">
        <v>2025</v>
      </c>
      <c r="D113" s="59">
        <v>2026</v>
      </c>
      <c r="E113" s="59">
        <v>2027</v>
      </c>
      <c r="F113" s="59">
        <v>2028</v>
      </c>
      <c r="G113" s="59">
        <v>2029</v>
      </c>
      <c r="H113" s="59">
        <v>2030</v>
      </c>
      <c r="I113" s="59">
        <v>2031</v>
      </c>
    </row>
    <row r="114" spans="1:118" ht="13">
      <c r="C114" s="19"/>
      <c r="D114" s="690"/>
      <c r="E114" s="690">
        <v>150000</v>
      </c>
      <c r="F114" s="690">
        <v>200000</v>
      </c>
      <c r="G114" s="690">
        <v>250000</v>
      </c>
      <c r="H114" s="690">
        <v>300000</v>
      </c>
      <c r="I114" s="690">
        <v>600000</v>
      </c>
    </row>
    <row r="116" spans="1:118" ht="14" hidden="1">
      <c r="A116" s="537" t="s">
        <v>62</v>
      </c>
      <c r="B116" s="8" t="s">
        <v>516</v>
      </c>
      <c r="C116" s="8" t="s">
        <v>517</v>
      </c>
      <c r="D116" s="8" t="s">
        <v>518</v>
      </c>
      <c r="E116" s="8" t="s">
        <v>519</v>
      </c>
      <c r="F116" s="8" t="s">
        <v>520</v>
      </c>
      <c r="G116" s="8" t="s">
        <v>521</v>
      </c>
      <c r="H116" s="8" t="s">
        <v>522</v>
      </c>
      <c r="I116" s="8" t="s">
        <v>523</v>
      </c>
      <c r="J116" s="8" t="s">
        <v>524</v>
      </c>
      <c r="K116" s="8" t="s">
        <v>525</v>
      </c>
      <c r="L116" s="8" t="s">
        <v>526</v>
      </c>
      <c r="M116" s="8" t="s">
        <v>527</v>
      </c>
      <c r="N116" s="8" t="s">
        <v>528</v>
      </c>
      <c r="O116" s="8" t="s">
        <v>529</v>
      </c>
      <c r="P116" s="8" t="s">
        <v>530</v>
      </c>
      <c r="Q116" s="8" t="s">
        <v>531</v>
      </c>
      <c r="R116" s="8" t="s">
        <v>532</v>
      </c>
      <c r="S116" s="8" t="s">
        <v>533</v>
      </c>
      <c r="T116" s="8" t="s">
        <v>534</v>
      </c>
      <c r="U116" s="8" t="s">
        <v>535</v>
      </c>
      <c r="V116" s="8" t="s">
        <v>536</v>
      </c>
      <c r="W116" s="8" t="s">
        <v>537</v>
      </c>
      <c r="X116" s="8" t="s">
        <v>538</v>
      </c>
      <c r="Y116" s="8" t="s">
        <v>539</v>
      </c>
      <c r="Z116" s="8" t="s">
        <v>540</v>
      </c>
      <c r="AA116" s="8" t="s">
        <v>541</v>
      </c>
      <c r="AB116" s="8" t="s">
        <v>542</v>
      </c>
      <c r="AC116" s="8" t="s">
        <v>543</v>
      </c>
      <c r="AD116" s="8" t="s">
        <v>544</v>
      </c>
      <c r="AE116" s="8" t="s">
        <v>545</v>
      </c>
      <c r="AF116" s="8" t="s">
        <v>546</v>
      </c>
      <c r="AG116" s="8" t="s">
        <v>547</v>
      </c>
      <c r="AH116" s="8" t="s">
        <v>548</v>
      </c>
      <c r="AI116" s="8" t="s">
        <v>549</v>
      </c>
      <c r="AJ116" s="8" t="s">
        <v>550</v>
      </c>
      <c r="AK116" s="8" t="s">
        <v>551</v>
      </c>
      <c r="AL116" s="8" t="s">
        <v>552</v>
      </c>
      <c r="AM116" s="8" t="s">
        <v>553</v>
      </c>
      <c r="AN116" s="8" t="s">
        <v>554</v>
      </c>
      <c r="AO116" s="8" t="s">
        <v>555</v>
      </c>
      <c r="AP116" s="8" t="s">
        <v>556</v>
      </c>
      <c r="AQ116" s="8" t="s">
        <v>557</v>
      </c>
      <c r="AR116" s="8" t="s">
        <v>558</v>
      </c>
      <c r="AS116" s="8" t="s">
        <v>559</v>
      </c>
      <c r="AT116" s="8" t="s">
        <v>560</v>
      </c>
      <c r="AU116" s="8" t="s">
        <v>561</v>
      </c>
      <c r="AV116" s="8" t="s">
        <v>562</v>
      </c>
      <c r="AW116" s="8" t="s">
        <v>563</v>
      </c>
      <c r="AX116" s="8" t="s">
        <v>564</v>
      </c>
      <c r="AY116" s="8" t="s">
        <v>565</v>
      </c>
      <c r="AZ116" s="8" t="s">
        <v>566</v>
      </c>
      <c r="BA116" s="8" t="s">
        <v>567</v>
      </c>
      <c r="BB116" s="8" t="s">
        <v>568</v>
      </c>
      <c r="BC116" s="8" t="s">
        <v>569</v>
      </c>
      <c r="BD116" s="8" t="s">
        <v>570</v>
      </c>
      <c r="BE116" s="8" t="s">
        <v>571</v>
      </c>
      <c r="BF116" s="8" t="s">
        <v>572</v>
      </c>
      <c r="BG116" s="8" t="s">
        <v>573</v>
      </c>
      <c r="BH116" s="8" t="s">
        <v>574</v>
      </c>
      <c r="BI116" s="8" t="s">
        <v>575</v>
      </c>
      <c r="BJ116" s="8" t="s">
        <v>576</v>
      </c>
      <c r="BK116" s="8" t="s">
        <v>577</v>
      </c>
      <c r="BL116" s="8" t="s">
        <v>578</v>
      </c>
      <c r="BM116" s="8" t="s">
        <v>579</v>
      </c>
      <c r="BN116" s="8" t="s">
        <v>580</v>
      </c>
      <c r="BO116" s="8" t="s">
        <v>581</v>
      </c>
      <c r="BP116" s="8" t="s">
        <v>582</v>
      </c>
      <c r="BQ116" s="8" t="s">
        <v>583</v>
      </c>
      <c r="BR116" s="8" t="s">
        <v>584</v>
      </c>
      <c r="BS116" s="8" t="s">
        <v>585</v>
      </c>
      <c r="BT116" s="8" t="s">
        <v>586</v>
      </c>
      <c r="BU116" s="8" t="s">
        <v>587</v>
      </c>
      <c r="BV116" s="8" t="s">
        <v>588</v>
      </c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</row>
    <row r="117" spans="1:118" ht="14" hidden="1">
      <c r="A117" s="305" t="s">
        <v>185</v>
      </c>
    </row>
    <row r="118" spans="1:118" ht="14" hidden="1">
      <c r="A118" s="305" t="s">
        <v>186</v>
      </c>
    </row>
    <row r="119" spans="1:118" ht="14" hidden="1">
      <c r="A119" s="194" t="s">
        <v>187</v>
      </c>
    </row>
    <row r="120" spans="1:118" ht="14" hidden="1">
      <c r="A120" s="194" t="s">
        <v>188</v>
      </c>
    </row>
    <row r="121" spans="1:118" ht="14" hidden="1">
      <c r="A121" s="305" t="s">
        <v>189</v>
      </c>
    </row>
    <row r="122" spans="1:118" ht="14" hidden="1">
      <c r="A122" s="305" t="s">
        <v>190</v>
      </c>
    </row>
    <row r="123" spans="1:118" ht="14" hidden="1">
      <c r="A123" s="194" t="s">
        <v>191</v>
      </c>
    </row>
    <row r="124" spans="1:118" ht="14" hidden="1">
      <c r="A124" s="194" t="s">
        <v>198</v>
      </c>
    </row>
    <row r="125" spans="1:118" ht="14" hidden="1">
      <c r="A125" s="194" t="s">
        <v>199</v>
      </c>
    </row>
    <row r="126" spans="1:118" ht="14" hidden="1">
      <c r="A126" s="194" t="s">
        <v>200</v>
      </c>
    </row>
    <row r="127" spans="1:118" ht="14" hidden="1">
      <c r="A127" s="194" t="s">
        <v>195</v>
      </c>
    </row>
    <row r="128" spans="1:118" ht="14" hidden="1">
      <c r="A128" s="1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Plan stratégique  likewatt</vt:lpstr>
      <vt:lpstr>KPI</vt:lpstr>
      <vt:lpstr>Prévisionnel annuel</vt:lpstr>
      <vt:lpstr>Hypothèses</vt:lpstr>
      <vt:lpstr>Ventes</vt:lpstr>
      <vt:lpstr>Couts variables</vt:lpstr>
      <vt:lpstr>Couts fixes</vt:lpstr>
      <vt:lpstr>CAPEX</vt:lpstr>
      <vt:lpstr>Couts RH</vt:lpstr>
      <vt:lpstr>Trésorerie</vt:lpstr>
      <vt:lpstr>Annexe A  Plan RH</vt:lpstr>
      <vt:lpstr>Annexe B  Plan commercial</vt:lpstr>
      <vt:lpstr>Annexe C  Plan produit</vt:lpstr>
      <vt:lpstr>Annexe D  Organisation</vt:lpstr>
      <vt:lpstr>Annexe E  Financement</vt:lpstr>
      <vt:lpstr>Annexe F  TVA</vt:lpstr>
      <vt:lpstr>Annexe G  Evolution Portefeuill</vt:lpstr>
      <vt:lpstr>Annexe H  Métriques Géographiqu</vt:lpstr>
      <vt:lpstr>Annexe I  Scénario investisseme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Stephane Donnet</cp:lastModifiedBy>
  <dcterms:created xsi:type="dcterms:W3CDTF">2025-11-24T08:39:54Z</dcterms:created>
  <dcterms:modified xsi:type="dcterms:W3CDTF">2026-04-22T18:20:36Z</dcterms:modified>
</cp:coreProperties>
</file>