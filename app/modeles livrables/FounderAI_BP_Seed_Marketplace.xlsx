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stratégique" sheetId="1" state="visible" r:id="rId3"/>
    <sheet name="Hypothèses" sheetId="2" state="visible" r:id="rId4"/>
    <sheet name="Revenus" sheetId="3" state="visible" r:id="rId5"/>
    <sheet name="Coûts &amp; P&amp;L" sheetId="4" state="visible" r:id="rId6"/>
    <sheet name="Trésorerie" sheetId="5" state="visible" r:id="rId7"/>
    <sheet name="KPIs" sheetId="6" state="visible" r:id="rId8"/>
    <sheet name="Mode d'emplo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<sst xmlns="http://schemas.openxmlformats.org/spreadsheetml/2006/main" count="244" uniqueCount="204">
  <si>
    <t xml:space="preserve">BUSINESS PLAN SEED — MODÈLE MARKETPLACE</t>
  </si>
  <si>
    <t xml:space="preserve">Template FounderAI • Cellules jaunes à remplir (exemples gris à écraser)</t>
  </si>
  <si>
    <t xml:space="preserve">IDENTITÉ DU PROJET</t>
  </si>
  <si>
    <t xml:space="preserve">Nom de la startup</t>
  </si>
  <si>
    <t xml:space="preserve">TalentFlash</t>
  </si>
  <si>
    <t xml:space="preserve">Secteur</t>
  </si>
  <si>
    <t xml:space="preserve">Marketplace freelances tech</t>
  </si>
  <si>
    <t xml:space="preserve">Date de création</t>
  </si>
  <si>
    <t xml:space="preserve">Mars 2026</t>
  </si>
  <si>
    <t xml:space="preserve">Fondateur(s)</t>
  </si>
  <si>
    <t xml:space="preserve">Lucas Morel (CEO), Inès Farah (CPO)</t>
  </si>
  <si>
    <t xml:space="preserve">Localisation</t>
  </si>
  <si>
    <t xml:space="preserve">Lyon, France</t>
  </si>
  <si>
    <t xml:space="preserve">Stade actuel</t>
  </si>
  <si>
    <t xml:space="preserve">Beta avec 50 freelances inscrits</t>
  </si>
  <si>
    <t xml:space="preserve">PROBLÈME &amp; SOLUTION</t>
  </si>
  <si>
    <t xml:space="preserve">Problème résolu</t>
  </si>
  <si>
    <t xml:space="preserve">Les PME mettent 3 semaines et 2 000€ pour trouver un freelance tech qualifié</t>
  </si>
  <si>
    <t xml:space="preserve">Solution proposée</t>
  </si>
  <si>
    <t xml:space="preserve">Marketplace de mise en relation instantanée entre PME et freelances tech vérifiés, matching IA en 48h</t>
  </si>
  <si>
    <t xml:space="preserve">Proposition de valeur unique</t>
  </si>
  <si>
    <t xml:space="preserve">Freelances pré-qualifiés par IA + garantie satisfaction ou remplacement gratuit</t>
  </si>
  <si>
    <t xml:space="preserve">MARCHÉ &amp; MODÈLE</t>
  </si>
  <si>
    <t xml:space="preserve">TAM</t>
  </si>
  <si>
    <t xml:space="preserve">15 Mds€ — Marché européen du freelancing tech</t>
  </si>
  <si>
    <t xml:space="preserve">SAM</t>
  </si>
  <si>
    <t xml:space="preserve">1,2 Md€ — PME françaises qui recrutent des freelances tech</t>
  </si>
  <si>
    <t xml:space="preserve">SOM (3 ans)</t>
  </si>
  <si>
    <t xml:space="preserve">3 M€ GMV — 1 500 missions à 2 000€ de panier moyen</t>
  </si>
  <si>
    <t xml:space="preserve">Type de marketplace</t>
  </si>
  <si>
    <t xml:space="preserve">Services (freelance → client), commission sur transaction</t>
  </si>
  <si>
    <t xml:space="preserve">Biens / Services / Hybride</t>
  </si>
  <si>
    <t xml:space="preserve">Client idéal — Demande</t>
  </si>
  <si>
    <t xml:space="preserve">CTO ou DRH de PME tech, 20-200 salariés, besoin urgent de devs</t>
  </si>
  <si>
    <t xml:space="preserve">Qui achète ?</t>
  </si>
  <si>
    <t xml:space="preserve">Client idéal — Offre</t>
  </si>
  <si>
    <t xml:space="preserve">Développeur freelance senior, 5+ ans, full-stack ou data</t>
  </si>
  <si>
    <t xml:space="preserve">Qui vend ?</t>
  </si>
  <si>
    <t xml:space="preserve">MILESTONES 18 MOIS</t>
  </si>
  <si>
    <t xml:space="preserve">M1-M3</t>
  </si>
  <si>
    <t xml:space="preserve">100 freelances inscrits, 10 PME clientes, 15 missions réalisées</t>
  </si>
  <si>
    <t xml:space="preserve">M4-M6</t>
  </si>
  <si>
    <t xml:space="preserve">300 freelances, 40 PME, 80 missions, 160K€ GMV</t>
  </si>
  <si>
    <t xml:space="preserve">M7-M12</t>
  </si>
  <si>
    <t xml:space="preserve">800 freelances, 120 PME, 400 missions, 800K€ GMV</t>
  </si>
  <si>
    <t xml:space="preserve">M13-M18</t>
  </si>
  <si>
    <t xml:space="preserve">1 500 freelances, 300 PME, 1 000 missions, 2M€ GMV</t>
  </si>
  <si>
    <t xml:space="preserve">HYPOTHÈSES — MODÈLE MARKETPLACE</t>
  </si>
  <si>
    <t xml:space="preserve">Cellules jaunes = vos hypothèses. Le reste se calcule automatiquement.</t>
  </si>
  <si>
    <t xml:space="preserve">VOLUMÉTRIE &amp; TRANSACTION</t>
  </si>
  <si>
    <t xml:space="preserve">Année 1</t>
  </si>
  <si>
    <t xml:space="preserve">Année 2</t>
  </si>
  <si>
    <t xml:space="preserve">Année 3</t>
  </si>
  <si>
    <t xml:space="preserve">Notes</t>
  </si>
  <si>
    <t xml:space="preserve">Transactions / mois (moy.)</t>
  </si>
  <si>
    <t xml:space="preserve">Missions réalisées</t>
  </si>
  <si>
    <t xml:space="preserve">Panier moyen par transaction (€)</t>
  </si>
  <si>
    <t xml:space="preserve">Valeur moyenne d'une mission</t>
  </si>
  <si>
    <t xml:space="preserve">Taux de commission (take rate)</t>
  </si>
  <si>
    <t xml:space="preserve">Commission prélevée</t>
  </si>
  <si>
    <t xml:space="preserve">GMV mensuelle (calculé)</t>
  </si>
  <si>
    <t xml:space="preserve">transactions × panier</t>
  </si>
  <si>
    <t xml:space="preserve">CA mensuel commission (calculé)</t>
  </si>
  <si>
    <t xml:space="preserve">gmv × take rate</t>
  </si>
  <si>
    <t xml:space="preserve">OFFRE &amp; DEMANDE</t>
  </si>
  <si>
    <t xml:space="preserve">Offreurs inscrits (fin d'année)</t>
  </si>
  <si>
    <t xml:space="preserve">Freelances / vendeurs</t>
  </si>
  <si>
    <t xml:space="preserve">Offreurs actifs (%)</t>
  </si>
  <si>
    <t xml:space="preserve">% qui réalisent ≥1 mission</t>
  </si>
  <si>
    <t xml:space="preserve">Demandeurs actifs (fin d'année)</t>
  </si>
  <si>
    <t xml:space="preserve">PME / acheteurs actifs</t>
  </si>
  <si>
    <t xml:space="preserve">Transactions / offreur actif / an</t>
  </si>
  <si>
    <t xml:space="preserve">Calculé</t>
  </si>
  <si>
    <t xml:space="preserve">Transactions / demandeur / an</t>
  </si>
  <si>
    <t xml:space="preserve">Taux de réachat demandeurs</t>
  </si>
  <si>
    <t xml:space="preserve">% qui reviennent</t>
  </si>
  <si>
    <t xml:space="preserve">COÛTS D'ACQUISITION</t>
  </si>
  <si>
    <t xml:space="preserve">CAC offreur (€)</t>
  </si>
  <si>
    <t xml:space="preserve">Coût pour recruter 1 freelance</t>
  </si>
  <si>
    <t xml:space="preserve">CAC demandeur (€)</t>
  </si>
  <si>
    <t xml:space="preserve">Coût pour acquérir 1 client PME</t>
  </si>
  <si>
    <t xml:space="preserve">Budget acquisition offreurs / an</t>
  </si>
  <si>
    <t xml:space="preserve">Budget acquisition demandeurs / an</t>
  </si>
  <si>
    <t xml:space="preserve">COÛTS VARIABLES UNITAIRES</t>
  </si>
  <si>
    <t xml:space="preserve">% du GMV ou €/tx</t>
  </si>
  <si>
    <t xml:space="preserve">Frais de paiement (% GMV)</t>
  </si>
  <si>
    <t xml:space="preserve">Stripe/Mangopay</t>
  </si>
  <si>
    <t xml:space="preserve">Assurance / garantie (% GMV)</t>
  </si>
  <si>
    <t xml:space="preserve">Garantie satisfaction</t>
  </si>
  <si>
    <t xml:space="preserve">Coût matching / vérification (€/tx)</t>
  </si>
  <si>
    <t xml:space="preserve">Vérification profils, IA</t>
  </si>
  <si>
    <t xml:space="preserve">COÛTS FIXES MENSUELS</t>
  </si>
  <si>
    <t xml:space="preserve">Poste</t>
  </si>
  <si>
    <t xml:space="preserve">Année 1 /mois</t>
  </si>
  <si>
    <t xml:space="preserve">Année 2 /mois</t>
  </si>
  <si>
    <t xml:space="preserve">Année 3 /mois</t>
  </si>
  <si>
    <t xml:space="preserve">Hébergement / infra</t>
  </si>
  <si>
    <t xml:space="preserve">Serveurs, CDN, API</t>
  </si>
  <si>
    <t xml:space="preserve">Abonnements outils</t>
  </si>
  <si>
    <t xml:space="preserve">CRM, analytics, support</t>
  </si>
  <si>
    <t xml:space="preserve">Comptabilité / juridique</t>
  </si>
  <si>
    <t xml:space="preserve">Expert-comptable</t>
  </si>
  <si>
    <t xml:space="preserve">Marketing &amp; contenu</t>
  </si>
  <si>
    <t xml:space="preserve">SEO, ads, events</t>
  </si>
  <si>
    <t xml:space="preserve">Assurances</t>
  </si>
  <si>
    <t xml:space="preserve">Divers</t>
  </si>
  <si>
    <t xml:space="preserve">Total OPEX / an</t>
  </si>
  <si>
    <t xml:space="preserve">ÉQUIPE</t>
  </si>
  <si>
    <t xml:space="preserve">Mois entrée</t>
  </si>
  <si>
    <t xml:space="preserve">Brut/an (€)</t>
  </si>
  <si>
    <t xml:space="preserve">Fondateur 1</t>
  </si>
  <si>
    <t xml:space="preserve">Fondateur 2</t>
  </si>
  <si>
    <t xml:space="preserve">Dev fullstack</t>
  </si>
  <si>
    <t xml:space="preserve">Ops / support marketplace</t>
  </si>
  <si>
    <t xml:space="preserve">Commercial / growth</t>
  </si>
  <si>
    <t xml:space="preserve">Fondateur 1 (salaire)</t>
  </si>
  <si>
    <t xml:space="preserve">Taux charges patronales</t>
  </si>
  <si>
    <t xml:space="preserve">Masse salariale chargée / an</t>
  </si>
  <si>
    <t xml:space="preserve">FINANCEMENT</t>
  </si>
  <si>
    <t xml:space="preserve">Source</t>
  </si>
  <si>
    <t xml:space="preserve">Montant (€)</t>
  </si>
  <si>
    <t xml:space="preserve">Mois</t>
  </si>
  <si>
    <t xml:space="preserve">Apport fondateurs</t>
  </si>
  <si>
    <t xml:space="preserve">Subvention</t>
  </si>
  <si>
    <t xml:space="preserve">Levée Seed</t>
  </si>
  <si>
    <t xml:space="preserve">Total financement</t>
  </si>
  <si>
    <t xml:space="preserve">PROJECTIONS DE REVENUS — MARKETPLACE</t>
  </si>
  <si>
    <t xml:space="preserve">Calculé depuis l'onglet Hypothèses</t>
  </si>
  <si>
    <t xml:space="preserve">Transactions totales</t>
  </si>
  <si>
    <t xml:space="preserve">Transactions / mois</t>
  </si>
  <si>
    <t xml:space="preserve">Depuis Hypothèses</t>
  </si>
  <si>
    <t xml:space="preserve">Panier moyen (€)</t>
  </si>
  <si>
    <t xml:space="preserve">GMV annuelle (€)</t>
  </si>
  <si>
    <t xml:space="preserve">Volume total de transactions</t>
  </si>
  <si>
    <t xml:space="preserve">Take rate</t>
  </si>
  <si>
    <t xml:space="preserve">CA Commissions (€)</t>
  </si>
  <si>
    <t xml:space="preserve">Revenu net marketplace</t>
  </si>
  <si>
    <t xml:space="preserve">Revenus additionnels</t>
  </si>
  <si>
    <t xml:space="preserve">Abonnements premium offreurs</t>
  </si>
  <si>
    <t xml:space="preserve">Optionnel — visibilité boost</t>
  </si>
  <si>
    <t xml:space="preserve">Services à valeur ajoutée</t>
  </si>
  <si>
    <t xml:space="preserve">Assurance, formation, admin</t>
  </si>
  <si>
    <t xml:space="preserve">CA TOTAL</t>
  </si>
  <si>
    <t xml:space="preserve">COÛTS &amp; COMPTE DE RÉSULTAT</t>
  </si>
  <si>
    <t xml:space="preserve">COÛTS VARIABLES</t>
  </si>
  <si>
    <t xml:space="preserve">Frais de paiement</t>
  </si>
  <si>
    <t xml:space="preserve">Assurance / garantie</t>
  </si>
  <si>
    <t xml:space="preserve">Coûts matching / vérification</t>
  </si>
  <si>
    <t xml:space="preserve">Acquisition offreurs</t>
  </si>
  <si>
    <t xml:space="preserve">Acquisition demandeurs</t>
  </si>
  <si>
    <t xml:space="preserve">Total coûts variables</t>
  </si>
  <si>
    <t xml:space="preserve">COÛTS FIXES &amp; SALAIRES</t>
  </si>
  <si>
    <t xml:space="preserve">OPEX annuel</t>
  </si>
  <si>
    <t xml:space="preserve">Masse salariale chargée</t>
  </si>
  <si>
    <t xml:space="preserve">Total coûts fixes + salaires</t>
  </si>
  <si>
    <t xml:space="preserve">COMPTE DE RÉSULTAT</t>
  </si>
  <si>
    <t xml:space="preserve">Chiffre d'affaires</t>
  </si>
  <si>
    <t xml:space="preserve">Coûts variables</t>
  </si>
  <si>
    <t xml:space="preserve">Marge brute</t>
  </si>
  <si>
    <t xml:space="preserve">% Marge brute</t>
  </si>
  <si>
    <t xml:space="preserve">Coûts fixes + salaires</t>
  </si>
  <si>
    <t xml:space="preserve">EBITDA</t>
  </si>
  <si>
    <t xml:space="preserve">% Marge EBITDA</t>
  </si>
  <si>
    <t xml:space="preserve">PLAN DE TRÉSORERIE</t>
  </si>
  <si>
    <t xml:space="preserve">Trésorerie début</t>
  </si>
  <si>
    <t xml:space="preserve">Encaissements</t>
  </si>
  <si>
    <t xml:space="preserve">Décaissements</t>
  </si>
  <si>
    <t xml:space="preserve">CAPEX</t>
  </si>
  <si>
    <t xml:space="preserve">Apports financement</t>
  </si>
  <si>
    <t xml:space="preserve">Flux net</t>
  </si>
  <si>
    <t xml:space="preserve">Trésorerie fin</t>
  </si>
  <si>
    <t xml:space="preserve">MÉTRIQUES</t>
  </si>
  <si>
    <t xml:space="preserve">Burn rate mensuel</t>
  </si>
  <si>
    <t xml:space="preserve">Runway (mois)</t>
  </si>
  <si>
    <t xml:space="preserve">Besoin financement</t>
  </si>
  <si>
    <t xml:space="preserve">KPIs — MARKETPLACE</t>
  </si>
  <si>
    <t xml:space="preserve">INDICATEUR</t>
  </si>
  <si>
    <t xml:space="preserve">VOLUME &amp; CROISSANCE</t>
  </si>
  <si>
    <t xml:space="preserve">CA total (€)</t>
  </si>
  <si>
    <t xml:space="preserve">Take rate effectif</t>
  </si>
  <si>
    <t xml:space="preserve">LIQUIDITÉ MARKETPLACE</t>
  </si>
  <si>
    <t xml:space="preserve">Offreurs inscrits</t>
  </si>
  <si>
    <t xml:space="preserve">Demandeurs actifs</t>
  </si>
  <si>
    <t xml:space="preserve">Tx réachat demandeurs</t>
  </si>
  <si>
    <t xml:space="preserve">Ratio offre/demande</t>
  </si>
  <si>
    <t xml:space="preserve">UNIT ECONOMICS</t>
  </si>
  <si>
    <t xml:space="preserve">LTV demandeur (€)</t>
  </si>
  <si>
    <t xml:space="preserve">Ratio LTV/CAC</t>
  </si>
  <si>
    <t xml:space="preserve">RENTABILITÉ</t>
  </si>
  <si>
    <t xml:space="preserve">EBITDA (€)</t>
  </si>
  <si>
    <t xml:space="preserve">Marge EBITDA</t>
  </si>
  <si>
    <t xml:space="preserve">Trésorerie (€)</t>
  </si>
  <si>
    <t xml:space="preserve">MODE D'EMPLOI — BP MARKETPLACE</t>
  </si>
  <si>
    <t xml:space="preserve">Ce template est conçu pour les marketplaces et plateformes (biens, services, freelance, location...).</t>
  </si>
  <si>
    <t xml:space="preserve">ÉTAPE 1 : Onglet « Plan stratégique » — Décrivez votre projet, votre marché, vos milestones.</t>
  </si>
  <si>
    <t xml:space="preserve">ÉTAPE 2 : Onglet « Hypothèses » — Remplissez les cellules jaunes :</t>
  </si>
  <si>
    <t xml:space="preserve">  • VOLUMÉTRIE : combien de transactions/mois, quel panier moyen, quelle commission</t>
  </si>
  <si>
    <t xml:space="preserve">  • OFFRE/DEMANDE : combien d'offreurs/demandeurs, quel taux d'activité</t>
  </si>
  <si>
    <t xml:space="preserve">  • ACQUISITION : coût pour recruter offreurs et demandeurs</t>
  </si>
  <si>
    <t xml:space="preserve">  • COÛTS : frais de paiement, infrastructure, équipe</t>
  </si>
  <si>
    <t xml:space="preserve">  • FINANCEMENT : apports, subventions, levée prévue</t>
  </si>
  <si>
    <t xml:space="preserve">ÉTAPE 3 : Les onglets Revenus, Coûts &amp; P&amp;L, Trésorerie et KPIs se calculent automatiquement.</t>
  </si>
  <si>
    <t xml:space="preserve">CONVENTIONS : Jaune = à remplir | Gris italique = exemple | Vert = résultat clé | Orange = à surveiller | Rouge = alerte</t>
  </si>
  <si>
    <t xml:space="preserve">Astuce : demandez à Sam (Agent Finance FounderAI) de calibrer vos hypothèses marketplace !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</si>
</sst>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#,##0&quot; €&quot;;\(#,##0&quot; €)&quot;;\-"/>
    <numFmt numFmtId="167" formatCode="0.0%"/>
    <numFmt numFmtId="168" formatCode="0.0"/>
    <numFmt numFmtId="169" formatCode="#,##0.00&quot; €&quot;"/>
    <numFmt numFmtId="170" formatCode="0.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1A2E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2"/>
      <color rgb="FF6C63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i val="true"/>
      <sz val="11"/>
      <color rgb="FF9CA3A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7556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059669"/>
      <name val="Arial"/>
      <family val="0"/>
      <charset val="1"/>
    </font>
    <font>
      <sz val="11"/>
      <color rgb="FF2D2D3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EF9C3"/>
        <bgColor rgb="FFFFFBEB"/>
      </patternFill>
    </fill>
    <fill>
      <patternFill patternType="solid">
        <fgColor rgb="FF6C63FF"/>
        <bgColor rgb="FF808080"/>
      </patternFill>
    </fill>
    <fill>
      <patternFill patternType="solid">
        <fgColor rgb="FFECFDF5"/>
        <bgColor rgb="FFEFF6FF"/>
      </patternFill>
    </fill>
    <fill>
      <patternFill patternType="solid">
        <fgColor rgb="FFFEF2F2"/>
        <bgColor rgb="FFFFFBEB"/>
      </patternFill>
    </fill>
    <fill>
      <patternFill patternType="solid">
        <fgColor rgb="FFEFF6FF"/>
        <bgColor rgb="FFECFDF5"/>
      </patternFill>
    </fill>
    <fill>
      <patternFill patternType="solid">
        <fgColor rgb="FFFFFBE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3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3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4A3B8"/>
      <rgbColor rgb="FF993366"/>
      <rgbColor rgb="FFFEF9C3"/>
      <rgbColor rgb="FFECF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EF2F2"/>
      <rgbColor rgb="FFFFFBEB"/>
      <rgbColor rgb="FF99CCFF"/>
      <rgbColor rgb="FFFF99CC"/>
      <rgbColor rgb="FFCC99FF"/>
      <rgbColor rgb="FFFFCC99"/>
      <rgbColor rgb="FF6C63FF"/>
      <rgbColor rgb="FF33CCCC"/>
      <rgbColor rgb="FF99CC00"/>
      <rgbColor rgb="FFFFCC00"/>
      <rgbColor rgb="FFFF9900"/>
      <rgbColor rgb="FFFF6600"/>
      <rgbColor rgb="FF475569"/>
      <rgbColor rgb="FF9CA3AF"/>
      <rgbColor rgb="FF1E293B"/>
      <rgbColor rgb="FF339966"/>
      <rgbColor rgb="FF003300"/>
      <rgbColor rgb="FF1A1A2E"/>
      <rgbColor rgb="FF993300"/>
      <rgbColor rgb="FF993366"/>
      <rgbColor rgb="FF333399"/>
      <rgbColor rgb="FF2D2D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5"/>
    <col collapsed="false" customWidth="true" hidden="false" outlineLevel="0" max="3" min="3" style="1" width="2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8" customFormat="false" ht="15" hidden="false" customHeight="true" outlineLevel="0" collapsed="false">
      <c r="A8" s="5" t="s">
        <v>9</v>
      </c>
      <c r="B8" s="6" t="s">
        <v>10</v>
      </c>
    </row>
    <row r="9" customFormat="false" ht="15" hidden="false" customHeight="true" outlineLevel="0" collapsed="false">
      <c r="A9" s="5" t="s">
        <v>11</v>
      </c>
      <c r="B9" s="6" t="s">
        <v>12</v>
      </c>
    </row>
    <row r="10" customFormat="false" ht="15" hidden="false" customHeight="true" outlineLevel="0" collapsed="false">
      <c r="A10" s="5" t="s">
        <v>13</v>
      </c>
      <c r="B10" s="6" t="s">
        <v>14</v>
      </c>
    </row>
    <row r="12" customFormat="false" ht="15" hidden="false" customHeight="true" outlineLevel="0" collapsed="false">
      <c r="A12" s="4" t="s">
        <v>15</v>
      </c>
    </row>
    <row r="13" customFormat="false" ht="15" hidden="false" customHeight="true" outlineLevel="0" collapsed="false">
      <c r="A13" s="5" t="s">
        <v>16</v>
      </c>
      <c r="B13" s="7" t="s">
        <v>17</v>
      </c>
    </row>
    <row r="14" customFormat="false" ht="15" hidden="false" customHeight="true" outlineLevel="0" collapsed="false">
      <c r="A14" s="5" t="s">
        <v>18</v>
      </c>
      <c r="B14" s="7" t="s">
        <v>19</v>
      </c>
    </row>
    <row r="15" customFormat="false" ht="15" hidden="false" customHeight="true" outlineLevel="0" collapsed="false">
      <c r="A15" s="5" t="s">
        <v>20</v>
      </c>
      <c r="B15" s="7" t="s">
        <v>21</v>
      </c>
    </row>
    <row r="17" customFormat="false" ht="15" hidden="false" customHeight="true" outlineLevel="0" collapsed="false">
      <c r="A17" s="4" t="s">
        <v>22</v>
      </c>
    </row>
    <row r="18" customFormat="false" ht="15" hidden="false" customHeight="true" outlineLevel="0" collapsed="false">
      <c r="A18" s="5" t="s">
        <v>23</v>
      </c>
      <c r="B18" s="7" t="s">
        <v>24</v>
      </c>
    </row>
    <row r="19" customFormat="false" ht="15" hidden="false" customHeight="true" outlineLevel="0" collapsed="false">
      <c r="A19" s="5" t="s">
        <v>25</v>
      </c>
      <c r="B19" s="7" t="s">
        <v>26</v>
      </c>
    </row>
    <row r="20" customFormat="false" ht="15" hidden="false" customHeight="true" outlineLevel="0" collapsed="false">
      <c r="A20" s="5" t="s">
        <v>27</v>
      </c>
      <c r="B20" s="7" t="s">
        <v>28</v>
      </c>
    </row>
    <row r="21" customFormat="false" ht="15" hidden="false" customHeight="true" outlineLevel="0" collapsed="false">
      <c r="A21" s="5" t="s">
        <v>29</v>
      </c>
      <c r="B21" s="7" t="s">
        <v>30</v>
      </c>
      <c r="C21" s="3" t="s">
        <v>31</v>
      </c>
    </row>
    <row r="22" customFormat="false" ht="15" hidden="false" customHeight="true" outlineLevel="0" collapsed="false">
      <c r="A22" s="5" t="s">
        <v>32</v>
      </c>
      <c r="B22" s="7" t="s">
        <v>33</v>
      </c>
      <c r="C22" s="3" t="s">
        <v>34</v>
      </c>
    </row>
    <row r="23" customFormat="false" ht="15" hidden="false" customHeight="true" outlineLevel="0" collapsed="false">
      <c r="A23" s="5" t="s">
        <v>35</v>
      </c>
      <c r="B23" s="7" t="s">
        <v>36</v>
      </c>
      <c r="C23" s="3" t="s">
        <v>37</v>
      </c>
    </row>
    <row r="25" customFormat="false" ht="15" hidden="false" customHeight="true" outlineLevel="0" collapsed="false">
      <c r="A25" s="4" t="s">
        <v>38</v>
      </c>
    </row>
    <row r="26" customFormat="false" ht="15" hidden="false" customHeight="true" outlineLevel="0" collapsed="false">
      <c r="A26" s="5" t="s">
        <v>39</v>
      </c>
      <c r="B26" s="7" t="s">
        <v>40</v>
      </c>
    </row>
    <row r="27" customFormat="false" ht="15" hidden="false" customHeight="true" outlineLevel="0" collapsed="false">
      <c r="A27" s="5" t="s">
        <v>41</v>
      </c>
      <c r="B27" s="7" t="s">
        <v>42</v>
      </c>
    </row>
    <row r="28" customFormat="false" ht="15" hidden="false" customHeight="true" outlineLevel="0" collapsed="false">
      <c r="A28" s="5" t="s">
        <v>43</v>
      </c>
      <c r="B28" s="7" t="s">
        <v>44</v>
      </c>
    </row>
    <row r="29" customFormat="false" ht="15" hidden="false" customHeight="true" outlineLevel="0" collapsed="false">
      <c r="A29" s="5" t="s">
        <v>45</v>
      </c>
      <c r="B29" s="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5" min="5" style="1" width="25"/>
  </cols>
  <sheetData>
    <row r="1" customFormat="false" ht="17.25" hidden="false" customHeight="true" outlineLevel="0" collapsed="false">
      <c r="A1" s="2" t="s">
        <v>47</v>
      </c>
    </row>
    <row r="2" customFormat="false" ht="15" hidden="false" customHeight="true" outlineLevel="0" collapsed="false">
      <c r="A2" s="3" t="s">
        <v>48</v>
      </c>
    </row>
    <row r="4" customFormat="false" ht="15" hidden="false" customHeight="true" outlineLevel="0" collapsed="false">
      <c r="A4" s="4" t="s">
        <v>49</v>
      </c>
    </row>
    <row r="5" customFormat="false" ht="15" hidden="false" customHeight="true" outlineLevel="0" collapsed="false">
      <c r="A5" s="8"/>
      <c r="B5" s="8" t="s">
        <v>50</v>
      </c>
      <c r="C5" s="8" t="s">
        <v>51</v>
      </c>
      <c r="D5" s="8" t="s">
        <v>52</v>
      </c>
      <c r="E5" s="8" t="s">
        <v>53</v>
      </c>
    </row>
    <row r="6" customFormat="false" ht="15" hidden="false" customHeight="true" outlineLevel="0" collapsed="false">
      <c r="A6" s="9" t="s">
        <v>54</v>
      </c>
      <c r="B6" s="10" t="n">
        <v>20</v>
      </c>
      <c r="C6" s="10" t="n">
        <v>80</v>
      </c>
      <c r="D6" s="10" t="n">
        <v>200</v>
      </c>
      <c r="E6" s="3" t="s">
        <v>55</v>
      </c>
    </row>
    <row r="7" customFormat="false" ht="15" hidden="false" customHeight="true" outlineLevel="0" collapsed="false">
      <c r="A7" s="9" t="s">
        <v>56</v>
      </c>
      <c r="B7" s="11" t="n">
        <v>2000</v>
      </c>
      <c r="C7" s="11" t="n">
        <v>2200</v>
      </c>
      <c r="D7" s="11" t="n">
        <v>2500</v>
      </c>
      <c r="E7" s="3" t="s">
        <v>57</v>
      </c>
    </row>
    <row r="8" customFormat="false" ht="15" hidden="false" customHeight="true" outlineLevel="0" collapsed="false">
      <c r="A8" s="9" t="s">
        <v>58</v>
      </c>
      <c r="B8" s="12" t="n">
        <v>0.12</v>
      </c>
      <c r="C8" s="12" t="n">
        <v>0.12</v>
      </c>
      <c r="D8" s="12" t="n">
        <v>0.15</v>
      </c>
      <c r="E8" s="3" t="s">
        <v>59</v>
      </c>
    </row>
    <row r="9" customFormat="false" ht="15" hidden="false" customHeight="true" outlineLevel="0" collapsed="false">
      <c r="A9" s="13" t="s">
        <v>60</v>
      </c>
      <c r="B9" s="14" t="n">
        <f aca="false">B6*B7</f>
        <v>40000</v>
      </c>
      <c r="C9" s="14" t="n">
        <f aca="false">C6*C7</f>
        <v>176000</v>
      </c>
      <c r="D9" s="14" t="n">
        <f aca="false">D6*D7</f>
        <v>500000</v>
      </c>
      <c r="E9" s="3" t="s">
        <v>61</v>
      </c>
    </row>
    <row r="10" customFormat="false" ht="15" hidden="false" customHeight="true" outlineLevel="0" collapsed="false">
      <c r="A10" s="13" t="s">
        <v>62</v>
      </c>
      <c r="B10" s="14" t="n">
        <f aca="false">B9*B8</f>
        <v>4800</v>
      </c>
      <c r="C10" s="14" t="n">
        <f aca="false">C9*C8</f>
        <v>21120</v>
      </c>
      <c r="D10" s="14" t="n">
        <f aca="false">D9*D8</f>
        <v>75000</v>
      </c>
      <c r="E10" s="3" t="s">
        <v>63</v>
      </c>
    </row>
    <row r="12" customFormat="false" ht="15" hidden="false" customHeight="true" outlineLevel="0" collapsed="false">
      <c r="A12" s="4" t="s">
        <v>64</v>
      </c>
    </row>
    <row r="13" customFormat="false" ht="15" hidden="false" customHeight="true" outlineLevel="0" collapsed="false">
      <c r="A13" s="8"/>
      <c r="B13" s="8" t="s">
        <v>50</v>
      </c>
      <c r="C13" s="8" t="s">
        <v>51</v>
      </c>
      <c r="D13" s="8" t="s">
        <v>52</v>
      </c>
      <c r="E13" s="8" t="s">
        <v>53</v>
      </c>
    </row>
    <row r="14" customFormat="false" ht="15" hidden="false" customHeight="true" outlineLevel="0" collapsed="false">
      <c r="A14" s="9" t="s">
        <v>65</v>
      </c>
      <c r="B14" s="10" t="n">
        <v>200</v>
      </c>
      <c r="C14" s="10" t="n">
        <v>800</v>
      </c>
      <c r="D14" s="10" t="n">
        <v>1500</v>
      </c>
      <c r="E14" s="3" t="s">
        <v>66</v>
      </c>
    </row>
    <row r="15" customFormat="false" ht="15" hidden="false" customHeight="true" outlineLevel="0" collapsed="false">
      <c r="A15" s="9" t="s">
        <v>67</v>
      </c>
      <c r="B15" s="12" t="n">
        <v>0.3</v>
      </c>
      <c r="C15" s="12" t="n">
        <v>0.35</v>
      </c>
      <c r="D15" s="12" t="n">
        <v>0.4</v>
      </c>
      <c r="E15" s="3" t="s">
        <v>68</v>
      </c>
    </row>
    <row r="16" customFormat="false" ht="15" hidden="false" customHeight="true" outlineLevel="0" collapsed="false">
      <c r="A16" s="9" t="s">
        <v>69</v>
      </c>
      <c r="B16" s="10" t="n">
        <v>50</v>
      </c>
      <c r="C16" s="10" t="n">
        <v>150</v>
      </c>
      <c r="D16" s="10" t="n">
        <v>400</v>
      </c>
      <c r="E16" s="3" t="s">
        <v>70</v>
      </c>
    </row>
    <row r="17" customFormat="false" ht="15" hidden="false" customHeight="true" outlineLevel="0" collapsed="false">
      <c r="A17" s="13" t="s">
        <v>71</v>
      </c>
      <c r="B17" s="15" t="n">
        <f aca="false">IF(B14*B15&gt;0,B6*12/(B14*B15),0)</f>
        <v>4</v>
      </c>
      <c r="C17" s="15" t="n">
        <f aca="false">IF(C14*C15&gt;0,C6*12/(C14*C15),0)</f>
        <v>3.42857142857143</v>
      </c>
      <c r="D17" s="15" t="n">
        <f aca="false">IF(D14*D15&gt;0,D6*12/(D14*D15),0)</f>
        <v>4</v>
      </c>
      <c r="E17" s="3" t="s">
        <v>72</v>
      </c>
    </row>
    <row r="18" customFormat="false" ht="15" hidden="false" customHeight="true" outlineLevel="0" collapsed="false">
      <c r="A18" s="13" t="s">
        <v>73</v>
      </c>
      <c r="B18" s="15" t="n">
        <f aca="false">IF(B16&gt;0,B6*12/B16,0)</f>
        <v>4.8</v>
      </c>
      <c r="C18" s="15" t="n">
        <f aca="false">IF(C16&gt;0,C6*12/C16,0)</f>
        <v>6.4</v>
      </c>
      <c r="D18" s="15" t="n">
        <f aca="false">IF(D16&gt;0,D6*12/D16,0)</f>
        <v>6</v>
      </c>
      <c r="E18" s="3" t="s">
        <v>72</v>
      </c>
    </row>
    <row r="19" customFormat="false" ht="15" hidden="false" customHeight="true" outlineLevel="0" collapsed="false">
      <c r="A19" s="9" t="s">
        <v>74</v>
      </c>
      <c r="B19" s="12" t="n">
        <v>0.4</v>
      </c>
      <c r="C19" s="12" t="n">
        <v>0.55</v>
      </c>
      <c r="D19" s="12" t="n">
        <v>0.65</v>
      </c>
      <c r="E19" s="3" t="s">
        <v>75</v>
      </c>
    </row>
    <row r="21" customFormat="false" ht="15" hidden="false" customHeight="true" outlineLevel="0" collapsed="false">
      <c r="A21" s="4" t="s">
        <v>76</v>
      </c>
    </row>
    <row r="22" customFormat="false" ht="15" hidden="false" customHeight="true" outlineLevel="0" collapsed="false">
      <c r="A22" s="8"/>
      <c r="B22" s="8" t="s">
        <v>50</v>
      </c>
      <c r="C22" s="8" t="s">
        <v>51</v>
      </c>
      <c r="D22" s="8" t="s">
        <v>52</v>
      </c>
      <c r="E22" s="8" t="s">
        <v>53</v>
      </c>
    </row>
    <row r="23" customFormat="false" ht="15" hidden="false" customHeight="true" outlineLevel="0" collapsed="false">
      <c r="A23" s="9" t="s">
        <v>77</v>
      </c>
      <c r="B23" s="11" t="n">
        <v>20</v>
      </c>
      <c r="C23" s="11" t="n">
        <v>15</v>
      </c>
      <c r="D23" s="11" t="n">
        <v>10</v>
      </c>
      <c r="E23" s="3" t="s">
        <v>78</v>
      </c>
    </row>
    <row r="24" customFormat="false" ht="15" hidden="false" customHeight="true" outlineLevel="0" collapsed="false">
      <c r="A24" s="9" t="s">
        <v>79</v>
      </c>
      <c r="B24" s="11" t="n">
        <v>80</v>
      </c>
      <c r="C24" s="11" t="n">
        <v>60</v>
      </c>
      <c r="D24" s="11" t="n">
        <v>45</v>
      </c>
      <c r="E24" s="3" t="s">
        <v>80</v>
      </c>
    </row>
    <row r="25" customFormat="false" ht="15" hidden="false" customHeight="true" outlineLevel="0" collapsed="false">
      <c r="A25" s="13" t="s">
        <v>81</v>
      </c>
      <c r="B25" s="14" t="n">
        <f aca="false">B14*B23</f>
        <v>4000</v>
      </c>
      <c r="C25" s="14" t="n">
        <f aca="false">C14*C23</f>
        <v>12000</v>
      </c>
      <c r="D25" s="14" t="n">
        <f aca="false">D14*D23</f>
        <v>15000</v>
      </c>
      <c r="E25" s="3" t="s">
        <v>72</v>
      </c>
    </row>
    <row r="26" customFormat="false" ht="15" hidden="false" customHeight="true" outlineLevel="0" collapsed="false">
      <c r="A26" s="13" t="s">
        <v>82</v>
      </c>
      <c r="B26" s="14" t="n">
        <f aca="false">B16*B24</f>
        <v>4000</v>
      </c>
      <c r="C26" s="14" t="n">
        <f aca="false">C16*C24</f>
        <v>9000</v>
      </c>
      <c r="D26" s="14" t="n">
        <f aca="false">D16*D24</f>
        <v>18000</v>
      </c>
      <c r="E26" s="3" t="s">
        <v>72</v>
      </c>
    </row>
    <row r="28" customFormat="false" ht="15" hidden="false" customHeight="true" outlineLevel="0" collapsed="false">
      <c r="A28" s="4" t="s">
        <v>83</v>
      </c>
    </row>
    <row r="29" customFormat="false" ht="26.25" hidden="false" customHeight="true" outlineLevel="0" collapsed="false">
      <c r="A29" s="8"/>
      <c r="B29" s="8" t="s">
        <v>84</v>
      </c>
      <c r="C29" s="8"/>
      <c r="D29" s="8"/>
      <c r="E29" s="8" t="s">
        <v>53</v>
      </c>
    </row>
    <row r="30" customFormat="false" ht="15" hidden="false" customHeight="true" outlineLevel="0" collapsed="false">
      <c r="A30" s="9" t="s">
        <v>85</v>
      </c>
      <c r="B30" s="12" t="n">
        <v>0.029</v>
      </c>
      <c r="E30" s="3" t="s">
        <v>86</v>
      </c>
    </row>
    <row r="31" customFormat="false" ht="15" hidden="false" customHeight="true" outlineLevel="0" collapsed="false">
      <c r="A31" s="9" t="s">
        <v>87</v>
      </c>
      <c r="B31" s="12" t="n">
        <v>0.01</v>
      </c>
      <c r="E31" s="3" t="s">
        <v>88</v>
      </c>
    </row>
    <row r="32" customFormat="false" ht="15" hidden="false" customHeight="true" outlineLevel="0" collapsed="false">
      <c r="A32" s="9" t="s">
        <v>89</v>
      </c>
      <c r="B32" s="16" t="n">
        <v>5</v>
      </c>
      <c r="E32" s="3" t="s">
        <v>90</v>
      </c>
    </row>
    <row r="34" customFormat="false" ht="15" hidden="false" customHeight="true" outlineLevel="0" collapsed="false">
      <c r="A34" s="4" t="s">
        <v>91</v>
      </c>
    </row>
    <row r="35" customFormat="false" ht="15" hidden="false" customHeight="true" outlineLevel="0" collapsed="false">
      <c r="A35" s="8" t="s">
        <v>92</v>
      </c>
      <c r="B35" s="8" t="s">
        <v>93</v>
      </c>
      <c r="C35" s="8" t="s">
        <v>94</v>
      </c>
      <c r="D35" s="8" t="s">
        <v>95</v>
      </c>
      <c r="E35" s="8" t="s">
        <v>53</v>
      </c>
    </row>
    <row r="36" customFormat="false" ht="15" hidden="false" customHeight="true" outlineLevel="0" collapsed="false">
      <c r="A36" s="9" t="s">
        <v>96</v>
      </c>
      <c r="B36" s="11" t="n">
        <v>200</v>
      </c>
      <c r="C36" s="11" t="n">
        <v>500</v>
      </c>
      <c r="D36" s="11" t="n">
        <v>1200</v>
      </c>
      <c r="E36" s="3" t="s">
        <v>97</v>
      </c>
    </row>
    <row r="37" customFormat="false" ht="15" hidden="false" customHeight="true" outlineLevel="0" collapsed="false">
      <c r="A37" s="9" t="s">
        <v>98</v>
      </c>
      <c r="B37" s="11" t="n">
        <v>150</v>
      </c>
      <c r="C37" s="11" t="n">
        <v>350</v>
      </c>
      <c r="D37" s="11" t="n">
        <v>600</v>
      </c>
      <c r="E37" s="3" t="s">
        <v>99</v>
      </c>
    </row>
    <row r="38" customFormat="false" ht="15" hidden="false" customHeight="true" outlineLevel="0" collapsed="false">
      <c r="A38" s="9" t="s">
        <v>100</v>
      </c>
      <c r="B38" s="11" t="n">
        <v>200</v>
      </c>
      <c r="C38" s="11" t="n">
        <v>400</v>
      </c>
      <c r="D38" s="11" t="n">
        <v>600</v>
      </c>
      <c r="E38" s="3" t="s">
        <v>101</v>
      </c>
    </row>
    <row r="39" customFormat="false" ht="15" hidden="false" customHeight="true" outlineLevel="0" collapsed="false">
      <c r="A39" s="9" t="s">
        <v>102</v>
      </c>
      <c r="B39" s="11" t="n">
        <v>500</v>
      </c>
      <c r="C39" s="11" t="n">
        <v>2000</v>
      </c>
      <c r="D39" s="11" t="n">
        <v>4000</v>
      </c>
      <c r="E39" s="3" t="s">
        <v>103</v>
      </c>
    </row>
    <row r="40" customFormat="false" ht="15" hidden="false" customHeight="true" outlineLevel="0" collapsed="false">
      <c r="A40" s="9" t="s">
        <v>104</v>
      </c>
      <c r="B40" s="11" t="n">
        <v>50</v>
      </c>
      <c r="C40" s="11" t="n">
        <v>100</v>
      </c>
      <c r="D40" s="11" t="n">
        <v>200</v>
      </c>
      <c r="E40" s="3"/>
    </row>
    <row r="41" customFormat="false" ht="15" hidden="false" customHeight="true" outlineLevel="0" collapsed="false">
      <c r="A41" s="9" t="s">
        <v>105</v>
      </c>
      <c r="B41" s="11" t="n">
        <v>100</v>
      </c>
      <c r="C41" s="11" t="n">
        <v>300</v>
      </c>
      <c r="D41" s="11" t="n">
        <v>500</v>
      </c>
      <c r="E41" s="3"/>
    </row>
    <row r="42" customFormat="false" ht="15" hidden="false" customHeight="true" outlineLevel="0" collapsed="false">
      <c r="A42" s="13" t="s">
        <v>106</v>
      </c>
      <c r="B42" s="14" t="n">
        <f aca="false">SUM(B36:B41)*12</f>
        <v>14400</v>
      </c>
      <c r="C42" s="14" t="n">
        <f aca="false">SUM(C36:C41)*12</f>
        <v>43800</v>
      </c>
      <c r="D42" s="14" t="n">
        <f aca="false">SUM(D36:D41)*12</f>
        <v>85200</v>
      </c>
    </row>
    <row r="44" customFormat="false" ht="15" hidden="false" customHeight="true" outlineLevel="0" collapsed="false">
      <c r="A44" s="4" t="s">
        <v>107</v>
      </c>
    </row>
    <row r="45" customFormat="false" ht="15" hidden="false" customHeight="true" outlineLevel="0" collapsed="false">
      <c r="A45" s="8" t="s">
        <v>92</v>
      </c>
      <c r="B45" s="8" t="s">
        <v>108</v>
      </c>
      <c r="C45" s="8" t="s">
        <v>109</v>
      </c>
      <c r="D45" s="8"/>
      <c r="E45" s="8" t="s">
        <v>53</v>
      </c>
    </row>
    <row r="46" customFormat="false" ht="15" hidden="false" customHeight="true" outlineLevel="0" collapsed="false">
      <c r="A46" s="9" t="s">
        <v>110</v>
      </c>
      <c r="B46" s="10" t="n">
        <v>1</v>
      </c>
      <c r="C46" s="11" t="n">
        <v>0</v>
      </c>
      <c r="E46" s="3"/>
    </row>
    <row r="47" customFormat="false" ht="15" hidden="false" customHeight="true" outlineLevel="0" collapsed="false">
      <c r="A47" s="9" t="s">
        <v>111</v>
      </c>
      <c r="B47" s="10" t="n">
        <v>1</v>
      </c>
      <c r="C47" s="11" t="n">
        <v>0</v>
      </c>
      <c r="E47" s="3"/>
    </row>
    <row r="48" customFormat="false" ht="15" hidden="false" customHeight="true" outlineLevel="0" collapsed="false">
      <c r="A48" s="9" t="s">
        <v>112</v>
      </c>
      <c r="B48" s="10" t="n">
        <v>8</v>
      </c>
      <c r="C48" s="11" t="n">
        <v>38000</v>
      </c>
      <c r="E48" s="3"/>
    </row>
    <row r="49" customFormat="false" ht="15" hidden="false" customHeight="true" outlineLevel="0" collapsed="false">
      <c r="A49" s="9" t="s">
        <v>113</v>
      </c>
      <c r="B49" s="10" t="n">
        <v>12</v>
      </c>
      <c r="C49" s="11" t="n">
        <v>30000</v>
      </c>
      <c r="E49" s="3"/>
    </row>
    <row r="50" customFormat="false" ht="15" hidden="false" customHeight="true" outlineLevel="0" collapsed="false">
      <c r="A50" s="9" t="s">
        <v>114</v>
      </c>
      <c r="B50" s="10" t="n">
        <v>15</v>
      </c>
      <c r="C50" s="11" t="n">
        <v>35000</v>
      </c>
      <c r="E50" s="3"/>
    </row>
    <row r="51" customFormat="false" ht="15" hidden="false" customHeight="true" outlineLevel="0" collapsed="false">
      <c r="A51" s="9" t="s">
        <v>115</v>
      </c>
      <c r="B51" s="10" t="n">
        <v>13</v>
      </c>
      <c r="C51" s="11" t="n">
        <v>28000</v>
      </c>
      <c r="E51" s="3"/>
    </row>
    <row r="52" customFormat="false" ht="15" hidden="false" customHeight="true" outlineLevel="0" collapsed="false">
      <c r="A52" s="9" t="s">
        <v>116</v>
      </c>
      <c r="B52" s="12" t="n">
        <v>0.45</v>
      </c>
    </row>
    <row r="54" customFormat="false" ht="15" hidden="false" customHeight="true" outlineLevel="0" collapsed="false">
      <c r="A54" s="8" t="s">
        <v>117</v>
      </c>
      <c r="B54" s="8" t="s">
        <v>50</v>
      </c>
      <c r="C54" s="8" t="s">
        <v>51</v>
      </c>
      <c r="D54" s="8" t="s">
        <v>52</v>
      </c>
      <c r="E54" s="8"/>
    </row>
    <row r="55" customFormat="false" ht="15" hidden="false" customHeight="true" outlineLevel="0" collapsed="false">
      <c r="B55" s="14" t="n">
        <f aca="false">(IF(B46&lt;=12,C46*MAX(0,MIN(12,12-MAX(B46,1)+1))/12,0)+IF(B47&lt;=12,C47*MAX(0,MIN(12,12-MAX(B47,1)+1))/12,0)+IF(B48&lt;=12,C48*MAX(0,MIN(12,12-MAX(B48,1)+1))/12,0)+IF(B49&lt;=12,C49*MAX(0,MIN(12,12-MAX(B49,1)+1))/12,0)+IF(B50&lt;=12,C50*MAX(0,MIN(12,12-MAX(B50,1)+1))/12,0)+IF(B51&lt;=12,C51*MAX(0,MIN(12,12-MAX(B51,1)+1))/12,0))*(1+B52)</f>
        <v>26583.3333333333</v>
      </c>
      <c r="C55" s="14" t="n">
        <f aca="false">(IF(B46&lt;=24,C46*MAX(0,MIN(12,24-MAX(B46,13)+1))/12,0)+IF(B47&lt;=24,C47*MAX(0,MIN(12,24-MAX(B47,13)+1))/12,0)+IF(B48&lt;=24,C48*MAX(0,MIN(12,24-MAX(B48,13)+1))/12,0)+IF(B49&lt;=24,C49*MAX(0,MIN(12,24-MAX(B49,13)+1))/12,0)+IF(B50&lt;=24,C50*MAX(0,MIN(12,24-MAX(B50,13)+1))/12,0)+IF(B51&lt;=24,C51*MAX(0,MIN(12,24-MAX(B51,13)+1))/12,0))*(1+B52)</f>
        <v>181491.666666667</v>
      </c>
      <c r="D55" s="14" t="n">
        <f aca="false">(IF(B46&lt;=36,C46*MAX(0,MIN(12,36-MAX(B46,25)+1))/12,0)+IF(B47&lt;=36,C47*MAX(0,MIN(12,36-MAX(B47,25)+1))/12,0)+IF(B48&lt;=36,C48*MAX(0,MIN(12,36-MAX(B48,25)+1))/12,0)+IF(B49&lt;=36,C49*MAX(0,MIN(12,36-MAX(B49,25)+1))/12,0)+IF(B50&lt;=36,C50*MAX(0,MIN(12,36-MAX(B50,25)+1))/12,0)+IF(B51&lt;=36,C51*MAX(0,MIN(12,36-MAX(B51,25)+1))/12,0))*(1+B52)</f>
        <v>189950</v>
      </c>
    </row>
    <row r="57" customFormat="false" ht="15" hidden="false" customHeight="true" outlineLevel="0" collapsed="false">
      <c r="A57" s="4" t="s">
        <v>118</v>
      </c>
    </row>
    <row r="58" customFormat="false" ht="15" hidden="false" customHeight="true" outlineLevel="0" collapsed="false">
      <c r="A58" s="8" t="s">
        <v>119</v>
      </c>
      <c r="B58" s="8" t="s">
        <v>120</v>
      </c>
      <c r="C58" s="8" t="s">
        <v>121</v>
      </c>
      <c r="D58" s="8"/>
      <c r="E58" s="8" t="s">
        <v>53</v>
      </c>
    </row>
    <row r="59" customFormat="false" ht="15" hidden="false" customHeight="true" outlineLevel="0" collapsed="false">
      <c r="A59" s="9" t="s">
        <v>122</v>
      </c>
      <c r="B59" s="11" t="n">
        <v>20000</v>
      </c>
      <c r="C59" s="10" t="n">
        <v>1</v>
      </c>
      <c r="E59" s="3"/>
    </row>
    <row r="60" customFormat="false" ht="15" hidden="false" customHeight="true" outlineLevel="0" collapsed="false">
      <c r="A60" s="9" t="s">
        <v>123</v>
      </c>
      <c r="B60" s="11" t="n">
        <v>0</v>
      </c>
      <c r="C60" s="10" t="n">
        <v>6</v>
      </c>
      <c r="E60" s="3"/>
    </row>
    <row r="61" customFormat="false" ht="15" hidden="false" customHeight="true" outlineLevel="0" collapsed="false">
      <c r="A61" s="9" t="s">
        <v>124</v>
      </c>
      <c r="B61" s="11" t="n">
        <v>0</v>
      </c>
      <c r="C61" s="10" t="n">
        <v>12</v>
      </c>
      <c r="E61" s="3"/>
    </row>
    <row r="62" customFormat="false" ht="15" hidden="false" customHeight="true" outlineLevel="0" collapsed="false">
      <c r="A62" s="13" t="s">
        <v>125</v>
      </c>
      <c r="B62" s="14" t="n">
        <f aca="false">SUM(B59:B61)</f>
        <v>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6"/>
    <col collapsed="false" customWidth="true" hidden="false" outlineLevel="0" max="5" min="5" style="1" width="20"/>
  </cols>
  <sheetData>
    <row r="1" customFormat="false" ht="17.25" hidden="false" customHeight="true" outlineLevel="0" collapsed="false">
      <c r="A1" s="2" t="s">
        <v>126</v>
      </c>
    </row>
    <row r="2" customFormat="false" ht="15" hidden="false" customHeight="true" outlineLevel="0" collapsed="false">
      <c r="A2" s="3" t="s">
        <v>127</v>
      </c>
    </row>
    <row r="4" customFormat="false" ht="15" hidden="false" customHeight="true" outlineLevel="0" collapsed="false">
      <c r="A4" s="8"/>
      <c r="B4" s="8" t="s">
        <v>50</v>
      </c>
      <c r="C4" s="8" t="s">
        <v>51</v>
      </c>
      <c r="D4" s="8" t="s">
        <v>52</v>
      </c>
      <c r="E4" s="8"/>
    </row>
    <row r="5" customFormat="false" ht="15" hidden="false" customHeight="true" outlineLevel="0" collapsed="false">
      <c r="A5" s="9" t="s">
        <v>128</v>
      </c>
      <c r="B5" s="17" t="n">
        <f aca="false">B6*12</f>
        <v>240</v>
      </c>
      <c r="C5" s="17" t="n">
        <f aca="false">C6*12</f>
        <v>960</v>
      </c>
      <c r="D5" s="17" t="n">
        <f aca="false">D6*12</f>
        <v>2400</v>
      </c>
    </row>
    <row r="6" customFormat="false" ht="15" hidden="false" customHeight="true" outlineLevel="0" collapsed="false">
      <c r="A6" s="9" t="s">
        <v>129</v>
      </c>
      <c r="B6" s="18" t="n">
        <f aca="false">Hypothèses!B6</f>
        <v>20</v>
      </c>
      <c r="C6" s="18" t="n">
        <f aca="false">Hypothèses!C6</f>
        <v>80</v>
      </c>
      <c r="D6" s="18" t="n">
        <f aca="false">Hypothèses!D6</f>
        <v>200</v>
      </c>
      <c r="E6" s="3" t="s">
        <v>130</v>
      </c>
    </row>
    <row r="7" customFormat="false" ht="15" hidden="false" customHeight="true" outlineLevel="0" collapsed="false">
      <c r="A7" s="9" t="s">
        <v>131</v>
      </c>
      <c r="B7" s="19" t="n">
        <f aca="false">Hypothèses!B7</f>
        <v>2000</v>
      </c>
      <c r="C7" s="19" t="n">
        <f aca="false">Hypothèses!C7</f>
        <v>2200</v>
      </c>
      <c r="D7" s="19" t="n">
        <f aca="false">Hypothèses!D7</f>
        <v>2500</v>
      </c>
    </row>
    <row r="8" customFormat="false" ht="15" hidden="false" customHeight="true" outlineLevel="0" collapsed="false">
      <c r="A8" s="13" t="s">
        <v>132</v>
      </c>
      <c r="B8" s="14" t="n">
        <f aca="false">B5*B7</f>
        <v>480000</v>
      </c>
      <c r="C8" s="14" t="n">
        <f aca="false">C5*C7</f>
        <v>2112000</v>
      </c>
      <c r="D8" s="14" t="n">
        <f aca="false">D5*D7</f>
        <v>6000000</v>
      </c>
      <c r="E8" s="3" t="s">
        <v>133</v>
      </c>
    </row>
    <row r="9" customFormat="false" ht="15" hidden="false" customHeight="true" outlineLevel="0" collapsed="false">
      <c r="A9" s="9" t="s">
        <v>134</v>
      </c>
      <c r="B9" s="20" t="n">
        <f aca="false">Hypothèses!B8</f>
        <v>0.12</v>
      </c>
      <c r="C9" s="20" t="n">
        <f aca="false">Hypothèses!C8</f>
        <v>0.12</v>
      </c>
      <c r="D9" s="20" t="n">
        <f aca="false">Hypothèses!D8</f>
        <v>0.15</v>
      </c>
    </row>
    <row r="10" customFormat="false" ht="15" hidden="false" customHeight="true" outlineLevel="0" collapsed="false">
      <c r="A10" s="13" t="s">
        <v>135</v>
      </c>
      <c r="B10" s="14" t="n">
        <f aca="false">B8*B9</f>
        <v>57600</v>
      </c>
      <c r="C10" s="14" t="n">
        <f aca="false">C8*C9</f>
        <v>253440</v>
      </c>
      <c r="D10" s="14" t="n">
        <f aca="false">D8*D9</f>
        <v>900000</v>
      </c>
      <c r="E10" s="3" t="s">
        <v>136</v>
      </c>
    </row>
    <row r="11" customFormat="false" ht="15" hidden="false" customHeight="true" outlineLevel="0" collapsed="false">
      <c r="A11" s="9"/>
    </row>
    <row r="12" customFormat="false" ht="15" hidden="false" customHeight="true" outlineLevel="0" collapsed="false">
      <c r="A12" s="9" t="s">
        <v>137</v>
      </c>
    </row>
    <row r="13" customFormat="false" ht="15" hidden="false" customHeight="true" outlineLevel="0" collapsed="false">
      <c r="A13" s="21" t="s">
        <v>138</v>
      </c>
      <c r="B13" s="11" t="n">
        <v>0</v>
      </c>
      <c r="C13" s="11" t="n">
        <v>0</v>
      </c>
      <c r="D13" s="11" t="n">
        <v>0</v>
      </c>
      <c r="E13" s="3" t="s">
        <v>139</v>
      </c>
    </row>
    <row r="14" customFormat="false" ht="15" hidden="false" customHeight="true" outlineLevel="0" collapsed="false">
      <c r="A14" s="21" t="s">
        <v>140</v>
      </c>
      <c r="B14" s="11" t="n">
        <v>0</v>
      </c>
      <c r="C14" s="11" t="n">
        <v>0</v>
      </c>
      <c r="D14" s="11" t="n">
        <v>0</v>
      </c>
      <c r="E14" s="3" t="s">
        <v>141</v>
      </c>
    </row>
    <row r="15" customFormat="false" ht="15" hidden="false" customHeight="true" outlineLevel="0" collapsed="false">
      <c r="A15" s="13" t="s">
        <v>142</v>
      </c>
      <c r="B15" s="14" t="n">
        <f aca="false">B10+B13+B14</f>
        <v>57600</v>
      </c>
      <c r="C15" s="14" t="n">
        <f aca="false">C10+C13+C14</f>
        <v>253440</v>
      </c>
      <c r="D15" s="14" t="n">
        <f aca="false">D10+D13+D14</f>
        <v>900000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143</v>
      </c>
    </row>
    <row r="3" customFormat="false" ht="15" hidden="false" customHeight="true" outlineLevel="0" collapsed="false">
      <c r="A3" s="8"/>
      <c r="B3" s="8" t="s">
        <v>50</v>
      </c>
      <c r="C3" s="8" t="s">
        <v>51</v>
      </c>
      <c r="D3" s="8" t="s">
        <v>52</v>
      </c>
      <c r="E3" s="8" t="s">
        <v>53</v>
      </c>
    </row>
    <row r="4" customFormat="false" ht="15" hidden="false" customHeight="true" outlineLevel="0" collapsed="false">
      <c r="A4" s="4" t="s">
        <v>144</v>
      </c>
    </row>
    <row r="5" customFormat="false" ht="15" hidden="false" customHeight="true" outlineLevel="0" collapsed="false">
      <c r="A5" s="9" t="s">
        <v>145</v>
      </c>
      <c r="B5" s="19" t="n">
        <f aca="false">-Revenus!B8*Hypothèses!B30</f>
        <v>-13920</v>
      </c>
      <c r="C5" s="19" t="n">
        <f aca="false">-Revenus!C8*Hypothèses!B30</f>
        <v>-61248</v>
      </c>
      <c r="D5" s="19" t="n">
        <f aca="false">-Revenus!D8*Hypothèses!B30</f>
        <v>-174000</v>
      </c>
    </row>
    <row r="6" customFormat="false" ht="15" hidden="false" customHeight="true" outlineLevel="0" collapsed="false">
      <c r="A6" s="9" t="s">
        <v>146</v>
      </c>
      <c r="B6" s="19" t="n">
        <f aca="false">-Revenus!B8*Hypothèses!B31</f>
        <v>-4800</v>
      </c>
      <c r="C6" s="19" t="n">
        <f aca="false">-Revenus!C8*Hypothèses!B31</f>
        <v>-21120</v>
      </c>
      <c r="D6" s="19" t="n">
        <f aca="false">-Revenus!D8*Hypothèses!B31</f>
        <v>-60000</v>
      </c>
    </row>
    <row r="7" customFormat="false" ht="15" hidden="false" customHeight="true" outlineLevel="0" collapsed="false">
      <c r="A7" s="9" t="s">
        <v>147</v>
      </c>
      <c r="B7" s="22" t="n">
        <f aca="false">-Hypothèses!B32*Revenus!B5</f>
        <v>-1200</v>
      </c>
      <c r="C7" s="22" t="n">
        <f aca="false">-Hypothèses!B32*Revenus!C5</f>
        <v>-4800</v>
      </c>
      <c r="D7" s="22" t="n">
        <f aca="false">-Hypothèses!B32*Revenus!D5</f>
        <v>-12000</v>
      </c>
    </row>
    <row r="8" customFormat="false" ht="15" hidden="false" customHeight="true" outlineLevel="0" collapsed="false">
      <c r="A8" s="9" t="s">
        <v>148</v>
      </c>
      <c r="B8" s="19" t="n">
        <f aca="false">-Hypothèses!B25</f>
        <v>-4000</v>
      </c>
      <c r="C8" s="19" t="n">
        <f aca="false">-Hypothèses!C25</f>
        <v>-12000</v>
      </c>
      <c r="D8" s="19" t="n">
        <f aca="false">-Hypothèses!D25</f>
        <v>-15000</v>
      </c>
    </row>
    <row r="9" customFormat="false" ht="15" hidden="false" customHeight="true" outlineLevel="0" collapsed="false">
      <c r="A9" s="9" t="s">
        <v>149</v>
      </c>
      <c r="B9" s="19" t="n">
        <f aca="false">-Hypothèses!B26</f>
        <v>-4000</v>
      </c>
      <c r="C9" s="19" t="n">
        <f aca="false">-Hypothèses!C26</f>
        <v>-9000</v>
      </c>
      <c r="D9" s="19" t="n">
        <f aca="false">-Hypothèses!D26</f>
        <v>-18000</v>
      </c>
    </row>
    <row r="10" customFormat="false" ht="15" hidden="false" customHeight="true" outlineLevel="0" collapsed="false">
      <c r="A10" s="23" t="s">
        <v>150</v>
      </c>
      <c r="B10" s="24" t="n">
        <f aca="false">SUM(B5:B9)</f>
        <v>-27920</v>
      </c>
      <c r="C10" s="24" t="n">
        <f aca="false">SUM(C5:C9)</f>
        <v>-108168</v>
      </c>
      <c r="D10" s="24" t="n">
        <f aca="false">SUM(D5:D9)</f>
        <v>-279000</v>
      </c>
    </row>
    <row r="12" customFormat="false" ht="15" hidden="false" customHeight="true" outlineLevel="0" collapsed="false">
      <c r="A12" s="4" t="s">
        <v>151</v>
      </c>
    </row>
    <row r="13" customFormat="false" ht="15" hidden="false" customHeight="true" outlineLevel="0" collapsed="false">
      <c r="A13" s="9" t="s">
        <v>152</v>
      </c>
      <c r="B13" s="19" t="n">
        <f aca="false">-Hypothèses!B42</f>
        <v>-14400</v>
      </c>
      <c r="C13" s="19" t="n">
        <f aca="false">-Hypothèses!C42</f>
        <v>-43800</v>
      </c>
      <c r="D13" s="19" t="n">
        <f aca="false">-Hypothèses!D42</f>
        <v>-85200</v>
      </c>
    </row>
    <row r="14" customFormat="false" ht="15" hidden="false" customHeight="true" outlineLevel="0" collapsed="false">
      <c r="A14" s="9" t="s">
        <v>153</v>
      </c>
      <c r="B14" s="19" t="n">
        <f aca="false">-ABS(Hypothèses!B55)</f>
        <v>-26583.3333333333</v>
      </c>
      <c r="C14" s="19" t="n">
        <f aca="false">-ABS(Hypothèses!C55)</f>
        <v>-181491.666666667</v>
      </c>
      <c r="D14" s="19" t="n">
        <f aca="false">-ABS(Hypothèses!D55)</f>
        <v>-189950</v>
      </c>
    </row>
    <row r="15" customFormat="false" ht="15" hidden="false" customHeight="true" outlineLevel="0" collapsed="false">
      <c r="A15" s="23" t="s">
        <v>154</v>
      </c>
      <c r="B15" s="24" t="n">
        <f aca="false">B13+B14</f>
        <v>-40983.3333333333</v>
      </c>
      <c r="C15" s="24" t="n">
        <f aca="false">C13+C14</f>
        <v>-225291.666666667</v>
      </c>
      <c r="D15" s="24" t="n">
        <f aca="false">D13+D14</f>
        <v>-275150</v>
      </c>
    </row>
    <row r="17" customFormat="false" ht="15" hidden="false" customHeight="true" outlineLevel="0" collapsed="false">
      <c r="A17" s="4" t="s">
        <v>155</v>
      </c>
    </row>
    <row r="18" customFormat="false" ht="15" hidden="false" customHeight="true" outlineLevel="0" collapsed="false">
      <c r="A18" s="8"/>
      <c r="B18" s="8" t="s">
        <v>50</v>
      </c>
      <c r="C18" s="8" t="s">
        <v>51</v>
      </c>
      <c r="D18" s="8" t="s">
        <v>52</v>
      </c>
      <c r="E18" s="8"/>
    </row>
    <row r="19" customFormat="false" ht="15" hidden="false" customHeight="true" outlineLevel="0" collapsed="false">
      <c r="A19" s="13" t="s">
        <v>156</v>
      </c>
      <c r="B19" s="25" t="n">
        <f aca="false">Revenus!B15</f>
        <v>57600</v>
      </c>
      <c r="C19" s="25" t="n">
        <f aca="false">Revenus!C15</f>
        <v>253440</v>
      </c>
      <c r="D19" s="25" t="n">
        <f aca="false">Revenus!D15</f>
        <v>900000</v>
      </c>
    </row>
    <row r="20" customFormat="false" ht="15" hidden="false" customHeight="true" outlineLevel="0" collapsed="false">
      <c r="A20" s="5" t="s">
        <v>157</v>
      </c>
      <c r="B20" s="22" t="n">
        <f aca="false">B10</f>
        <v>-27920</v>
      </c>
      <c r="C20" s="22" t="n">
        <f aca="false">C10</f>
        <v>-108168</v>
      </c>
      <c r="D20" s="22" t="n">
        <f aca="false">D10</f>
        <v>-279000</v>
      </c>
    </row>
    <row r="21" customFormat="false" ht="15" hidden="false" customHeight="true" outlineLevel="0" collapsed="false">
      <c r="A21" s="26" t="s">
        <v>158</v>
      </c>
      <c r="B21" s="27" t="n">
        <f aca="false">B19+B20</f>
        <v>29680</v>
      </c>
      <c r="C21" s="27" t="n">
        <f aca="false">C19+C20</f>
        <v>145272</v>
      </c>
      <c r="D21" s="27" t="n">
        <f aca="false">D19+D20</f>
        <v>621000</v>
      </c>
    </row>
    <row r="22" customFormat="false" ht="15" hidden="false" customHeight="true" outlineLevel="0" collapsed="false">
      <c r="A22" s="9" t="s">
        <v>159</v>
      </c>
      <c r="B22" s="28" t="n">
        <f aca="false">IF(B19=0,0,B21/B19)</f>
        <v>0.515277777777778</v>
      </c>
      <c r="C22" s="28" t="n">
        <f aca="false">IF(C19=0,0,C21/C19)</f>
        <v>0.573200757575758</v>
      </c>
      <c r="D22" s="28" t="n">
        <f aca="false">IF(D19=0,0,D21/D19)</f>
        <v>0.69</v>
      </c>
    </row>
    <row r="23" customFormat="false" ht="15" hidden="false" customHeight="true" outlineLevel="0" collapsed="false">
      <c r="A23" s="5" t="s">
        <v>160</v>
      </c>
      <c r="B23" s="22" t="n">
        <f aca="false">B15</f>
        <v>-40983.3333333333</v>
      </c>
      <c r="C23" s="22" t="n">
        <f aca="false">C15</f>
        <v>-225291.666666667</v>
      </c>
      <c r="D23" s="22" t="n">
        <f aca="false">D15</f>
        <v>-275150</v>
      </c>
    </row>
    <row r="24" customFormat="false" ht="15" hidden="false" customHeight="true" outlineLevel="0" collapsed="false">
      <c r="A24" s="5"/>
    </row>
    <row r="25" customFormat="false" ht="15" hidden="false" customHeight="true" outlineLevel="0" collapsed="false">
      <c r="A25" s="29" t="s">
        <v>161</v>
      </c>
      <c r="B25" s="30" t="n">
        <f aca="false">B21+B23</f>
        <v>-11303.3333333333</v>
      </c>
      <c r="C25" s="30" t="n">
        <f aca="false">C21+C23</f>
        <v>-80019.6666666667</v>
      </c>
      <c r="D25" s="30" t="n">
        <f aca="false">D21+D23</f>
        <v>345850</v>
      </c>
    </row>
    <row r="26" customFormat="false" ht="15" hidden="false" customHeight="true" outlineLevel="0" collapsed="false">
      <c r="A26" s="9" t="s">
        <v>162</v>
      </c>
      <c r="B26" s="28" t="n">
        <f aca="false">IF(B19=0,0,B25/B19)</f>
        <v>-0.196238425925926</v>
      </c>
      <c r="C26" s="28" t="n">
        <f aca="false">IF(C19=0,0,C25/C19)</f>
        <v>-0.31573416456229</v>
      </c>
      <c r="D26" s="28" t="n">
        <f aca="false">IF(D19=0,0,D25/D19)</f>
        <v>0.384277777777778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  <col collapsed="false" customWidth="true" hidden="false" outlineLevel="0" max="5" min="5" style="1" width="22"/>
  </cols>
  <sheetData>
    <row r="1" customFormat="false" ht="17.25" hidden="false" customHeight="true" outlineLevel="0" collapsed="false">
      <c r="A1" s="2" t="s">
        <v>163</v>
      </c>
    </row>
    <row r="3" customFormat="false" ht="15" hidden="false" customHeight="true" outlineLevel="0" collapsed="false">
      <c r="A3" s="8"/>
      <c r="B3" s="8" t="s">
        <v>50</v>
      </c>
      <c r="C3" s="8" t="s">
        <v>51</v>
      </c>
      <c r="D3" s="8" t="s">
        <v>52</v>
      </c>
      <c r="E3" s="8"/>
    </row>
    <row r="4" customFormat="false" ht="15" hidden="false" customHeight="true" outlineLevel="0" collapsed="false">
      <c r="A4" s="5" t="s">
        <v>164</v>
      </c>
      <c r="B4" s="19" t="n">
        <f aca="false">Hypothèses!B62</f>
        <v>20000</v>
      </c>
      <c r="C4" s="22" t="n">
        <f aca="false">B10</f>
        <v>25696.6666666667</v>
      </c>
      <c r="D4" s="22" t="n">
        <f aca="false">C10</f>
        <v>-62323</v>
      </c>
    </row>
    <row r="5" customFormat="false" ht="15" hidden="false" customHeight="true" outlineLevel="0" collapsed="false">
      <c r="A5" s="9" t="s">
        <v>165</v>
      </c>
      <c r="B5" s="19" t="n">
        <f aca="false">Revenus!B15</f>
        <v>57600</v>
      </c>
      <c r="C5" s="19" t="n">
        <f aca="false">Revenus!C15</f>
        <v>253440</v>
      </c>
      <c r="D5" s="19" t="n">
        <f aca="false">Revenus!D15</f>
        <v>900000</v>
      </c>
    </row>
    <row r="6" customFormat="false" ht="15" hidden="false" customHeight="true" outlineLevel="0" collapsed="false">
      <c r="A6" s="9" t="s">
        <v>166</v>
      </c>
      <c r="B6" s="22" t="n">
        <f aca="false">'Coûts &amp; P&amp;L'!B25-'Coûts &amp; P&amp;L'!B19</f>
        <v>-68903.3333333333</v>
      </c>
      <c r="C6" s="22" t="n">
        <f aca="false">'Coûts &amp; P&amp;L'!C25-'Coûts &amp; P&amp;L'!C19</f>
        <v>-333459.666666667</v>
      </c>
      <c r="D6" s="22" t="n">
        <f aca="false">'Coûts &amp; P&amp;L'!D25-'Coûts &amp; P&amp;L'!D19</f>
        <v>-554150</v>
      </c>
    </row>
    <row r="7" customFormat="false" ht="15" hidden="false" customHeight="true" outlineLevel="0" collapsed="false">
      <c r="A7" s="9" t="s">
        <v>167</v>
      </c>
      <c r="B7" s="11" t="n">
        <v>-3000</v>
      </c>
      <c r="C7" s="11" t="n">
        <v>-8000</v>
      </c>
      <c r="D7" s="11" t="n">
        <v>-15000</v>
      </c>
    </row>
    <row r="8" customFormat="false" ht="15" hidden="false" customHeight="true" outlineLevel="0" collapsed="false">
      <c r="A8" s="9" t="s">
        <v>168</v>
      </c>
      <c r="B8" s="19" t="n">
        <f aca="false">Hypothèses!B62</f>
        <v>20000</v>
      </c>
      <c r="C8" s="11" t="n">
        <v>0</v>
      </c>
      <c r="D8" s="11" t="n">
        <v>0</v>
      </c>
    </row>
    <row r="9" customFormat="false" ht="15" hidden="false" customHeight="true" outlineLevel="0" collapsed="false">
      <c r="A9" s="29" t="s">
        <v>169</v>
      </c>
      <c r="B9" s="31" t="n">
        <f aca="false">B5+B6+B7+B8</f>
        <v>5696.66666666666</v>
      </c>
      <c r="C9" s="31" t="n">
        <f aca="false">C5+C6+C7+C8</f>
        <v>-88019.6666666666</v>
      </c>
      <c r="D9" s="31" t="n">
        <f aca="false">D5+D6+D7+D8</f>
        <v>330850</v>
      </c>
    </row>
    <row r="10" customFormat="false" ht="15" hidden="false" customHeight="true" outlineLevel="0" collapsed="false">
      <c r="A10" s="32" t="s">
        <v>170</v>
      </c>
      <c r="B10" s="33" t="n">
        <f aca="false">B4+B9</f>
        <v>25696.6666666667</v>
      </c>
      <c r="C10" s="33" t="n">
        <f aca="false">C4+C9</f>
        <v>-62323</v>
      </c>
      <c r="D10" s="33" t="n">
        <f aca="false">D4+D9</f>
        <v>268527</v>
      </c>
    </row>
    <row r="12" customFormat="false" ht="15" hidden="false" customHeight="true" outlineLevel="0" collapsed="false">
      <c r="A12" s="4" t="s">
        <v>171</v>
      </c>
    </row>
    <row r="13" customFormat="false" ht="15" hidden="false" customHeight="true" outlineLevel="0" collapsed="false">
      <c r="A13" s="5" t="s">
        <v>172</v>
      </c>
      <c r="B13" s="22" t="n">
        <f aca="false">IF(B9&lt;0,-B9/12,0)</f>
        <v>0</v>
      </c>
      <c r="C13" s="22" t="n">
        <f aca="false">IF(C9&lt;0,-C9/12,0)</f>
        <v>7334.97222222222</v>
      </c>
      <c r="D13" s="22" t="n">
        <f aca="false">IF(D9&lt;0,-D9/12,0)</f>
        <v>0</v>
      </c>
    </row>
    <row r="14" customFormat="false" ht="15" hidden="false" customHeight="true" outlineLevel="0" collapsed="false">
      <c r="A14" s="29" t="s">
        <v>173</v>
      </c>
      <c r="B14" s="34" t="n">
        <f aca="false">IF(B13&gt;0,B4/B13,99)</f>
        <v>99</v>
      </c>
      <c r="C14" s="34" t="n">
        <f aca="false">IF(C13&gt;0,C4/C13,99)</f>
        <v>3.5033079728394</v>
      </c>
      <c r="D14" s="34" t="n">
        <f aca="false">IF(D13&gt;0,D4/D13,99)</f>
        <v>99</v>
      </c>
    </row>
    <row r="15" customFormat="false" ht="15" hidden="false" customHeight="true" outlineLevel="0" collapsed="false">
      <c r="A15" s="23" t="s">
        <v>174</v>
      </c>
      <c r="B15" s="24" t="n">
        <f aca="false">IF(B10&lt;0,-B10,0)</f>
        <v>0</v>
      </c>
      <c r="C15" s="24" t="n">
        <f aca="false">IF(C10&lt;0,-C10,0)</f>
        <v>62323</v>
      </c>
      <c r="D15" s="24" t="n">
        <f aca="false">IF(D10&lt;0,-D10,0)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6"/>
  </cols>
  <sheetData>
    <row r="1" customFormat="false" ht="17.25" hidden="false" customHeight="true" outlineLevel="0" collapsed="false">
      <c r="A1" s="2" t="s">
        <v>175</v>
      </c>
    </row>
    <row r="3" customFormat="false" ht="15" hidden="false" customHeight="true" outlineLevel="0" collapsed="false">
      <c r="A3" s="8" t="s">
        <v>176</v>
      </c>
      <c r="B3" s="8" t="s">
        <v>50</v>
      </c>
      <c r="C3" s="8" t="s">
        <v>51</v>
      </c>
      <c r="D3" s="8" t="s">
        <v>52</v>
      </c>
    </row>
    <row r="4" customFormat="false" ht="15" hidden="false" customHeight="true" outlineLevel="0" collapsed="false">
      <c r="A4" s="4" t="s">
        <v>177</v>
      </c>
    </row>
    <row r="5" customFormat="false" ht="15" hidden="false" customHeight="true" outlineLevel="0" collapsed="false">
      <c r="A5" s="13" t="s">
        <v>132</v>
      </c>
      <c r="B5" s="25" t="n">
        <f aca="false">Revenus!B8</f>
        <v>480000</v>
      </c>
      <c r="C5" s="25" t="n">
        <f aca="false">Revenus!C8</f>
        <v>2112000</v>
      </c>
      <c r="D5" s="25" t="n">
        <f aca="false">Revenus!D8</f>
        <v>6000000</v>
      </c>
    </row>
    <row r="6" customFormat="false" ht="15" hidden="false" customHeight="true" outlineLevel="0" collapsed="false">
      <c r="A6" s="5" t="s">
        <v>128</v>
      </c>
      <c r="B6" s="18" t="n">
        <f aca="false">Revenus!B5</f>
        <v>240</v>
      </c>
      <c r="C6" s="18" t="n">
        <f aca="false">Revenus!C5</f>
        <v>960</v>
      </c>
      <c r="D6" s="18" t="n">
        <f aca="false">Revenus!D5</f>
        <v>2400</v>
      </c>
    </row>
    <row r="7" customFormat="false" ht="15" hidden="false" customHeight="true" outlineLevel="0" collapsed="false">
      <c r="A7" s="5" t="s">
        <v>131</v>
      </c>
      <c r="B7" s="19" t="n">
        <f aca="false">Revenus!B7</f>
        <v>2000</v>
      </c>
      <c r="C7" s="19" t="n">
        <f aca="false">Revenus!C7</f>
        <v>2200</v>
      </c>
      <c r="D7" s="19" t="n">
        <f aca="false">Revenus!D7</f>
        <v>2500</v>
      </c>
    </row>
    <row r="8" customFormat="false" ht="15" hidden="false" customHeight="true" outlineLevel="0" collapsed="false">
      <c r="A8" s="13" t="s">
        <v>178</v>
      </c>
      <c r="B8" s="25" t="n">
        <f aca="false">Revenus!B15</f>
        <v>57600</v>
      </c>
      <c r="C8" s="25" t="n">
        <f aca="false">Revenus!C15</f>
        <v>253440</v>
      </c>
      <c r="D8" s="25" t="n">
        <f aca="false">Revenus!D15</f>
        <v>900000</v>
      </c>
    </row>
    <row r="9" customFormat="false" ht="15" hidden="false" customHeight="true" outlineLevel="0" collapsed="false">
      <c r="A9" s="5" t="s">
        <v>179</v>
      </c>
      <c r="B9" s="20" t="n">
        <f aca="false">IF(Revenus!B8&gt;0,Revenus!B10/Revenus!B8,0)</f>
        <v>0.12</v>
      </c>
      <c r="C9" s="20" t="n">
        <f aca="false">IF(Revenus!C8&gt;0,Revenus!C10/Revenus!C8,0)</f>
        <v>0.12</v>
      </c>
      <c r="D9" s="20" t="n">
        <f aca="false">IF(Revenus!D8&gt;0,Revenus!D10/Revenus!D8,0)</f>
        <v>0.15</v>
      </c>
    </row>
    <row r="11" customFormat="false" ht="15" hidden="false" customHeight="true" outlineLevel="0" collapsed="false">
      <c r="A11" s="4" t="s">
        <v>180</v>
      </c>
    </row>
    <row r="12" customFormat="false" ht="15" hidden="false" customHeight="true" outlineLevel="0" collapsed="false">
      <c r="A12" s="5" t="s">
        <v>181</v>
      </c>
      <c r="B12" s="18" t="n">
        <f aca="false">Hypothèses!B14</f>
        <v>200</v>
      </c>
      <c r="C12" s="18" t="n">
        <f aca="false">Hypothèses!C14</f>
        <v>800</v>
      </c>
      <c r="D12" s="18" t="n">
        <f aca="false">Hypothèses!D14</f>
        <v>1500</v>
      </c>
    </row>
    <row r="13" customFormat="false" ht="15" hidden="false" customHeight="true" outlineLevel="0" collapsed="false">
      <c r="A13" s="5" t="s">
        <v>67</v>
      </c>
      <c r="B13" s="20" t="n">
        <f aca="false">Hypothèses!B15</f>
        <v>0.3</v>
      </c>
      <c r="C13" s="20" t="n">
        <f aca="false">Hypothèses!C15</f>
        <v>0.35</v>
      </c>
      <c r="D13" s="20" t="n">
        <f aca="false">Hypothèses!D15</f>
        <v>0.4</v>
      </c>
    </row>
    <row r="14" customFormat="false" ht="15" hidden="false" customHeight="true" outlineLevel="0" collapsed="false">
      <c r="A14" s="5" t="s">
        <v>182</v>
      </c>
      <c r="B14" s="18" t="n">
        <f aca="false">Hypothèses!B16</f>
        <v>50</v>
      </c>
      <c r="C14" s="18" t="n">
        <f aca="false">Hypothèses!C16</f>
        <v>150</v>
      </c>
      <c r="D14" s="18" t="n">
        <f aca="false">Hypothèses!D16</f>
        <v>400</v>
      </c>
    </row>
    <row r="15" customFormat="false" ht="15" hidden="false" customHeight="true" outlineLevel="0" collapsed="false">
      <c r="A15" s="29" t="s">
        <v>183</v>
      </c>
      <c r="B15" s="35" t="n">
        <f aca="false">Hypothèses!B19</f>
        <v>0.4</v>
      </c>
      <c r="C15" s="35" t="n">
        <f aca="false">Hypothèses!C19</f>
        <v>0.55</v>
      </c>
      <c r="D15" s="35" t="n">
        <f aca="false">Hypothèses!D19</f>
        <v>0.65</v>
      </c>
    </row>
    <row r="16" customFormat="false" ht="15" hidden="false" customHeight="true" outlineLevel="0" collapsed="false">
      <c r="A16" s="5" t="s">
        <v>184</v>
      </c>
      <c r="B16" s="36" t="n">
        <f aca="false">IF(Hypothèses!B16&gt;0,Hypothèses!B14*Hypothèses!B15/Hypothèses!B16,0)</f>
        <v>1.2</v>
      </c>
      <c r="C16" s="36" t="n">
        <f aca="false">IF(Hypothèses!C16&gt;0,Hypothèses!C14*Hypothèses!C15/Hypothèses!C16,0)</f>
        <v>1.86666666666667</v>
      </c>
      <c r="D16" s="36" t="n">
        <f aca="false">IF(Hypothèses!D16&gt;0,Hypothèses!D14*Hypothèses!D15/Hypothèses!D16,0)</f>
        <v>1.5</v>
      </c>
    </row>
    <row r="18" customFormat="false" ht="15" hidden="false" customHeight="true" outlineLevel="0" collapsed="false">
      <c r="A18" s="4" t="s">
        <v>185</v>
      </c>
    </row>
    <row r="19" customFormat="false" ht="15" hidden="false" customHeight="true" outlineLevel="0" collapsed="false">
      <c r="A19" s="5" t="s">
        <v>79</v>
      </c>
      <c r="B19" s="19" t="n">
        <f aca="false">Hypothèses!B24</f>
        <v>80</v>
      </c>
      <c r="C19" s="19" t="n">
        <f aca="false">Hypothèses!C24</f>
        <v>60</v>
      </c>
      <c r="D19" s="19" t="n">
        <f aca="false">Hypothèses!D24</f>
        <v>45</v>
      </c>
    </row>
    <row r="20" customFormat="false" ht="15" hidden="false" customHeight="true" outlineLevel="0" collapsed="false">
      <c r="A20" s="5" t="s">
        <v>186</v>
      </c>
      <c r="B20" s="19" t="n">
        <f aca="false">Hypothèses!B7*Hypothèses!B8*Hypothèses!B18/(1-Hypothèses!B19)</f>
        <v>1920</v>
      </c>
      <c r="C20" s="19" t="n">
        <f aca="false">Hypothèses!C7*Hypothèses!C8*Hypothèses!C18/(1-Hypothèses!C19)</f>
        <v>3754.66666666667</v>
      </c>
      <c r="D20" s="19" t="n">
        <f aca="false">Hypothèses!D7*Hypothèses!D8*Hypothèses!D18/(1-Hypothèses!D19)</f>
        <v>6428.57142857143</v>
      </c>
    </row>
    <row r="21" customFormat="false" ht="15" hidden="false" customHeight="true" outlineLevel="0" collapsed="false">
      <c r="A21" s="29" t="s">
        <v>187</v>
      </c>
      <c r="B21" s="37" t="n">
        <f aca="false">B20/B19</f>
        <v>24</v>
      </c>
      <c r="C21" s="37" t="n">
        <f aca="false">C20/C19</f>
        <v>62.5777777777778</v>
      </c>
      <c r="D21" s="37" t="n">
        <f aca="false">D20/D19</f>
        <v>142.857142857143</v>
      </c>
    </row>
    <row r="23" customFormat="false" ht="15" hidden="false" customHeight="true" outlineLevel="0" collapsed="false">
      <c r="A23" s="4" t="s">
        <v>188</v>
      </c>
    </row>
    <row r="24" customFormat="false" ht="15" hidden="false" customHeight="true" outlineLevel="0" collapsed="false">
      <c r="A24" s="5" t="s">
        <v>189</v>
      </c>
      <c r="B24" s="19" t="n">
        <f aca="false">'Coûts &amp; P&amp;L'!B25</f>
        <v>-11303.3333333333</v>
      </c>
      <c r="C24" s="19" t="n">
        <f aca="false">'Coûts &amp; P&amp;L'!C25</f>
        <v>-80019.6666666667</v>
      </c>
      <c r="D24" s="19" t="n">
        <f aca="false">'Coûts &amp; P&amp;L'!D25</f>
        <v>345850</v>
      </c>
    </row>
    <row r="25" customFormat="false" ht="15" hidden="false" customHeight="true" outlineLevel="0" collapsed="false">
      <c r="A25" s="5" t="s">
        <v>190</v>
      </c>
      <c r="B25" s="20" t="n">
        <f aca="false">'Coûts &amp; P&amp;L'!B26</f>
        <v>-0.196238425925926</v>
      </c>
      <c r="C25" s="20" t="n">
        <f aca="false">'Coûts &amp; P&amp;L'!C26</f>
        <v>-0.31573416456229</v>
      </c>
      <c r="D25" s="20" t="n">
        <f aca="false">'Coûts &amp; P&amp;L'!D26</f>
        <v>0.384277777777778</v>
      </c>
    </row>
    <row r="26" customFormat="false" ht="15" hidden="false" customHeight="true" outlineLevel="0" collapsed="false">
      <c r="A26" s="29" t="s">
        <v>191</v>
      </c>
      <c r="B26" s="38" t="n">
        <f aca="false">Trésorerie!B10</f>
        <v>25696.6666666667</v>
      </c>
      <c r="C26" s="38" t="n">
        <f aca="false">Trésorerie!C10</f>
        <v>-62323</v>
      </c>
      <c r="D26" s="38" t="n">
        <f aca="false">Trésorerie!D10</f>
        <v>268527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</cols>
  <sheetData>
    <row r="1" customFormat="false" ht="17.25" hidden="false" customHeight="true" outlineLevel="0" collapsed="false">
      <c r="A1" s="2" t="s">
        <v>192</v>
      </c>
    </row>
    <row r="4" customFormat="false" ht="26.25" hidden="false" customHeight="true" outlineLevel="0" collapsed="false">
      <c r="A4" s="39" t="s">
        <v>193</v>
      </c>
    </row>
    <row r="6" customFormat="false" ht="15" hidden="false" customHeight="true" outlineLevel="0" collapsed="false">
      <c r="A6" s="4" t="s">
        <v>194</v>
      </c>
    </row>
    <row r="7" customFormat="false" ht="15" hidden="false" customHeight="true" outlineLevel="0" collapsed="false">
      <c r="A7" s="4" t="s">
        <v>195</v>
      </c>
    </row>
    <row r="8" customFormat="false" ht="26.25" hidden="false" customHeight="true" outlineLevel="0" collapsed="false">
      <c r="A8" s="39" t="s">
        <v>196</v>
      </c>
    </row>
    <row r="9" customFormat="false" ht="15" hidden="false" customHeight="true" outlineLevel="0" collapsed="false">
      <c r="A9" s="39" t="s">
        <v>197</v>
      </c>
    </row>
    <row r="10" customFormat="false" ht="15" hidden="false" customHeight="true" outlineLevel="0" collapsed="false">
      <c r="A10" s="39" t="s">
        <v>198</v>
      </c>
    </row>
    <row r="11" customFormat="false" ht="15" hidden="false" customHeight="true" outlineLevel="0" collapsed="false">
      <c r="A11" s="39" t="s">
        <v>199</v>
      </c>
    </row>
    <row r="12" customFormat="false" ht="15" hidden="false" customHeight="true" outlineLevel="0" collapsed="false">
      <c r="A12" s="39" t="s">
        <v>200</v>
      </c>
    </row>
    <row r="13" customFormat="false" ht="15" hidden="false" customHeight="true" outlineLevel="0" collapsed="false">
      <c r="A13" s="4" t="s">
        <v>201</v>
      </c>
    </row>
    <row r="15" customFormat="false" ht="15" hidden="false" customHeight="true" outlineLevel="0" collapsed="false">
      <c r="A15" s="4" t="s">
        <v>202</v>
      </c>
    </row>
    <row r="17" customFormat="false" ht="15" hidden="false" customHeight="true" outlineLevel="0" collapsed="false">
      <c r="A17" s="4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2026-04-22T18:50:16Z</dcterms:created>
  <dc:creator>openpyxl</dc:creator>
  <dc:description/>
  <dc:language>en-US</dc:language>
  <cp:lastModifiedBy/>
  <dcterms:modified xsi:type="dcterms:W3CDTF">2026-04-22T18:50:36Z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