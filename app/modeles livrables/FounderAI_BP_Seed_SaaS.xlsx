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stratégique" sheetId="1" state="visible" r:id="rId3"/>
    <sheet name="Hypothèses" sheetId="2" state="visible" r:id="rId4"/>
    <sheet name="Revenus" sheetId="3" state="visible" r:id="rId5"/>
    <sheet name="Coûts &amp; P&amp;L" sheetId="4" state="visible" r:id="rId6"/>
    <sheet name="Trésorerie" sheetId="5" state="visible" r:id="rId7"/>
    <sheet name="KPIs" sheetId="6" state="visible" r:id="rId8"/>
    <sheet name="Mode d'emplo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<sst xmlns="http://schemas.openxmlformats.org/spreadsheetml/2006/main" count="295" uniqueCount="266">
  <si>
    <t xml:space="preserve">BUSINESS PLAN SEED — MODÈLE SAAS</t>
  </si>
  <si>
    <t xml:space="preserve">Template FounderAI • Les cellules jaunes sont à remplir (exemples en gris à écraser)</t>
  </si>
  <si>
    <t xml:space="preserve">IDENTITÉ DU PROJET</t>
  </si>
  <si>
    <t xml:space="preserve">Nom de la startup</t>
  </si>
  <si>
    <t xml:space="preserve">ExempleSaaS</t>
  </si>
  <si>
    <t xml:space="preserve">Votre nom de startup</t>
  </si>
  <si>
    <t xml:space="preserve">Secteur d'activité</t>
  </si>
  <si>
    <t xml:space="preserve">SaaS B2B — RH Tech</t>
  </si>
  <si>
    <t xml:space="preserve">Ex: FinTech, EdTech, HealthTech...</t>
  </si>
  <si>
    <t xml:space="preserve">Date de création</t>
  </si>
  <si>
    <t xml:space="preserve">Janvier 2026</t>
  </si>
  <si>
    <t xml:space="preserve">Fondateur(s)</t>
  </si>
  <si>
    <t xml:space="preserve">Marie Dupont (CEO), Paul Martin (CTO)</t>
  </si>
  <si>
    <t xml:space="preserve">Noms et rôles</t>
  </si>
  <si>
    <t xml:space="preserve">Localisation</t>
  </si>
  <si>
    <t xml:space="preserve">Paris, France</t>
  </si>
  <si>
    <t xml:space="preserve">Stade actuel</t>
  </si>
  <si>
    <t xml:space="preserve">MVP lancé, 5 beta-testeurs</t>
  </si>
  <si>
    <t xml:space="preserve">Idéation / MVP / Beta / 1ers clients</t>
  </si>
  <si>
    <t xml:space="preserve">PROBLÈME &amp; SOLUTION</t>
  </si>
  <si>
    <t xml:space="preserve">Problème résolu</t>
  </si>
  <si>
    <t xml:space="preserve">Les PME passent 15h/mois sur la gestion administrative RH sans outils adaptés</t>
  </si>
  <si>
    <t xml:space="preserve">Solution proposée</t>
  </si>
  <si>
    <t xml:space="preserve">Plateforme SaaS automatisant la paie, les congés et le suivi RH pour les PME de 5-50 salariés</t>
  </si>
  <si>
    <t xml:space="preserve">Proposition de valeur unique</t>
  </si>
  <si>
    <t xml:space="preserve">Mise en place en 24h, sans formation, 3x moins cher que les solutions existantes</t>
  </si>
  <si>
    <t xml:space="preserve">MARCHÉ</t>
  </si>
  <si>
    <t xml:space="preserve">TAM (marché total)</t>
  </si>
  <si>
    <t xml:space="preserve">2,5 Mds€ — Marché européen des logiciels RH PME</t>
  </si>
  <si>
    <t xml:space="preserve">Taille totale du marché</t>
  </si>
  <si>
    <t xml:space="preserve">SAM (marché adressable)</t>
  </si>
  <si>
    <t xml:space="preserve">400 M€ — PME françaises 5-50 salariés</t>
  </si>
  <si>
    <t xml:space="preserve">Part que vous pouvez atteindre</t>
  </si>
  <si>
    <t xml:space="preserve">SOM (objectif 3 ans)</t>
  </si>
  <si>
    <t xml:space="preserve">2 M€ — 1 500 clients à 1 400€/an</t>
  </si>
  <si>
    <t xml:space="preserve">Objectif réaliste à 3 ans</t>
  </si>
  <si>
    <t xml:space="preserve">Client idéal (ICP)</t>
  </si>
  <si>
    <t xml:space="preserve">DRH ou dirigeant de PME, 10-30 salariés, France, pas d'outil RH</t>
  </si>
  <si>
    <t xml:space="preserve">Profil type de votre acheteur</t>
  </si>
  <si>
    <t xml:space="preserve">MILESTONES 18 MOIS</t>
  </si>
  <si>
    <t xml:space="preserve">M1-M3</t>
  </si>
  <si>
    <t xml:space="preserve">MVP finalisé, 20 beta-testeurs, validation product-market fit</t>
  </si>
  <si>
    <t xml:space="preserve">M4-M6</t>
  </si>
  <si>
    <t xml:space="preserve">Produit en production, 50 clients payants, 3K€ MRR</t>
  </si>
  <si>
    <t xml:space="preserve">M7-M12</t>
  </si>
  <si>
    <t xml:space="preserve">200 clients, 15K€ MRR, 1er commercial recruté</t>
  </si>
  <si>
    <t xml:space="preserve">M13-M18</t>
  </si>
  <si>
    <t xml:space="preserve">500 clients, 40K€ MRR, préparation Seed</t>
  </si>
  <si>
    <t xml:space="preserve">MODÈLE ÉCONOMIQUE</t>
  </si>
  <si>
    <t xml:space="preserve">Type de revenus</t>
  </si>
  <si>
    <t xml:space="preserve">Abonnement SaaS mensuel/annuel, 3 tiers de prix</t>
  </si>
  <si>
    <t xml:space="preserve">Avantage concurrentiel</t>
  </si>
  <si>
    <t xml:space="preserve">Simplicité d'usage + prix agressif + intégration paie native</t>
  </si>
  <si>
    <t xml:space="preserve">HYPOTHÈSES — À REMPLIR EN PRIORITÉ</t>
  </si>
  <si>
    <t xml:space="preserve">Toutes les cellules jaunes alimentent automatiquement le reste du BP. Écrasez les exemples gris.</t>
  </si>
  <si>
    <t xml:space="preserve">PRICING</t>
  </si>
  <si>
    <t xml:space="preserve">Offre</t>
  </si>
  <si>
    <t xml:space="preserve">Prix/mois (€ HT)</t>
  </si>
  <si>
    <t xml:space="preserve">% du mix clients</t>
  </si>
  <si>
    <t xml:space="preserve">ARPU annuel (€)</t>
  </si>
  <si>
    <t xml:space="preserve">Notes</t>
  </si>
  <si>
    <t xml:space="preserve">Offre Starter</t>
  </si>
  <si>
    <t xml:space="preserve">Fonctionnalités de base</t>
  </si>
  <si>
    <t xml:space="preserve">Offre Pro</t>
  </si>
  <si>
    <t xml:space="preserve">Toutes les fonctionnalités</t>
  </si>
  <si>
    <t xml:space="preserve">Offre Premium</t>
  </si>
  <si>
    <t xml:space="preserve">Support prioritaire + API</t>
  </si>
  <si>
    <t xml:space="preserve">ARPU moyen pondéré (€/an)</t>
  </si>
  <si>
    <t xml:space="preserve">Calculé auto — ne pas modifier</t>
  </si>
  <si>
    <t xml:space="preserve">Engagement annuel (% clients)</t>
  </si>
  <si>
    <t xml:space="preserve">% clients qui paient à l'année (remise ~15%)</t>
  </si>
  <si>
    <t xml:space="preserve">ACQUISITION CLIENTS</t>
  </si>
  <si>
    <t xml:space="preserve">Année 1</t>
  </si>
  <si>
    <t xml:space="preserve">Année 2</t>
  </si>
  <si>
    <t xml:space="preserve">Année 3</t>
  </si>
  <si>
    <t xml:space="preserve">Nouveaux clients / mois (moyenne)</t>
  </si>
  <si>
    <t xml:space="preserve">Croissance progressive</t>
  </si>
  <si>
    <t xml:space="preserve">Taux de churn mensuel</t>
  </si>
  <si>
    <t xml:space="preserve">Objectif &lt; 5% dès Y2</t>
  </si>
  <si>
    <t xml:space="preserve">Taux conversion essai → payant</t>
  </si>
  <si>
    <t xml:space="preserve">Essai gratuit 14 jours</t>
  </si>
  <si>
    <t xml:space="preserve">Coût d'acquisition client (CAC) €</t>
  </si>
  <si>
    <t xml:space="preserve">Tout compris (ads + temps)</t>
  </si>
  <si>
    <t xml:space="preserve">Durée essai gratuit (jours)</t>
  </si>
  <si>
    <t xml:space="preserve">Clients payants fin d'année (calculé)</t>
  </si>
  <si>
    <t xml:space="preserve">nouveaux x 12 x (1-churn)^6 approx.</t>
  </si>
  <si>
    <t xml:space="preserve">COÛTS VARIABLES UNITAIRES</t>
  </si>
  <si>
    <t xml:space="preserve">Poste de coût</t>
  </si>
  <si>
    <t xml:space="preserve">Coût/client/mois (€)</t>
  </si>
  <si>
    <t xml:space="preserve">Hébergement / infra cloud</t>
  </si>
  <si>
    <t xml:space="preserve">Serveurs, DB, CDN</t>
  </si>
  <si>
    <t xml:space="preserve">Coûts API / services tiers</t>
  </si>
  <si>
    <t xml:space="preserve">APIs externes consommées</t>
  </si>
  <si>
    <t xml:space="preserve">Support client (coût unitaire)</t>
  </si>
  <si>
    <t xml:space="preserve">Part du support par client</t>
  </si>
  <si>
    <t xml:space="preserve">Frais de paiement (% du CA)</t>
  </si>
  <si>
    <t xml:space="preserve">Stripe, GoCardless...</t>
  </si>
  <si>
    <t xml:space="preserve">Total coût variable / client / mois</t>
  </si>
  <si>
    <t xml:space="preserve">Hors frais de paiement (% du CA)</t>
  </si>
  <si>
    <t xml:space="preserve">COÛTS FIXES MENSUELS (OPEX)</t>
  </si>
  <si>
    <t xml:space="preserve">Poste</t>
  </si>
  <si>
    <t xml:space="preserve">Année 1 /mois</t>
  </si>
  <si>
    <t xml:space="preserve">Année 2 /mois</t>
  </si>
  <si>
    <t xml:space="preserve">Année 3 /mois</t>
  </si>
  <si>
    <t xml:space="preserve">Loyer / coworking</t>
  </si>
  <si>
    <t xml:space="preserve">Télétravail Y1, coworking Y2</t>
  </si>
  <si>
    <t xml:space="preserve">Abonnements IT &amp; outils</t>
  </si>
  <si>
    <t xml:space="preserve">GitHub, Figma, CRM, analytics...</t>
  </si>
  <si>
    <t xml:space="preserve">Comptabilité / juridique</t>
  </si>
  <si>
    <t xml:space="preserve">Expert-comptable</t>
  </si>
  <si>
    <t xml:space="preserve">Marketing &amp; contenu</t>
  </si>
  <si>
    <t xml:space="preserve">SEO, ads, events</t>
  </si>
  <si>
    <t xml:space="preserve">Assurances</t>
  </si>
  <si>
    <t xml:space="preserve">RC Pro</t>
  </si>
  <si>
    <t xml:space="preserve">Divers / imprévus</t>
  </si>
  <si>
    <t xml:space="preserve">Déplacements, repas, événements</t>
  </si>
  <si>
    <t xml:space="preserve">Total OPEX / mois</t>
  </si>
  <si>
    <t xml:space="preserve">Total OPEX / an</t>
  </si>
  <si>
    <t xml:space="preserve">ÉQUIPE &amp; MASSE SALARIALE</t>
  </si>
  <si>
    <t xml:space="preserve">Mois d'entrée</t>
  </si>
  <si>
    <t xml:space="preserve">Brut annuel (€)</t>
  </si>
  <si>
    <t xml:space="preserve">Fondateur 1</t>
  </si>
  <si>
    <t xml:space="preserve">Pas de salaire au début</t>
  </si>
  <si>
    <t xml:space="preserve">Fondateur 2 / Associé</t>
  </si>
  <si>
    <t xml:space="preserve">Optionnel</t>
  </si>
  <si>
    <t xml:space="preserve">1er recrutement</t>
  </si>
  <si>
    <t xml:space="preserve">Dev, commercial ou ops</t>
  </si>
  <si>
    <t xml:space="preserve">2ème recrutement</t>
  </si>
  <si>
    <t xml:space="preserve">3ème recrutement</t>
  </si>
  <si>
    <t xml:space="preserve">Alternant / stagiaire</t>
  </si>
  <si>
    <t xml:space="preserve">Fondateur 1 (rémunération)</t>
  </si>
  <si>
    <t xml:space="preserve">Début de rémunération Y2</t>
  </si>
  <si>
    <t xml:space="preserve">Taux de charges patronales</t>
  </si>
  <si>
    <t xml:space="preserve">~45% en France (URSSAF)</t>
  </si>
  <si>
    <t xml:space="preserve">Masse salariale chargée / an</t>
  </si>
  <si>
    <t xml:space="preserve">FINANCEMENT</t>
  </si>
  <si>
    <t xml:space="preserve">Source</t>
  </si>
  <si>
    <t xml:space="preserve">Montant (€)</t>
  </si>
  <si>
    <t xml:space="preserve">Apport fondateurs</t>
  </si>
  <si>
    <t xml:space="preserve">Love money, épargne perso</t>
  </si>
  <si>
    <t xml:space="preserve">Subvention (BPI, région...)</t>
  </si>
  <si>
    <t xml:space="preserve">Prêt d'honneur</t>
  </si>
  <si>
    <t xml:space="preserve">Réseau Entreprendre, Initiative France</t>
  </si>
  <si>
    <t xml:space="preserve">Prêt bancaire</t>
  </si>
  <si>
    <t xml:space="preserve">Levée Seed</t>
  </si>
  <si>
    <t xml:space="preserve">Montant visé</t>
  </si>
  <si>
    <t xml:space="preserve">Total financement</t>
  </si>
  <si>
    <t xml:space="preserve">PROJECTIONS DE REVENUS</t>
  </si>
  <si>
    <t xml:space="preserve">Calculé automatiquement à partir de l'onglet Hypothèses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</si>
  <si>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</si>
  <si>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</si>
  <si>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</si>
  <si>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</si>
  <si>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</si>
  <si>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</si>
  <si>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</si>
  <si>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</si>
  <si>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</si>
  <si>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</si>
  <si>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</si>
  <si>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</si>
  <si>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Q1 Y2</t>
  </si>
  <si>
    <t xml:space="preserve">Q2 Y2</t>
  </si>
  <si>
    <t xml:space="preserve">Q3 Y2</t>
  </si>
  <si>
    <t xml:space="preserve">Q4 Y2</t>
  </si>
  <si>
    <t xml:space="preserve">TOTAL</t>
  </si>
  <si>
    <t xml:space="preserve">Nouveaux clients (période)</t>
  </si>
  <si>
    <t xml:space="preserve">Clients perdus (churn)</t>
  </si>
  <si>
    <t xml:space="preserve">Clients payants (fin de période)</t>
  </si>
  <si>
    <t xml:space="preserve">Clients moyens (période)</t>
  </si>
  <si>
    <t xml:space="preserve">ARPU / période (€)</t>
  </si>
  <si>
    <t xml:space="preserve">CA Abonnements</t>
  </si>
  <si>
    <t xml:space="preserve">RÉCAPITULATIF ANNUEL</t>
  </si>
  <si>
    <t xml:space="preserve">CA Total (€)</t>
  </si>
  <si>
    <t xml:space="preserve">Clients fin d'année</t>
  </si>
  <si>
    <t xml:space="preserve">MRR fin d'année (€)</t>
  </si>
  <si>
    <t xml:space="preserve">ARR fin d'année (€)</t>
  </si>
  <si>
    <t xml:space="preserve">Croissance CA (%)</t>
  </si>
  <si>
    <t xml:space="preserve">STRUCTURE DE COÛTS &amp; COMPTE DE RÉSULTAT</t>
  </si>
  <si>
    <t xml:space="preserve">Calculé automatiquement — modifiez les hypothèses dans l'onglet Hypothèses</t>
  </si>
  <si>
    <t xml:space="preserve">Formule / Notes</t>
  </si>
  <si>
    <t xml:space="preserve">COÛTS VARIABLES</t>
  </si>
  <si>
    <t xml:space="preserve">Coûts unitaires × clients</t>
  </si>
  <si>
    <t xml:space="preserve">Coût unit. × clients × 12 mois</t>
  </si>
  <si>
    <t xml:space="preserve">Frais de paiement (% CA)</t>
  </si>
  <si>
    <t xml:space="preserve">Stripe / paiement</t>
  </si>
  <si>
    <t xml:space="preserve">Total coûts variables</t>
  </si>
  <si>
    <t xml:space="preserve">COÛTS FIXES (OPEX)</t>
  </si>
  <si>
    <t xml:space="preserve">Total OPEX annuel</t>
  </si>
  <si>
    <t xml:space="preserve">Depuis onglet Hypothèses</t>
  </si>
  <si>
    <t xml:space="preserve">Total coûts fixes</t>
  </si>
  <si>
    <t xml:space="preserve">MASSE SALARIALE</t>
  </si>
  <si>
    <t xml:space="preserve">Masse salariale chargée</t>
  </si>
  <si>
    <t xml:space="preserve">Total masse salariale</t>
  </si>
  <si>
    <t xml:space="preserve">COMPTE DE RÉSULTAT</t>
  </si>
  <si>
    <t xml:space="preserve">Chiffre d'affaires</t>
  </si>
  <si>
    <t xml:space="preserve">Coûts variables</t>
  </si>
  <si>
    <t xml:space="preserve">Marge brute</t>
  </si>
  <si>
    <t xml:space="preserve">% Marge brute</t>
  </si>
  <si>
    <t xml:space="preserve">Coûts fixes (OPEX)</t>
  </si>
  <si>
    <t xml:space="preserve">Masse salariale</t>
  </si>
  <si>
    <t xml:space="preserve">EBITDA</t>
  </si>
  <si>
    <t xml:space="preserve">% Marge EBITDA</t>
  </si>
  <si>
    <t xml:space="preserve">PLAN DE TRÉSORERIE</t>
  </si>
  <si>
    <t xml:space="preserve">Trésorerie début de période</t>
  </si>
  <si>
    <t xml:space="preserve">total financement en Y1</t>
  </si>
  <si>
    <t xml:space="preserve">Encaissements clients</t>
  </si>
  <si>
    <t xml:space="preserve">Décaissements exploitation</t>
  </si>
  <si>
    <t xml:space="preserve">Flux opérationnel</t>
  </si>
  <si>
    <t xml:space="preserve">Investissements (CAPEX)</t>
  </si>
  <si>
    <t xml:space="preserve">Matériel, licences, brevets...</t>
  </si>
  <si>
    <t xml:space="preserve">Apports de financement</t>
  </si>
  <si>
    <t xml:space="preserve">Levée, subventions entrées en année</t>
  </si>
  <si>
    <t xml:space="preserve">Flux net total</t>
  </si>
  <si>
    <t xml:space="preserve">Trésorerie fin de période</t>
  </si>
  <si>
    <t xml:space="preserve">MÉTRIQUES DE TRÉSORERIE</t>
  </si>
  <si>
    <t xml:space="preserve">Burn rate mensuel</t>
  </si>
  <si>
    <t xml:space="preserve">Runway (mois)</t>
  </si>
  <si>
    <t xml:space="preserve">Nombre de mois de survie au burn actuel</t>
  </si>
  <si>
    <t xml:space="preserve">Besoin de financement</t>
  </si>
  <si>
    <t xml:space="preserve">Montant nécessaire si tréso négative</t>
  </si>
  <si>
    <t xml:space="preserve">TABLEAU DE BORD — KPIs SEED</t>
  </si>
  <si>
    <t xml:space="preserve">Tous les indicateurs sont calculés automatiquement</t>
  </si>
  <si>
    <t xml:space="preserve">INDICATEUR</t>
  </si>
  <si>
    <t xml:space="preserve">CROISSANCE</t>
  </si>
  <si>
    <t xml:space="preserve">Clients payants (fin)</t>
  </si>
  <si>
    <t xml:space="preserve">ARR (€)</t>
  </si>
  <si>
    <t xml:space="preserve">MRR (€)</t>
  </si>
  <si>
    <t xml:space="preserve">CA total (€)</t>
  </si>
  <si>
    <t xml:space="preserve">UNIT ECONOMICS</t>
  </si>
  <si>
    <t xml:space="preserve">CAC (€)</t>
  </si>
  <si>
    <t xml:space="preserve">LTV estimée (€)</t>
  </si>
  <si>
    <t xml:space="preserve">Ratio LTV / CAC</t>
  </si>
  <si>
    <t xml:space="preserve">Churn mensuel</t>
  </si>
  <si>
    <t xml:space="preserve">Payback (mois)</t>
  </si>
  <si>
    <t xml:space="preserve">RENTABILITÉ</t>
  </si>
  <si>
    <t xml:space="preserve">EBITDA (€)</t>
  </si>
  <si>
    <t xml:space="preserve">Marge EBITDA</t>
  </si>
  <si>
    <t xml:space="preserve">Trésorerie (€)</t>
  </si>
  <si>
    <t xml:space="preserve">Besoin financement (€)</t>
  </si>
  <si>
    <t xml:space="preserve">MODE D'EMPLOI — COMMENT REMPLIR CE BP</t>
  </si>
  <si>
    <t xml:space="preserve">ÉTAPE 1 : Remplir l'onglet « Plan stratégique »</t>
  </si>
  <si>
    <t xml:space="preserve">Écrasez les exemples en gris avec vos propres informations. Cet onglet est qualitatif — il raconte votre histoire.</t>
  </si>
  <si>
    <t xml:space="preserve">ÉTAPE 2 : Remplir l'onglet « Hypothèses »</t>
  </si>
  <si>
    <t xml:space="preserve">C'est le cœur du modèle. Toutes les cellules jaunes alimentent le reste du BP :</t>
  </si>
  <si>
    <t xml:space="preserve">• PRICING : Définissez vos 3 offres, leur prix et la répartition client estimée</t>
  </si>
  <si>
    <t xml:space="preserve">• ACQUISITION : Combien de clients/mois, quel churn, quel CAC ?</t>
  </si>
  <si>
    <t xml:space="preserve">• COÛTS VARIABLES : Combien coûte chaque client en infrastructure ?</t>
  </si>
  <si>
    <t xml:space="preserve">• COÛTS FIXES : Vos dépenses mensuelles hors salaires</t>
  </si>
  <si>
    <t xml:space="preserve">• ÉQUIPE : Quels recrutements, quand, à quel salaire ?</t>
  </si>
  <si>
    <t xml:space="preserve">• FINANCEMENT : Apports fondateurs, subventions, levée prévue</t>
  </si>
  <si>
    <t xml:space="preserve">ÉTAPE 3 : Vérifier les résultats</t>
  </si>
  <si>
    <t xml:space="preserve">Les onglets Revenus, Coûts &amp; P&amp;L, Trésorerie et KPIs se remplissent automatiquement.</t>
  </si>
  <si>
    <t xml:space="preserve">Vérifiez que les résultats sont cohérents et ajustez vos hypothèses si nécessaire.</t>
  </si>
  <si>
    <t xml:space="preserve">CONVENTIONS DE COULEURS</t>
  </si>
  <si>
    <t xml:space="preserve">• Texte bleu = données d'entrée (hardcodées)</t>
  </si>
  <si>
    <t xml:space="preserve">• Texte noir = formules calculées automatiquement</t>
  </si>
  <si>
    <t xml:space="preserve">• Texte vert = formules tirant des données d'un autre onglet</t>
  </si>
  <si>
    <t xml:space="preserve">• Fond jaune = cellule à remplir par le fondateur</t>
  </si>
  <si>
    <t xml:space="preserve">• Fond vert = résultat clé positif</t>
  </si>
  <si>
    <t xml:space="preserve">• Fond orange = métrique à surveiller</t>
  </si>
  <si>
    <t xml:space="preserve">• Fond rouge = alerte ou besoin de financement</t>
  </si>
  <si>
    <t xml:space="preserve">• Texte gris italique = exemple à écraser</t>
  </si>
  <si>
    <t xml:space="preserve">ASTUCE</t>
  </si>
  <si>
    <t xml:space="preserve">Demandez à Sam (Agent Finance de FounderAI) de vous aider à calibrer vos hypothèses !</t>
  </si>
  <si>
    <t xml:space="preserve">Exemple : « Sam, aide-moi à estimer mon CAC pour un SaaS B2B vendu 79€/mois aux PME en France »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</si>
</sst>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;\(#,##0&quot; €)&quot;;\-"/>
    <numFmt numFmtId="166" formatCode="0.0%"/>
    <numFmt numFmtId="167" formatCode="#,##0;\(#,##0\);\-"/>
    <numFmt numFmtId="168" formatCode="#,##0.00&quot; €&quot;"/>
    <numFmt numFmtId="169" formatCode="0.0"/>
    <numFmt numFmtId="170" formatCode="0.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2"/>
      <color rgb="FF6C63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i val="true"/>
      <sz val="11"/>
      <color rgb="FF9CA3A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475569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59669"/>
      <name val="Arial"/>
      <family val="0"/>
      <charset val="1"/>
    </font>
    <font>
      <sz val="11"/>
      <color rgb="FF2D2D3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EF9C3"/>
        <bgColor rgb="FFFFFBEB"/>
      </patternFill>
    </fill>
    <fill>
      <patternFill patternType="solid">
        <fgColor rgb="FF6C63FF"/>
        <bgColor rgb="FF808080"/>
      </patternFill>
    </fill>
    <fill>
      <patternFill patternType="solid">
        <fgColor rgb="FFECFDF5"/>
        <bgColor rgb="FFEFF6FF"/>
      </patternFill>
    </fill>
    <fill>
      <patternFill patternType="solid">
        <fgColor rgb="FFFEF2F2"/>
        <bgColor rgb="FFFFFBEB"/>
      </patternFill>
    </fill>
    <fill>
      <patternFill patternType="solid">
        <fgColor rgb="FFEFF6FF"/>
        <bgColor rgb="FFECFDF5"/>
      </patternFill>
    </fill>
    <fill>
      <patternFill patternType="solid">
        <fgColor rgb="FFFFFBE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4A3B8"/>
      <rgbColor rgb="FF993366"/>
      <rgbColor rgb="FFFEF9C3"/>
      <rgbColor rgb="FFECF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EF2F2"/>
      <rgbColor rgb="FFFFFBEB"/>
      <rgbColor rgb="FF99CCFF"/>
      <rgbColor rgb="FFFF99CC"/>
      <rgbColor rgb="FFCC99FF"/>
      <rgbColor rgb="FFFFCC99"/>
      <rgbColor rgb="FF6C63FF"/>
      <rgbColor rgb="FF33CCCC"/>
      <rgbColor rgb="FF99CC00"/>
      <rgbColor rgb="FFFFCC00"/>
      <rgbColor rgb="FFFF9900"/>
      <rgbColor rgb="FFFF6600"/>
      <rgbColor rgb="FF475569"/>
      <rgbColor rgb="FF9CA3AF"/>
      <rgbColor rgb="FF1E293B"/>
      <rgbColor rgb="FF339966"/>
      <rgbColor rgb="FF003300"/>
      <rgbColor rgb="FF1A1A2E"/>
      <rgbColor rgb="FF993300"/>
      <rgbColor rgb="FF993366"/>
      <rgbColor rgb="FF333399"/>
      <rgbColor rgb="FF2D2D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5"/>
    <col collapsed="false" customWidth="true" hidden="false" outlineLevel="0" max="3" min="3" style="1" width="2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  <c r="C5" s="3" t="s">
        <v>5</v>
      </c>
    </row>
    <row r="6" customFormat="false" ht="15" hidden="false" customHeight="true" outlineLevel="0" collapsed="false">
      <c r="A6" s="5" t="s">
        <v>6</v>
      </c>
      <c r="B6" s="6" t="s">
        <v>7</v>
      </c>
      <c r="C6" s="3" t="s">
        <v>8</v>
      </c>
    </row>
    <row r="7" customFormat="false" ht="15" hidden="false" customHeight="true" outlineLevel="0" collapsed="false">
      <c r="A7" s="5" t="s">
        <v>9</v>
      </c>
      <c r="B7" s="6" t="s">
        <v>10</v>
      </c>
    </row>
    <row r="8" customFormat="false" ht="15" hidden="false" customHeight="true" outlineLevel="0" collapsed="false">
      <c r="A8" s="5" t="s">
        <v>11</v>
      </c>
      <c r="B8" s="6" t="s">
        <v>12</v>
      </c>
      <c r="C8" s="3" t="s">
        <v>13</v>
      </c>
    </row>
    <row r="9" customFormat="false" ht="15" hidden="false" customHeight="true" outlineLevel="0" collapsed="false">
      <c r="A9" s="5" t="s">
        <v>14</v>
      </c>
      <c r="B9" s="6" t="s">
        <v>15</v>
      </c>
    </row>
    <row r="10" customFormat="false" ht="15" hidden="false" customHeight="true" outlineLevel="0" collapsed="false">
      <c r="A10" s="5" t="s">
        <v>16</v>
      </c>
      <c r="B10" s="6" t="s">
        <v>17</v>
      </c>
      <c r="C10" s="3" t="s">
        <v>18</v>
      </c>
    </row>
    <row r="12" customFormat="false" ht="15" hidden="false" customHeight="true" outlineLevel="0" collapsed="false">
      <c r="A12" s="4" t="s">
        <v>19</v>
      </c>
    </row>
    <row r="13" customFormat="false" ht="15" hidden="false" customHeight="true" outlineLevel="0" collapsed="false">
      <c r="A13" s="5" t="s">
        <v>20</v>
      </c>
      <c r="B13" s="6" t="s">
        <v>21</v>
      </c>
    </row>
    <row r="14" customFormat="false" ht="15" hidden="false" customHeight="true" outlineLevel="0" collapsed="false">
      <c r="A14" s="5" t="s">
        <v>22</v>
      </c>
      <c r="B14" s="6" t="s">
        <v>23</v>
      </c>
    </row>
    <row r="15" customFormat="false" ht="15" hidden="false" customHeight="true" outlineLevel="0" collapsed="false">
      <c r="A15" s="5" t="s">
        <v>24</v>
      </c>
      <c r="B15" s="6" t="s">
        <v>25</v>
      </c>
    </row>
    <row r="17" customFormat="false" ht="15" hidden="false" customHeight="true" outlineLevel="0" collapsed="false">
      <c r="A17" s="4" t="s">
        <v>26</v>
      </c>
    </row>
    <row r="18" customFormat="false" ht="15" hidden="false" customHeight="true" outlineLevel="0" collapsed="false">
      <c r="A18" s="5" t="s">
        <v>27</v>
      </c>
      <c r="B18" s="6" t="s">
        <v>28</v>
      </c>
      <c r="C18" s="3" t="s">
        <v>29</v>
      </c>
    </row>
    <row r="19" customFormat="false" ht="15" hidden="false" customHeight="true" outlineLevel="0" collapsed="false">
      <c r="A19" s="5" t="s">
        <v>30</v>
      </c>
      <c r="B19" s="6" t="s">
        <v>31</v>
      </c>
      <c r="C19" s="3" t="s">
        <v>32</v>
      </c>
    </row>
    <row r="20" customFormat="false" ht="15" hidden="false" customHeight="true" outlineLevel="0" collapsed="false">
      <c r="A20" s="5" t="s">
        <v>33</v>
      </c>
      <c r="B20" s="6" t="s">
        <v>34</v>
      </c>
      <c r="C20" s="3" t="s">
        <v>35</v>
      </c>
    </row>
    <row r="21" customFormat="false" ht="15" hidden="false" customHeight="true" outlineLevel="0" collapsed="false">
      <c r="A21" s="5" t="s">
        <v>36</v>
      </c>
      <c r="B21" s="6" t="s">
        <v>37</v>
      </c>
      <c r="C21" s="3" t="s">
        <v>38</v>
      </c>
    </row>
    <row r="23" customFormat="false" ht="15" hidden="false" customHeight="true" outlineLevel="0" collapsed="false">
      <c r="A23" s="4" t="s">
        <v>39</v>
      </c>
    </row>
    <row r="24" customFormat="false" ht="15" hidden="false" customHeight="true" outlineLevel="0" collapsed="false">
      <c r="A24" s="5" t="s">
        <v>40</v>
      </c>
      <c r="B24" s="6" t="s">
        <v>41</v>
      </c>
    </row>
    <row r="25" customFormat="false" ht="15" hidden="false" customHeight="true" outlineLevel="0" collapsed="false">
      <c r="A25" s="5" t="s">
        <v>42</v>
      </c>
      <c r="B25" s="6" t="s">
        <v>43</v>
      </c>
    </row>
    <row r="26" customFormat="false" ht="15" hidden="false" customHeight="true" outlineLevel="0" collapsed="false">
      <c r="A26" s="5" t="s">
        <v>44</v>
      </c>
      <c r="B26" s="6" t="s">
        <v>45</v>
      </c>
    </row>
    <row r="27" customFormat="false" ht="15" hidden="false" customHeight="true" outlineLevel="0" collapsed="false">
      <c r="A27" s="5" t="s">
        <v>46</v>
      </c>
      <c r="B27" s="6" t="s">
        <v>47</v>
      </c>
    </row>
    <row r="29" customFormat="false" ht="15" hidden="false" customHeight="true" outlineLevel="0" collapsed="false">
      <c r="A29" s="4" t="s">
        <v>48</v>
      </c>
    </row>
    <row r="30" customFormat="false" ht="15" hidden="false" customHeight="true" outlineLevel="0" collapsed="false">
      <c r="A30" s="5" t="s">
        <v>49</v>
      </c>
      <c r="B30" s="6" t="s">
        <v>50</v>
      </c>
    </row>
    <row r="31" customFormat="false" ht="15" hidden="false" customHeight="true" outlineLevel="0" collapsed="false">
      <c r="A31" s="5" t="s">
        <v>51</v>
      </c>
      <c r="B31" s="6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25"/>
  </cols>
  <sheetData>
    <row r="1" customFormat="false" ht="17.25" hidden="false" customHeight="true" outlineLevel="0" collapsed="false">
      <c r="A1" s="2" t="s">
        <v>53</v>
      </c>
    </row>
    <row r="2" customFormat="false" ht="15" hidden="false" customHeight="true" outlineLevel="0" collapsed="false">
      <c r="A2" s="3" t="s">
        <v>54</v>
      </c>
    </row>
    <row r="4" customFormat="false" ht="15" hidden="false" customHeight="true" outlineLevel="0" collapsed="false">
      <c r="A4" s="4" t="s">
        <v>55</v>
      </c>
    </row>
    <row r="5" customFormat="false" ht="26.25" hidden="false" customHeight="true" outlineLevel="0" collapsed="false">
      <c r="A5" s="7" t="s">
        <v>56</v>
      </c>
      <c r="B5" s="7" t="s">
        <v>57</v>
      </c>
      <c r="C5" s="7" t="s">
        <v>58</v>
      </c>
      <c r="D5" s="7" t="s">
        <v>59</v>
      </c>
      <c r="E5" s="7" t="s">
        <v>60</v>
      </c>
    </row>
    <row r="6" customFormat="false" ht="15" hidden="false" customHeight="true" outlineLevel="0" collapsed="false">
      <c r="A6" s="8" t="s">
        <v>61</v>
      </c>
      <c r="B6" s="9" t="n">
        <v>29</v>
      </c>
      <c r="C6" s="10" t="n">
        <v>0.5</v>
      </c>
      <c r="D6" s="11" t="n">
        <f aca="false">B6*12</f>
        <v>348</v>
      </c>
      <c r="E6" s="3" t="s">
        <v>62</v>
      </c>
    </row>
    <row r="7" customFormat="false" ht="15" hidden="false" customHeight="true" outlineLevel="0" collapsed="false">
      <c r="A7" s="8" t="s">
        <v>63</v>
      </c>
      <c r="B7" s="9" t="n">
        <v>79</v>
      </c>
      <c r="C7" s="10" t="n">
        <v>0.35</v>
      </c>
      <c r="D7" s="11" t="n">
        <f aca="false">B7*12</f>
        <v>948</v>
      </c>
      <c r="E7" s="3" t="s">
        <v>64</v>
      </c>
    </row>
    <row r="8" customFormat="false" ht="15" hidden="false" customHeight="true" outlineLevel="0" collapsed="false">
      <c r="A8" s="8" t="s">
        <v>65</v>
      </c>
      <c r="B8" s="9" t="n">
        <v>199</v>
      </c>
      <c r="C8" s="10" t="n">
        <v>0.15</v>
      </c>
      <c r="D8" s="11" t="n">
        <f aca="false">B8*12</f>
        <v>2388</v>
      </c>
      <c r="E8" s="3" t="s">
        <v>66</v>
      </c>
    </row>
    <row r="9" customFormat="false" ht="15" hidden="false" customHeight="true" outlineLevel="0" collapsed="false">
      <c r="A9" s="12" t="s">
        <v>67</v>
      </c>
      <c r="D9" s="13" t="n">
        <f aca="false">SUMPRODUCT(C6:C8,D6:D8)</f>
        <v>864</v>
      </c>
      <c r="E9" s="3" t="s">
        <v>68</v>
      </c>
    </row>
    <row r="10" customFormat="false" ht="15" hidden="false" customHeight="true" outlineLevel="0" collapsed="false">
      <c r="A10" s="8" t="s">
        <v>69</v>
      </c>
      <c r="B10" s="10" t="n">
        <v>0.3</v>
      </c>
      <c r="E10" s="3" t="s">
        <v>70</v>
      </c>
    </row>
    <row r="12" customFormat="false" ht="15" hidden="false" customHeight="true" outlineLevel="0" collapsed="false">
      <c r="A12" s="4" t="s">
        <v>71</v>
      </c>
    </row>
    <row r="13" customFormat="false" ht="15" hidden="false" customHeight="true" outlineLevel="0" collapsed="false">
      <c r="A13" s="7"/>
      <c r="B13" s="7" t="s">
        <v>72</v>
      </c>
      <c r="C13" s="7" t="s">
        <v>73</v>
      </c>
      <c r="D13" s="7" t="s">
        <v>74</v>
      </c>
      <c r="E13" s="7" t="s">
        <v>60</v>
      </c>
    </row>
    <row r="14" customFormat="false" ht="15" hidden="false" customHeight="true" outlineLevel="0" collapsed="false">
      <c r="A14" s="8" t="s">
        <v>75</v>
      </c>
      <c r="B14" s="14" t="n">
        <v>10</v>
      </c>
      <c r="C14" s="14" t="n">
        <v>35</v>
      </c>
      <c r="D14" s="14" t="n">
        <v>75</v>
      </c>
      <c r="E14" s="3" t="s">
        <v>76</v>
      </c>
    </row>
    <row r="15" customFormat="false" ht="15" hidden="false" customHeight="true" outlineLevel="0" collapsed="false">
      <c r="A15" s="8" t="s">
        <v>77</v>
      </c>
      <c r="B15" s="10" t="n">
        <v>0.06</v>
      </c>
      <c r="C15" s="10" t="n">
        <v>0.045</v>
      </c>
      <c r="D15" s="10" t="n">
        <v>0.03</v>
      </c>
      <c r="E15" s="3" t="s">
        <v>78</v>
      </c>
    </row>
    <row r="16" customFormat="false" ht="15" hidden="false" customHeight="true" outlineLevel="0" collapsed="false">
      <c r="A16" s="8" t="s">
        <v>79</v>
      </c>
      <c r="B16" s="10" t="n">
        <v>0.08</v>
      </c>
      <c r="C16" s="10" t="n">
        <v>0.12</v>
      </c>
      <c r="D16" s="10" t="n">
        <v>0.15</v>
      </c>
      <c r="E16" s="3" t="s">
        <v>80</v>
      </c>
    </row>
    <row r="17" customFormat="false" ht="15" hidden="false" customHeight="true" outlineLevel="0" collapsed="false">
      <c r="A17" s="8" t="s">
        <v>81</v>
      </c>
      <c r="B17" s="9" t="n">
        <v>50</v>
      </c>
      <c r="C17" s="9" t="n">
        <v>40</v>
      </c>
      <c r="D17" s="9" t="n">
        <v>30</v>
      </c>
      <c r="E17" s="3" t="s">
        <v>82</v>
      </c>
    </row>
    <row r="18" customFormat="false" ht="15" hidden="false" customHeight="true" outlineLevel="0" collapsed="false">
      <c r="A18" s="8" t="s">
        <v>83</v>
      </c>
      <c r="B18" s="14" t="n">
        <v>14</v>
      </c>
      <c r="C18" s="14" t="n">
        <v>14</v>
      </c>
      <c r="D18" s="14" t="n">
        <v>14</v>
      </c>
      <c r="E18" s="3"/>
    </row>
    <row r="20" customFormat="false" ht="15" hidden="false" customHeight="true" outlineLevel="0" collapsed="false">
      <c r="A20" s="12" t="s">
        <v>84</v>
      </c>
      <c r="B20" s="15" t="n">
        <f aca="false">ROUND(B14*12*(1-B15)^6,0)</f>
        <v>83</v>
      </c>
      <c r="C20" s="15" t="n">
        <f aca="false">ROUND(C14*12*(1-C15)^6,0)</f>
        <v>319</v>
      </c>
      <c r="D20" s="15" t="n">
        <f aca="false">ROUND(D14*12*(1-D15)^6,0)</f>
        <v>750</v>
      </c>
      <c r="E20" s="3" t="s">
        <v>85</v>
      </c>
    </row>
    <row r="22" customFormat="false" ht="15" hidden="false" customHeight="true" outlineLevel="0" collapsed="false">
      <c r="A22" s="4" t="s">
        <v>86</v>
      </c>
    </row>
    <row r="23" customFormat="false" ht="26.25" hidden="false" customHeight="true" outlineLevel="0" collapsed="false">
      <c r="A23" s="7" t="s">
        <v>87</v>
      </c>
      <c r="B23" s="7" t="s">
        <v>88</v>
      </c>
      <c r="C23" s="7"/>
      <c r="D23" s="7"/>
      <c r="E23" s="7" t="s">
        <v>60</v>
      </c>
    </row>
    <row r="24" customFormat="false" ht="15" hidden="false" customHeight="true" outlineLevel="0" collapsed="false">
      <c r="A24" s="8" t="s">
        <v>89</v>
      </c>
      <c r="B24" s="16" t="n">
        <v>1.5</v>
      </c>
      <c r="E24" s="3" t="s">
        <v>90</v>
      </c>
    </row>
    <row r="25" customFormat="false" ht="15" hidden="false" customHeight="true" outlineLevel="0" collapsed="false">
      <c r="A25" s="8" t="s">
        <v>91</v>
      </c>
      <c r="B25" s="16" t="n">
        <v>0.5</v>
      </c>
      <c r="E25" s="3" t="s">
        <v>92</v>
      </c>
    </row>
    <row r="26" customFormat="false" ht="15" hidden="false" customHeight="true" outlineLevel="0" collapsed="false">
      <c r="A26" s="8" t="s">
        <v>93</v>
      </c>
      <c r="B26" s="16" t="n">
        <v>2</v>
      </c>
      <c r="E26" s="3" t="s">
        <v>94</v>
      </c>
    </row>
    <row r="27" customFormat="false" ht="15" hidden="false" customHeight="true" outlineLevel="0" collapsed="false">
      <c r="A27" s="8" t="s">
        <v>95</v>
      </c>
      <c r="B27" s="10" t="n">
        <v>0.029</v>
      </c>
      <c r="E27" s="3" t="s">
        <v>96</v>
      </c>
    </row>
    <row r="28" customFormat="false" ht="15" hidden="false" customHeight="true" outlineLevel="0" collapsed="false">
      <c r="A28" s="12" t="s">
        <v>97</v>
      </c>
      <c r="B28" s="17" t="n">
        <f aca="false">SUM(B24:B26)</f>
        <v>4</v>
      </c>
      <c r="E28" s="3" t="s">
        <v>98</v>
      </c>
    </row>
    <row r="30" customFormat="false" ht="15" hidden="false" customHeight="true" outlineLevel="0" collapsed="false">
      <c r="A30" s="4" t="s">
        <v>99</v>
      </c>
    </row>
    <row r="31" customFormat="false" ht="15" hidden="false" customHeight="true" outlineLevel="0" collapsed="false">
      <c r="A31" s="7" t="s">
        <v>100</v>
      </c>
      <c r="B31" s="7" t="s">
        <v>101</v>
      </c>
      <c r="C31" s="7" t="s">
        <v>102</v>
      </c>
      <c r="D31" s="7" t="s">
        <v>103</v>
      </c>
      <c r="E31" s="7" t="s">
        <v>60</v>
      </c>
    </row>
    <row r="32" customFormat="false" ht="15" hidden="false" customHeight="true" outlineLevel="0" collapsed="false">
      <c r="A32" s="8" t="s">
        <v>104</v>
      </c>
      <c r="B32" s="9" t="n">
        <v>0</v>
      </c>
      <c r="C32" s="9" t="n">
        <v>300</v>
      </c>
      <c r="D32" s="9" t="n">
        <v>800</v>
      </c>
      <c r="E32" s="3" t="s">
        <v>105</v>
      </c>
    </row>
    <row r="33" customFormat="false" ht="15" hidden="false" customHeight="true" outlineLevel="0" collapsed="false">
      <c r="A33" s="8" t="s">
        <v>106</v>
      </c>
      <c r="B33" s="9" t="n">
        <v>150</v>
      </c>
      <c r="C33" s="9" t="n">
        <v>300</v>
      </c>
      <c r="D33" s="9" t="n">
        <v>500</v>
      </c>
      <c r="E33" s="3" t="s">
        <v>107</v>
      </c>
    </row>
    <row r="34" customFormat="false" ht="15" hidden="false" customHeight="true" outlineLevel="0" collapsed="false">
      <c r="A34" s="8" t="s">
        <v>108</v>
      </c>
      <c r="B34" s="9" t="n">
        <v>200</v>
      </c>
      <c r="C34" s="9" t="n">
        <v>400</v>
      </c>
      <c r="D34" s="9" t="n">
        <v>500</v>
      </c>
      <c r="E34" s="3" t="s">
        <v>109</v>
      </c>
    </row>
    <row r="35" customFormat="false" ht="15" hidden="false" customHeight="true" outlineLevel="0" collapsed="false">
      <c r="A35" s="8" t="s">
        <v>110</v>
      </c>
      <c r="B35" s="9" t="n">
        <v>300</v>
      </c>
      <c r="C35" s="9" t="n">
        <v>1500</v>
      </c>
      <c r="D35" s="9" t="n">
        <v>3000</v>
      </c>
      <c r="E35" s="3" t="s">
        <v>111</v>
      </c>
    </row>
    <row r="36" customFormat="false" ht="15" hidden="false" customHeight="true" outlineLevel="0" collapsed="false">
      <c r="A36" s="8" t="s">
        <v>112</v>
      </c>
      <c r="B36" s="9" t="n">
        <v>50</v>
      </c>
      <c r="C36" s="9" t="n">
        <v>100</v>
      </c>
      <c r="D36" s="9" t="n">
        <v>150</v>
      </c>
      <c r="E36" s="3" t="s">
        <v>113</v>
      </c>
    </row>
    <row r="37" customFormat="false" ht="15" hidden="false" customHeight="true" outlineLevel="0" collapsed="false">
      <c r="A37" s="8" t="s">
        <v>114</v>
      </c>
      <c r="B37" s="9" t="n">
        <v>100</v>
      </c>
      <c r="C37" s="9" t="n">
        <v>300</v>
      </c>
      <c r="D37" s="9" t="n">
        <v>500</v>
      </c>
      <c r="E37" s="3" t="s">
        <v>115</v>
      </c>
    </row>
    <row r="38" customFormat="false" ht="15" hidden="false" customHeight="true" outlineLevel="0" collapsed="false">
      <c r="A38" s="12" t="s">
        <v>116</v>
      </c>
      <c r="B38" s="13" t="n">
        <f aca="false">SUM(B32:B37)</f>
        <v>800</v>
      </c>
      <c r="C38" s="13" t="n">
        <f aca="false">SUM(C32:C37)</f>
        <v>2900</v>
      </c>
      <c r="D38" s="13" t="n">
        <f aca="false">SUM(D32:D37)</f>
        <v>5450</v>
      </c>
    </row>
    <row r="39" customFormat="false" ht="15" hidden="false" customHeight="true" outlineLevel="0" collapsed="false">
      <c r="A39" s="12" t="s">
        <v>117</v>
      </c>
      <c r="B39" s="13" t="n">
        <f aca="false">B38*12</f>
        <v>9600</v>
      </c>
      <c r="C39" s="13" t="n">
        <f aca="false">C38*12</f>
        <v>34800</v>
      </c>
      <c r="D39" s="13" t="n">
        <f aca="false">D38*12</f>
        <v>65400</v>
      </c>
    </row>
    <row r="41" customFormat="false" ht="15" hidden="false" customHeight="true" outlineLevel="0" collapsed="false">
      <c r="A41" s="4" t="s">
        <v>118</v>
      </c>
    </row>
    <row r="42" customFormat="false" ht="15" hidden="false" customHeight="true" outlineLevel="0" collapsed="false">
      <c r="A42" s="7" t="s">
        <v>100</v>
      </c>
      <c r="B42" s="7" t="s">
        <v>119</v>
      </c>
      <c r="C42" s="7" t="s">
        <v>120</v>
      </c>
      <c r="D42" s="7"/>
      <c r="E42" s="7" t="s">
        <v>60</v>
      </c>
    </row>
    <row r="43" customFormat="false" ht="15" hidden="false" customHeight="true" outlineLevel="0" collapsed="false">
      <c r="A43" s="8" t="s">
        <v>121</v>
      </c>
      <c r="B43" s="14" t="n">
        <v>1</v>
      </c>
      <c r="C43" s="9" t="n">
        <v>0</v>
      </c>
      <c r="E43" s="3" t="s">
        <v>122</v>
      </c>
    </row>
    <row r="44" customFormat="false" ht="15" hidden="false" customHeight="true" outlineLevel="0" collapsed="false">
      <c r="A44" s="8" t="s">
        <v>123</v>
      </c>
      <c r="B44" s="14" t="n">
        <v>1</v>
      </c>
      <c r="C44" s="9" t="n">
        <v>0</v>
      </c>
      <c r="E44" s="3" t="s">
        <v>124</v>
      </c>
    </row>
    <row r="45" customFormat="false" ht="15" hidden="false" customHeight="true" outlineLevel="0" collapsed="false">
      <c r="A45" s="8" t="s">
        <v>125</v>
      </c>
      <c r="B45" s="14" t="n">
        <v>10</v>
      </c>
      <c r="C45" s="9" t="n">
        <v>35000</v>
      </c>
      <c r="E45" s="3" t="s">
        <v>126</v>
      </c>
    </row>
    <row r="46" customFormat="false" ht="15" hidden="false" customHeight="true" outlineLevel="0" collapsed="false">
      <c r="A46" s="8" t="s">
        <v>127</v>
      </c>
      <c r="B46" s="14" t="n">
        <v>18</v>
      </c>
      <c r="C46" s="9" t="n">
        <v>38000</v>
      </c>
      <c r="E46" s="3"/>
    </row>
    <row r="47" customFormat="false" ht="15" hidden="false" customHeight="true" outlineLevel="0" collapsed="false">
      <c r="A47" s="8" t="s">
        <v>128</v>
      </c>
      <c r="B47" s="14" t="n">
        <v>24</v>
      </c>
      <c r="C47" s="9" t="n">
        <v>35000</v>
      </c>
      <c r="E47" s="3"/>
    </row>
    <row r="48" customFormat="false" ht="15" hidden="false" customHeight="true" outlineLevel="0" collapsed="false">
      <c r="A48" s="8" t="s">
        <v>129</v>
      </c>
      <c r="B48" s="14" t="n">
        <v>6</v>
      </c>
      <c r="C48" s="9" t="n">
        <v>10000</v>
      </c>
      <c r="E48" s="3"/>
    </row>
    <row r="49" customFormat="false" ht="15" hidden="false" customHeight="true" outlineLevel="0" collapsed="false">
      <c r="A49" s="8" t="s">
        <v>130</v>
      </c>
      <c r="B49" s="14" t="n">
        <v>13</v>
      </c>
      <c r="C49" s="9" t="n">
        <v>30000</v>
      </c>
      <c r="E49" s="3" t="s">
        <v>131</v>
      </c>
    </row>
    <row r="50" customFormat="false" ht="15" hidden="false" customHeight="true" outlineLevel="0" collapsed="false">
      <c r="A50" s="8" t="s">
        <v>132</v>
      </c>
      <c r="B50" s="10" t="n">
        <v>0.45</v>
      </c>
      <c r="E50" s="3" t="s">
        <v>133</v>
      </c>
    </row>
    <row r="52" customFormat="false" ht="15" hidden="false" customHeight="true" outlineLevel="0" collapsed="false">
      <c r="A52" s="7" t="s">
        <v>134</v>
      </c>
      <c r="B52" s="7" t="s">
        <v>72</v>
      </c>
      <c r="C52" s="7" t="s">
        <v>73</v>
      </c>
      <c r="D52" s="7" t="s">
        <v>74</v>
      </c>
      <c r="E52" s="7"/>
    </row>
    <row r="53" customFormat="false" ht="15" hidden="false" customHeight="true" outlineLevel="0" collapsed="false">
      <c r="B53" s="13" t="n">
        <f aca="false">(IF(B43&lt;=12,C43*MAX(0,MIN(12,12-MAX(B43,1)+1))/12,0)+IF(B44&lt;=12,C44*MAX(0,MIN(12,12-MAX(B44,1)+1))/12,0)+IF(B45&lt;=12,C45*MAX(0,MIN(12,12-MAX(B45,1)+1))/12,0)+IF(B46&lt;=12,C46*MAX(0,MIN(12,12-MAX(B46,1)+1))/12,0)+IF(B47&lt;=12,C47*MAX(0,MIN(12,12-MAX(B47,1)+1))/12,0)+IF(B48&lt;=12,C48*MAX(0,MIN(12,12-MAX(B48,1)+1))/12,0)+IF(B49&lt;=12,C49*MAX(0,MIN(12,12-MAX(B49,1)+1))/12,0))*(1+B50)</f>
        <v>21145.8333333333</v>
      </c>
      <c r="C53" s="13" t="n">
        <f aca="false">(IF(B43&lt;=24,C43*MAX(0,MIN(12,24-MAX(B43,13)+1))/12,0)+IF(B44&lt;=24,C44*MAX(0,MIN(12,24-MAX(B44,13)+1))/12,0)+IF(B45&lt;=24,C45*MAX(0,MIN(12,24-MAX(B45,13)+1))/12,0)+IF(B46&lt;=24,C46*MAX(0,MIN(12,24-MAX(B46,13)+1))/12,0)+IF(B47&lt;=24,C47*MAX(0,MIN(12,24-MAX(B47,13)+1))/12,0)+IF(B48&lt;=24,C48*MAX(0,MIN(12,24-MAX(B48,13)+1))/12,0)+IF(B49&lt;=24,C49*MAX(0,MIN(12,24-MAX(B49,13)+1))/12,0))*(1+B50)</f>
        <v>145120.833333333</v>
      </c>
      <c r="D53" s="13" t="n">
        <f aca="false">(IF(B43&lt;=36,C43*MAX(0,MIN(12,36-MAX(B43,25)+1))/12,0)+IF(B44&lt;=36,C44*MAX(0,MIN(12,36-MAX(B44,25)+1))/12,0)+IF(B45&lt;=36,C45*MAX(0,MIN(12,36-MAX(B45,25)+1))/12,0)+IF(B46&lt;=36,C46*MAX(0,MIN(12,36-MAX(B46,25)+1))/12,0)+IF(B47&lt;=36,C47*MAX(0,MIN(12,36-MAX(B47,25)+1))/12,0)+IF(B48&lt;=36,C48*MAX(0,MIN(12,36-MAX(B48,25)+1))/12,0)+IF(B49&lt;=36,C49*MAX(0,MIN(12,36-MAX(B49,25)+1))/12,0))*(1+B50)</f>
        <v>214600</v>
      </c>
    </row>
    <row r="55" customFormat="false" ht="15" hidden="false" customHeight="true" outlineLevel="0" collapsed="false">
      <c r="A55" s="4" t="s">
        <v>135</v>
      </c>
    </row>
    <row r="56" customFormat="false" ht="15" hidden="false" customHeight="true" outlineLevel="0" collapsed="false">
      <c r="A56" s="7" t="s">
        <v>136</v>
      </c>
      <c r="B56" s="7" t="s">
        <v>137</v>
      </c>
      <c r="C56" s="7" t="s">
        <v>119</v>
      </c>
      <c r="D56" s="7"/>
      <c r="E56" s="7" t="s">
        <v>60</v>
      </c>
    </row>
    <row r="57" customFormat="false" ht="15" hidden="false" customHeight="true" outlineLevel="0" collapsed="false">
      <c r="A57" s="8" t="s">
        <v>138</v>
      </c>
      <c r="B57" s="9" t="n">
        <v>15000</v>
      </c>
      <c r="C57" s="14" t="n">
        <v>1</v>
      </c>
      <c r="E57" s="3" t="s">
        <v>139</v>
      </c>
    </row>
    <row r="58" customFormat="false" ht="15" hidden="false" customHeight="true" outlineLevel="0" collapsed="false">
      <c r="A58" s="8" t="s">
        <v>140</v>
      </c>
      <c r="B58" s="9" t="n">
        <v>0</v>
      </c>
      <c r="C58" s="14" t="n">
        <v>6</v>
      </c>
      <c r="E58" s="3"/>
    </row>
    <row r="59" customFormat="false" ht="15" hidden="false" customHeight="true" outlineLevel="0" collapsed="false">
      <c r="A59" s="8" t="s">
        <v>141</v>
      </c>
      <c r="B59" s="9" t="n">
        <v>0</v>
      </c>
      <c r="C59" s="14" t="n">
        <v>1</v>
      </c>
      <c r="E59" s="3" t="s">
        <v>142</v>
      </c>
    </row>
    <row r="60" customFormat="false" ht="15" hidden="false" customHeight="true" outlineLevel="0" collapsed="false">
      <c r="A60" s="8" t="s">
        <v>143</v>
      </c>
      <c r="B60" s="9" t="n">
        <v>0</v>
      </c>
      <c r="C60" s="14" t="n">
        <v>1</v>
      </c>
      <c r="E60" s="3"/>
    </row>
    <row r="61" customFormat="false" ht="15" hidden="false" customHeight="true" outlineLevel="0" collapsed="false">
      <c r="A61" s="8" t="s">
        <v>144</v>
      </c>
      <c r="B61" s="9" t="n">
        <v>0</v>
      </c>
      <c r="C61" s="14" t="n">
        <v>12</v>
      </c>
      <c r="E61" s="3" t="s">
        <v>145</v>
      </c>
    </row>
    <row r="62" customFormat="false" ht="15" hidden="false" customHeight="true" outlineLevel="0" collapsed="false">
      <c r="A62" s="12" t="s">
        <v>146</v>
      </c>
      <c r="B62" s="13" t="n">
        <f aca="false">SUM(B57:B61)</f>
        <v>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8" min="2" style="1" width="11"/>
    <col collapsed="false" customWidth="true" hidden="false" outlineLevel="0" max="19" min="19" style="1" width="14"/>
  </cols>
  <sheetData>
    <row r="1" customFormat="false" ht="17.25" hidden="false" customHeight="true" outlineLevel="0" collapsed="false">
      <c r="A1" s="2" t="s">
        <v>147</v>
      </c>
    </row>
    <row r="2" customFormat="false" ht="15" hidden="false" customHeight="true" outlineLevel="0" collapsed="false">
      <c r="A2" s="3" t="s">
        <v>148</v>
      </c>
    </row>
    <row r="4" customFormat="false" ht="15" hidden="false" customHeight="true" outlineLevel="0" collapsed="false">
      <c r="A4" s="7"/>
      <c r="B4" s="7" t="s">
        <v>149</v>
      </c>
      <c r="C4" s="7" t="s">
        <v>150</v>
      </c>
      <c r="D4" s="7" t="s">
        <v>151</v>
      </c>
      <c r="E4" s="7" t="s">
        <v>152</v>
      </c>
      <c r="F4" s="7" t="s">
        <v>153</v>
      </c>
      <c r="G4" s="7" t="s">
        <v>154</v>
      </c>
      <c r="H4" s="7" t="s">
        <v>155</v>
      </c>
      <c r="I4" s="7" t="s">
        <v>156</v>
      </c>
      <c r="J4" s="7" t="s">
        <v>157</v>
      </c>
      <c r="K4" s="7" t="s">
        <v>158</v>
      </c>
      <c r="L4" s="7" t="s">
        <v>159</v>
      </c>
      <c r="M4" s="7" t="s">
        <v>160</v>
      </c>
      <c r="N4" s="7" t="s">
        <v>161</v>
      </c>
      <c r="O4" s="7" t="s">
        <v>162</v>
      </c>
      <c r="P4" s="7" t="s">
        <v>163</v>
      </c>
      <c r="Q4" s="7" t="s">
        <v>164</v>
      </c>
      <c r="R4" s="7" t="s">
        <v>74</v>
      </c>
      <c r="S4" s="7" t="s">
        <v>165</v>
      </c>
    </row>
    <row r="5" customFormat="false" ht="15" hidden="false" customHeight="true" outlineLevel="0" collapsed="false">
      <c r="A5" s="5" t="s">
        <v>166</v>
      </c>
      <c r="B5" s="18" t="n">
        <f aca="false">Hypothèses!B14</f>
        <v>10</v>
      </c>
      <c r="C5" s="18" t="n">
        <f aca="false">Hypothèses!B14</f>
        <v>10</v>
      </c>
      <c r="D5" s="18" t="n">
        <f aca="false">Hypothèses!B14</f>
        <v>10</v>
      </c>
      <c r="E5" s="18" t="n">
        <f aca="false">Hypothèses!B14</f>
        <v>10</v>
      </c>
      <c r="F5" s="18" t="n">
        <f aca="false">Hypothèses!B14</f>
        <v>10</v>
      </c>
      <c r="G5" s="18" t="n">
        <f aca="false">Hypothèses!B14</f>
        <v>10</v>
      </c>
      <c r="H5" s="18" t="n">
        <f aca="false">Hypothèses!B14</f>
        <v>10</v>
      </c>
      <c r="I5" s="18" t="n">
        <f aca="false">Hypothèses!B14</f>
        <v>10</v>
      </c>
      <c r="J5" s="18" t="n">
        <f aca="false">Hypothèses!B14</f>
        <v>10</v>
      </c>
      <c r="K5" s="18" t="n">
        <f aca="false">Hypothèses!B14</f>
        <v>10</v>
      </c>
      <c r="L5" s="18" t="n">
        <f aca="false">Hypothèses!B14</f>
        <v>10</v>
      </c>
      <c r="M5" s="18" t="n">
        <f aca="false">Hypothèses!B14</f>
        <v>10</v>
      </c>
      <c r="N5" s="18" t="n">
        <f aca="false">Hypothèses!C14*3</f>
        <v>105</v>
      </c>
      <c r="O5" s="18" t="n">
        <f aca="false">Hypothèses!C14*3</f>
        <v>105</v>
      </c>
      <c r="P5" s="18" t="n">
        <f aca="false">Hypothèses!C14*3</f>
        <v>105</v>
      </c>
      <c r="Q5" s="18" t="n">
        <f aca="false">Hypothèses!C14*3</f>
        <v>105</v>
      </c>
      <c r="R5" s="18" t="n">
        <f aca="false">Hypothèses!D14*12</f>
        <v>900</v>
      </c>
    </row>
    <row r="6" customFormat="false" ht="15" hidden="false" customHeight="true" outlineLevel="0" collapsed="false">
      <c r="A6" s="8" t="s">
        <v>167</v>
      </c>
      <c r="B6" s="18" t="n">
        <f aca="false">0</f>
        <v>0</v>
      </c>
      <c r="C6" s="18" t="n">
        <f aca="false">-ROUND(B7*Hypothèses!$B$15,0)</f>
        <v>-1</v>
      </c>
      <c r="D6" s="18" t="n">
        <f aca="false">-ROUND(C7*Hypothèses!$B$15,0)</f>
        <v>-1</v>
      </c>
      <c r="E6" s="18" t="n">
        <f aca="false">-ROUND(D7*Hypothèses!$B$15,0)</f>
        <v>-2</v>
      </c>
      <c r="F6" s="18" t="n">
        <f aca="false">-ROUND(E7*Hypothèses!$B$15,0)</f>
        <v>-2</v>
      </c>
      <c r="G6" s="18" t="n">
        <f aca="false">-ROUND(F7*Hypothèses!$B$15,0)</f>
        <v>-3</v>
      </c>
      <c r="H6" s="18" t="n">
        <f aca="false">-ROUND(G7*Hypothèses!$B$15,0)</f>
        <v>-3</v>
      </c>
      <c r="I6" s="18" t="n">
        <f aca="false">-ROUND(H7*Hypothèses!$B$15,0)</f>
        <v>-3</v>
      </c>
      <c r="J6" s="18" t="n">
        <f aca="false">-ROUND(I7*Hypothèses!$B$15,0)</f>
        <v>-4</v>
      </c>
      <c r="K6" s="18" t="n">
        <f aca="false">-ROUND(J7*Hypothèses!$B$15,0)</f>
        <v>-4</v>
      </c>
      <c r="L6" s="18" t="n">
        <f aca="false">-ROUND(K7*Hypothèses!$B$15,0)</f>
        <v>-5</v>
      </c>
      <c r="M6" s="18" t="n">
        <f aca="false">-ROUND(L7*Hypothèses!$B$15,0)</f>
        <v>-5</v>
      </c>
      <c r="N6" s="18" t="n">
        <f aca="false">-ROUND(M7*Hypothèses!$C$15*3,0)</f>
        <v>-12</v>
      </c>
      <c r="O6" s="18" t="n">
        <f aca="false">-ROUND(N7*Hypothèses!$C$15*3,0)</f>
        <v>-24</v>
      </c>
      <c r="P6" s="18" t="n">
        <f aca="false">-ROUND(O7*Hypothèses!$C$15*3,0)</f>
        <v>-35</v>
      </c>
      <c r="Q6" s="18" t="n">
        <f aca="false">-ROUND(P7*Hypothèses!$C$15*3,0)</f>
        <v>-45</v>
      </c>
      <c r="R6" s="18" t="n">
        <f aca="false">-ROUND(Q7*Hypothèses!$D$15*12,0)</f>
        <v>-141</v>
      </c>
    </row>
    <row r="7" customFormat="false" ht="15" hidden="false" customHeight="true" outlineLevel="0" collapsed="false">
      <c r="A7" s="12" t="s">
        <v>168</v>
      </c>
      <c r="B7" s="15" t="n">
        <f aca="false">B5+B6</f>
        <v>10</v>
      </c>
      <c r="C7" s="15" t="n">
        <f aca="false">B7+C5+C6</f>
        <v>19</v>
      </c>
      <c r="D7" s="15" t="n">
        <f aca="false">C7+D5+D6</f>
        <v>28</v>
      </c>
      <c r="E7" s="15" t="n">
        <f aca="false">D7+E5+E6</f>
        <v>36</v>
      </c>
      <c r="F7" s="15" t="n">
        <f aca="false">E7+F5+F6</f>
        <v>44</v>
      </c>
      <c r="G7" s="15" t="n">
        <f aca="false">F7+G5+G6</f>
        <v>51</v>
      </c>
      <c r="H7" s="15" t="n">
        <f aca="false">G7+H5+H6</f>
        <v>58</v>
      </c>
      <c r="I7" s="15" t="n">
        <f aca="false">H7+I5+I6</f>
        <v>65</v>
      </c>
      <c r="J7" s="15" t="n">
        <f aca="false">I7+J5+J6</f>
        <v>71</v>
      </c>
      <c r="K7" s="15" t="n">
        <f aca="false">J7+K5+K6</f>
        <v>77</v>
      </c>
      <c r="L7" s="15" t="n">
        <f aca="false">K7+L5+L6</f>
        <v>82</v>
      </c>
      <c r="M7" s="15" t="n">
        <f aca="false">L7+M5+M6</f>
        <v>87</v>
      </c>
      <c r="N7" s="15" t="n">
        <f aca="false">M7+N5+N6</f>
        <v>180</v>
      </c>
      <c r="O7" s="15" t="n">
        <f aca="false">N7+O5+O6</f>
        <v>261</v>
      </c>
      <c r="P7" s="15" t="n">
        <f aca="false">O7+P5+P6</f>
        <v>331</v>
      </c>
      <c r="Q7" s="15" t="n">
        <f aca="false">P7+Q5+Q6</f>
        <v>391</v>
      </c>
      <c r="R7" s="15" t="n">
        <f aca="false">Q7+R5+R6</f>
        <v>1150</v>
      </c>
      <c r="S7" s="15" t="n">
        <f aca="false">R7</f>
        <v>1150</v>
      </c>
    </row>
    <row r="8" customFormat="false" ht="15" hidden="false" customHeight="true" outlineLevel="0" collapsed="false">
      <c r="A8" s="8" t="s">
        <v>169</v>
      </c>
      <c r="B8" s="19" t="n">
        <f aca="false">B7/2</f>
        <v>5</v>
      </c>
      <c r="C8" s="19" t="n">
        <f aca="false">(B7+C7)/2</f>
        <v>14.5</v>
      </c>
      <c r="D8" s="19" t="n">
        <f aca="false">(C7+D7)/2</f>
        <v>23.5</v>
      </c>
      <c r="E8" s="19" t="n">
        <f aca="false">(D7+E7)/2</f>
        <v>32</v>
      </c>
      <c r="F8" s="19" t="n">
        <f aca="false">(E7+F7)/2</f>
        <v>40</v>
      </c>
      <c r="G8" s="19" t="n">
        <f aca="false">(F7+G7)/2</f>
        <v>47.5</v>
      </c>
      <c r="H8" s="19" t="n">
        <f aca="false">(G7+H7)/2</f>
        <v>54.5</v>
      </c>
      <c r="I8" s="19" t="n">
        <f aca="false">(H7+I7)/2</f>
        <v>61.5</v>
      </c>
      <c r="J8" s="19" t="n">
        <f aca="false">(I7+J7)/2</f>
        <v>68</v>
      </c>
      <c r="K8" s="19" t="n">
        <f aca="false">(J7+K7)/2</f>
        <v>74</v>
      </c>
      <c r="L8" s="19" t="n">
        <f aca="false">(K7+L7)/2</f>
        <v>79.5</v>
      </c>
      <c r="M8" s="19" t="n">
        <f aca="false">(L7+M7)/2</f>
        <v>84.5</v>
      </c>
      <c r="N8" s="19" t="n">
        <f aca="false">(M7+N7)/2</f>
        <v>133.5</v>
      </c>
      <c r="O8" s="19" t="n">
        <f aca="false">(N7+O7)/2</f>
        <v>220.5</v>
      </c>
      <c r="P8" s="19" t="n">
        <f aca="false">(O7+P7)/2</f>
        <v>296</v>
      </c>
      <c r="Q8" s="19" t="n">
        <f aca="false">(P7+Q7)/2</f>
        <v>361</v>
      </c>
      <c r="R8" s="19" t="n">
        <f aca="false">(Q7+R7)/2</f>
        <v>770.5</v>
      </c>
    </row>
    <row r="9" customFormat="false" ht="15" hidden="false" customHeight="true" outlineLevel="0" collapsed="false">
      <c r="A9" s="8" t="s">
        <v>170</v>
      </c>
      <c r="B9" s="20" t="n">
        <f aca="false">Hypothèses!$D$9/12</f>
        <v>72</v>
      </c>
      <c r="C9" s="20" t="n">
        <f aca="false">Hypothèses!$D$9/12</f>
        <v>72</v>
      </c>
      <c r="D9" s="20" t="n">
        <f aca="false">Hypothèses!$D$9/12</f>
        <v>72</v>
      </c>
      <c r="E9" s="20" t="n">
        <f aca="false">Hypothèses!$D$9/12</f>
        <v>72</v>
      </c>
      <c r="F9" s="20" t="n">
        <f aca="false">Hypothèses!$D$9/12</f>
        <v>72</v>
      </c>
      <c r="G9" s="20" t="n">
        <f aca="false">Hypothèses!$D$9/12</f>
        <v>72</v>
      </c>
      <c r="H9" s="20" t="n">
        <f aca="false">Hypothèses!$D$9/12</f>
        <v>72</v>
      </c>
      <c r="I9" s="20" t="n">
        <f aca="false">Hypothèses!$D$9/12</f>
        <v>72</v>
      </c>
      <c r="J9" s="20" t="n">
        <f aca="false">Hypothèses!$D$9/12</f>
        <v>72</v>
      </c>
      <c r="K9" s="20" t="n">
        <f aca="false">Hypothèses!$D$9/12</f>
        <v>72</v>
      </c>
      <c r="L9" s="20" t="n">
        <f aca="false">Hypothèses!$D$9/12</f>
        <v>72</v>
      </c>
      <c r="M9" s="20" t="n">
        <f aca="false">Hypothèses!$D$9/12</f>
        <v>72</v>
      </c>
      <c r="N9" s="20" t="n">
        <f aca="false">Hypothèses!$D$9/4</f>
        <v>216</v>
      </c>
      <c r="O9" s="20" t="n">
        <f aca="false">Hypothèses!$D$9/4</f>
        <v>216</v>
      </c>
      <c r="P9" s="20" t="n">
        <f aca="false">Hypothèses!$D$9/4</f>
        <v>216</v>
      </c>
      <c r="Q9" s="20" t="n">
        <f aca="false">Hypothèses!$D$9/4</f>
        <v>216</v>
      </c>
      <c r="R9" s="20" t="n">
        <f aca="false">Hypothèses!$D$9</f>
        <v>864</v>
      </c>
    </row>
    <row r="10" customFormat="false" ht="15" hidden="false" customHeight="true" outlineLevel="0" collapsed="false">
      <c r="A10" s="12" t="s">
        <v>171</v>
      </c>
      <c r="B10" s="13" t="n">
        <f aca="false">B8*B9</f>
        <v>360</v>
      </c>
      <c r="C10" s="13" t="n">
        <f aca="false">C8*C9</f>
        <v>1044</v>
      </c>
      <c r="D10" s="13" t="n">
        <f aca="false">D8*D9</f>
        <v>1692</v>
      </c>
      <c r="E10" s="13" t="n">
        <f aca="false">E8*E9</f>
        <v>2304</v>
      </c>
      <c r="F10" s="13" t="n">
        <f aca="false">F8*F9</f>
        <v>2880</v>
      </c>
      <c r="G10" s="13" t="n">
        <f aca="false">G8*G9</f>
        <v>3420</v>
      </c>
      <c r="H10" s="13" t="n">
        <f aca="false">H8*H9</f>
        <v>3924</v>
      </c>
      <c r="I10" s="13" t="n">
        <f aca="false">I8*I9</f>
        <v>4428</v>
      </c>
      <c r="J10" s="13" t="n">
        <f aca="false">J8*J9</f>
        <v>4896</v>
      </c>
      <c r="K10" s="13" t="n">
        <f aca="false">K8*K9</f>
        <v>5328</v>
      </c>
      <c r="L10" s="13" t="n">
        <f aca="false">L8*L9</f>
        <v>5724</v>
      </c>
      <c r="M10" s="13" t="n">
        <f aca="false">M8*M9</f>
        <v>6084</v>
      </c>
      <c r="N10" s="13" t="n">
        <f aca="false">N8*N9</f>
        <v>28836</v>
      </c>
      <c r="O10" s="13" t="n">
        <f aca="false">O8*O9</f>
        <v>47628</v>
      </c>
      <c r="P10" s="13" t="n">
        <f aca="false">P8*P9</f>
        <v>63936</v>
      </c>
      <c r="Q10" s="13" t="n">
        <f aca="false">Q8*Q9</f>
        <v>77976</v>
      </c>
      <c r="R10" s="13" t="n">
        <f aca="false">R8*R9</f>
        <v>665712</v>
      </c>
      <c r="S10" s="13" t="n">
        <f aca="false">SUM(B10:R10)</f>
        <v>926172</v>
      </c>
    </row>
    <row r="12" customFormat="false" ht="15" hidden="false" customHeight="true" outlineLevel="0" collapsed="false">
      <c r="A12" s="4" t="s">
        <v>172</v>
      </c>
    </row>
    <row r="13" customFormat="false" ht="15" hidden="false" customHeight="true" outlineLevel="0" collapsed="false">
      <c r="A13" s="7"/>
      <c r="B13" s="7" t="s">
        <v>72</v>
      </c>
      <c r="C13" s="7" t="s">
        <v>73</v>
      </c>
      <c r="D13" s="7" t="s">
        <v>74</v>
      </c>
      <c r="E13" s="7"/>
    </row>
    <row r="14" customFormat="false" ht="15" hidden="false" customHeight="true" outlineLevel="0" collapsed="false">
      <c r="A14" s="12" t="s">
        <v>173</v>
      </c>
      <c r="B14" s="13" t="n">
        <f aca="false">SUM(B10:M10)</f>
        <v>42084</v>
      </c>
      <c r="C14" s="13" t="n">
        <f aca="false">SUM(N10:Q10)</f>
        <v>218376</v>
      </c>
      <c r="D14" s="13" t="n">
        <f aca="false">R10</f>
        <v>665712</v>
      </c>
    </row>
    <row r="15" customFormat="false" ht="15" hidden="false" customHeight="true" outlineLevel="0" collapsed="false">
      <c r="A15" s="5" t="s">
        <v>174</v>
      </c>
      <c r="B15" s="18" t="n">
        <f aca="false">M7</f>
        <v>87</v>
      </c>
      <c r="C15" s="18" t="n">
        <f aca="false">Q7</f>
        <v>391</v>
      </c>
      <c r="D15" s="18" t="n">
        <f aca="false">R7</f>
        <v>1150</v>
      </c>
    </row>
    <row r="16" customFormat="false" ht="15" hidden="false" customHeight="true" outlineLevel="0" collapsed="false">
      <c r="A16" s="5" t="s">
        <v>175</v>
      </c>
      <c r="B16" s="20" t="n">
        <f aca="false">B15*Hypothèses!$D$9/12</f>
        <v>6264</v>
      </c>
      <c r="C16" s="20" t="n">
        <f aca="false">C15*Hypothèses!$D$9/12</f>
        <v>28152</v>
      </c>
      <c r="D16" s="20" t="n">
        <f aca="false">D15*Hypothèses!$D$9/12</f>
        <v>82800</v>
      </c>
    </row>
    <row r="17" customFormat="false" ht="15" hidden="false" customHeight="true" outlineLevel="0" collapsed="false">
      <c r="A17" s="12" t="s">
        <v>176</v>
      </c>
      <c r="B17" s="13" t="n">
        <f aca="false">B16*12</f>
        <v>75168</v>
      </c>
      <c r="C17" s="13" t="n">
        <f aca="false">C16*12</f>
        <v>337824</v>
      </c>
      <c r="D17" s="13" t="n">
        <f aca="false">D16*12</f>
        <v>993600</v>
      </c>
    </row>
    <row r="18" customFormat="false" ht="15" hidden="false" customHeight="true" outlineLevel="0" collapsed="false">
      <c r="A18" s="5" t="s">
        <v>177</v>
      </c>
      <c r="B18" s="21" t="str">
        <f aca="false">"-"</f>
        <v>-</v>
      </c>
      <c r="C18" s="22" t="n">
        <f aca="false">IF(B14&gt;0,(C14-B14)/B14,0)</f>
        <v>4.1890504704876</v>
      </c>
      <c r="D18" s="22" t="n">
        <f aca="false">IF(C14&gt;0,(D14-C14)/C14,0)</f>
        <v>2.0484668644906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22"/>
  </cols>
  <sheetData>
    <row r="1" customFormat="false" ht="17.25" hidden="false" customHeight="true" outlineLevel="0" collapsed="false">
      <c r="A1" s="2" t="s">
        <v>178</v>
      </c>
    </row>
    <row r="2" customFormat="false" ht="15" hidden="false" customHeight="true" outlineLevel="0" collapsed="false">
      <c r="A2" s="3" t="s">
        <v>179</v>
      </c>
    </row>
    <row r="4" customFormat="false" ht="15" hidden="false" customHeight="true" outlineLevel="0" collapsed="false">
      <c r="A4" s="7"/>
      <c r="B4" s="7" t="s">
        <v>72</v>
      </c>
      <c r="C4" s="7" t="s">
        <v>73</v>
      </c>
      <c r="D4" s="7" t="s">
        <v>74</v>
      </c>
      <c r="E4" s="7" t="s">
        <v>180</v>
      </c>
    </row>
    <row r="5" customFormat="false" ht="15" hidden="false" customHeight="true" outlineLevel="0" collapsed="false">
      <c r="A5" s="4" t="s">
        <v>181</v>
      </c>
    </row>
    <row r="6" customFormat="false" ht="15" hidden="false" customHeight="true" outlineLevel="0" collapsed="false">
      <c r="A6" s="8" t="s">
        <v>182</v>
      </c>
      <c r="B6" s="11" t="n">
        <f aca="false">-Hypothèses!B28*Revenus!B15*12</f>
        <v>-4176</v>
      </c>
      <c r="C6" s="11" t="n">
        <f aca="false">-Hypothèses!B28*Revenus!C15*12</f>
        <v>-18768</v>
      </c>
      <c r="D6" s="11" t="n">
        <f aca="false">-Hypothèses!B28*Revenus!D15*12</f>
        <v>-55200</v>
      </c>
      <c r="E6" s="3" t="s">
        <v>183</v>
      </c>
    </row>
    <row r="7" customFormat="false" ht="15" hidden="false" customHeight="true" outlineLevel="0" collapsed="false">
      <c r="A7" s="8" t="s">
        <v>184</v>
      </c>
      <c r="B7" s="20" t="n">
        <f aca="false">-Revenus!B14*Hypothèses!B27</f>
        <v>-1220.436</v>
      </c>
      <c r="C7" s="20" t="n">
        <f aca="false">-Revenus!C14*Hypothèses!B27</f>
        <v>-6332.904</v>
      </c>
      <c r="D7" s="20" t="n">
        <f aca="false">-Revenus!D14*Hypothèses!B27</f>
        <v>-19305.648</v>
      </c>
      <c r="E7" s="3" t="s">
        <v>185</v>
      </c>
    </row>
    <row r="8" customFormat="false" ht="15" hidden="false" customHeight="true" outlineLevel="0" collapsed="false">
      <c r="A8" s="23" t="s">
        <v>186</v>
      </c>
      <c r="B8" s="24" t="n">
        <f aca="false">SUM(B6:B7)</f>
        <v>-5396.436</v>
      </c>
      <c r="C8" s="24" t="n">
        <f aca="false">SUM(C6:C7)</f>
        <v>-25100.904</v>
      </c>
      <c r="D8" s="24" t="n">
        <f aca="false">SUM(D6:D7)</f>
        <v>-74505.648</v>
      </c>
    </row>
    <row r="10" customFormat="false" ht="15" hidden="false" customHeight="true" outlineLevel="0" collapsed="false">
      <c r="A10" s="4" t="s">
        <v>187</v>
      </c>
    </row>
    <row r="11" customFormat="false" ht="15" hidden="false" customHeight="true" outlineLevel="0" collapsed="false">
      <c r="A11" s="8" t="s">
        <v>188</v>
      </c>
      <c r="B11" s="20" t="n">
        <f aca="false">Hypothèses!B39</f>
        <v>9600</v>
      </c>
      <c r="C11" s="20" t="n">
        <f aca="false">Hypothèses!C39</f>
        <v>34800</v>
      </c>
      <c r="D11" s="20" t="n">
        <f aca="false">Hypothèses!D39</f>
        <v>65400</v>
      </c>
      <c r="E11" s="3" t="s">
        <v>189</v>
      </c>
    </row>
    <row r="12" customFormat="false" ht="15" hidden="false" customHeight="true" outlineLevel="0" collapsed="false">
      <c r="A12" s="23" t="s">
        <v>190</v>
      </c>
      <c r="B12" s="24" t="n">
        <f aca="false">-ABS(B11)</f>
        <v>-9600</v>
      </c>
      <c r="C12" s="24" t="n">
        <f aca="false">-ABS(C11)</f>
        <v>-34800</v>
      </c>
      <c r="D12" s="24" t="n">
        <f aca="false">-ABS(D11)</f>
        <v>-65400</v>
      </c>
    </row>
    <row r="14" customFormat="false" ht="15" hidden="false" customHeight="true" outlineLevel="0" collapsed="false">
      <c r="A14" s="4" t="s">
        <v>191</v>
      </c>
    </row>
    <row r="15" customFormat="false" ht="15" hidden="false" customHeight="true" outlineLevel="0" collapsed="false">
      <c r="A15" s="8" t="s">
        <v>192</v>
      </c>
      <c r="B15" s="20" t="n">
        <f aca="false">Hypothèses!B53</f>
        <v>21145.8333333333</v>
      </c>
      <c r="C15" s="20" t="n">
        <f aca="false">Hypothèses!C53</f>
        <v>145120.833333333</v>
      </c>
      <c r="D15" s="20" t="n">
        <f aca="false">Hypothèses!D53</f>
        <v>214600</v>
      </c>
    </row>
    <row r="16" customFormat="false" ht="15" hidden="false" customHeight="true" outlineLevel="0" collapsed="false">
      <c r="A16" s="23" t="s">
        <v>193</v>
      </c>
      <c r="B16" s="24" t="n">
        <f aca="false">-ABS(B15)</f>
        <v>-21145.8333333333</v>
      </c>
      <c r="C16" s="24" t="n">
        <f aca="false">-ABS(C15)</f>
        <v>-145120.833333333</v>
      </c>
      <c r="D16" s="24" t="n">
        <f aca="false">-ABS(D15)</f>
        <v>-214600</v>
      </c>
    </row>
    <row r="18" customFormat="false" ht="15" hidden="false" customHeight="true" outlineLevel="0" collapsed="false">
      <c r="A18" s="4" t="s">
        <v>194</v>
      </c>
    </row>
    <row r="19" customFormat="false" ht="15" hidden="false" customHeight="true" outlineLevel="0" collapsed="false">
      <c r="A19" s="7"/>
      <c r="B19" s="7" t="s">
        <v>72</v>
      </c>
      <c r="C19" s="7" t="s">
        <v>73</v>
      </c>
      <c r="D19" s="7" t="s">
        <v>74</v>
      </c>
      <c r="E19" s="7"/>
    </row>
    <row r="20" customFormat="false" ht="15" hidden="false" customHeight="true" outlineLevel="0" collapsed="false">
      <c r="A20" s="12" t="s">
        <v>195</v>
      </c>
      <c r="B20" s="25" t="n">
        <f aca="false">Revenus!B14</f>
        <v>42084</v>
      </c>
      <c r="C20" s="25" t="n">
        <f aca="false">Revenus!C14</f>
        <v>218376</v>
      </c>
      <c r="D20" s="25" t="n">
        <f aca="false">Revenus!D14</f>
        <v>665712</v>
      </c>
    </row>
    <row r="21" customFormat="false" ht="15" hidden="false" customHeight="true" outlineLevel="0" collapsed="false">
      <c r="A21" s="8" t="s">
        <v>196</v>
      </c>
      <c r="B21" s="11" t="n">
        <f aca="false">B8</f>
        <v>-5396.436</v>
      </c>
      <c r="C21" s="11" t="n">
        <f aca="false">C8</f>
        <v>-25100.904</v>
      </c>
      <c r="D21" s="11" t="n">
        <f aca="false">D8</f>
        <v>-74505.648</v>
      </c>
    </row>
    <row r="22" customFormat="false" ht="15" hidden="false" customHeight="true" outlineLevel="0" collapsed="false">
      <c r="A22" s="26" t="s">
        <v>197</v>
      </c>
      <c r="B22" s="27" t="n">
        <f aca="false">B20+B21</f>
        <v>36687.564</v>
      </c>
      <c r="C22" s="27" t="n">
        <f aca="false">C20+C21</f>
        <v>193275.096</v>
      </c>
      <c r="D22" s="27" t="n">
        <f aca="false">D20+D21</f>
        <v>591206.352</v>
      </c>
    </row>
    <row r="23" customFormat="false" ht="15" hidden="false" customHeight="true" outlineLevel="0" collapsed="false">
      <c r="A23" s="8" t="s">
        <v>198</v>
      </c>
      <c r="B23" s="22" t="n">
        <f aca="false">IF(B20=0,0,B22/B20)</f>
        <v>0.871769888793841</v>
      </c>
      <c r="C23" s="22" t="n">
        <f aca="false">IF(C20=0,0,C22/C20)</f>
        <v>0.885056489724145</v>
      </c>
      <c r="D23" s="22" t="n">
        <f aca="false">IF(D20=0,0,D22/D20)</f>
        <v>0.888081260364842</v>
      </c>
    </row>
    <row r="24" customFormat="false" ht="15" hidden="false" customHeight="true" outlineLevel="0" collapsed="false">
      <c r="A24" s="8" t="s">
        <v>199</v>
      </c>
      <c r="B24" s="11" t="n">
        <f aca="false">B12</f>
        <v>-9600</v>
      </c>
      <c r="C24" s="11" t="n">
        <f aca="false">C12</f>
        <v>-34800</v>
      </c>
      <c r="D24" s="11" t="n">
        <f aca="false">D12</f>
        <v>-65400</v>
      </c>
    </row>
    <row r="25" customFormat="false" ht="15" hidden="false" customHeight="true" outlineLevel="0" collapsed="false">
      <c r="A25" s="8" t="s">
        <v>200</v>
      </c>
      <c r="B25" s="11" t="n">
        <f aca="false">B16</f>
        <v>-21145.8333333333</v>
      </c>
      <c r="C25" s="11" t="n">
        <f aca="false">C16</f>
        <v>-145120.833333333</v>
      </c>
      <c r="D25" s="11" t="n">
        <f aca="false">D16</f>
        <v>-214600</v>
      </c>
    </row>
    <row r="26" customFormat="false" ht="15" hidden="false" customHeight="true" outlineLevel="0" collapsed="false">
      <c r="A26" s="28" t="s">
        <v>201</v>
      </c>
      <c r="B26" s="29" t="n">
        <f aca="false">B22+B24+B25</f>
        <v>5941.73066666667</v>
      </c>
      <c r="C26" s="29" t="n">
        <f aca="false">C22+C24+C25</f>
        <v>13354.2626666666</v>
      </c>
      <c r="D26" s="29" t="n">
        <f aca="false">D22+D24+D25</f>
        <v>311206.352</v>
      </c>
    </row>
    <row r="27" customFormat="false" ht="15" hidden="false" customHeight="true" outlineLevel="0" collapsed="false">
      <c r="A27" s="8" t="s">
        <v>202</v>
      </c>
      <c r="B27" s="22" t="n">
        <f aca="false">IF(B20=0,0,B26/B20)</f>
        <v>0.141187402971834</v>
      </c>
      <c r="C27" s="22" t="n">
        <f aca="false">IF(C20=0,0,C26/C20)</f>
        <v>0.0611526113980778</v>
      </c>
      <c r="D27" s="22" t="n">
        <f aca="false">IF(D20=0,0,D26/D20)</f>
        <v>0.467478957867666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22"/>
  </cols>
  <sheetData>
    <row r="1" customFormat="false" ht="17.25" hidden="false" customHeight="true" outlineLevel="0" collapsed="false">
      <c r="A1" s="2" t="s">
        <v>203</v>
      </c>
    </row>
    <row r="3" customFormat="false" ht="15" hidden="false" customHeight="true" outlineLevel="0" collapsed="false">
      <c r="A3" s="7"/>
      <c r="B3" s="7" t="s">
        <v>72</v>
      </c>
      <c r="C3" s="7" t="s">
        <v>73</v>
      </c>
      <c r="D3" s="7" t="s">
        <v>74</v>
      </c>
      <c r="E3" s="7" t="s">
        <v>60</v>
      </c>
    </row>
    <row r="4" customFormat="false" ht="15" hidden="false" customHeight="true" outlineLevel="0" collapsed="false">
      <c r="A4" s="5" t="s">
        <v>204</v>
      </c>
      <c r="B4" s="20" t="n">
        <f aca="false">Hypothèses!B62</f>
        <v>15000</v>
      </c>
      <c r="C4" s="11" t="n">
        <f aca="false">B12</f>
        <v>33941.7306666667</v>
      </c>
      <c r="D4" s="11" t="n">
        <f aca="false">C12</f>
        <v>42295.9933333333</v>
      </c>
      <c r="E4" s="3" t="s">
        <v>205</v>
      </c>
    </row>
    <row r="5" customFormat="false" ht="15" hidden="false" customHeight="true" outlineLevel="0" collapsed="false">
      <c r="A5" s="4"/>
    </row>
    <row r="6" customFormat="false" ht="15" hidden="false" customHeight="true" outlineLevel="0" collapsed="false">
      <c r="A6" s="8" t="s">
        <v>206</v>
      </c>
      <c r="B6" s="20" t="n">
        <f aca="false">Revenus!B14</f>
        <v>42084</v>
      </c>
      <c r="C6" s="20" t="n">
        <f aca="false">Revenus!C14</f>
        <v>218376</v>
      </c>
      <c r="D6" s="20" t="n">
        <f aca="false">Revenus!D14</f>
        <v>665712</v>
      </c>
    </row>
    <row r="7" customFormat="false" ht="15" hidden="false" customHeight="true" outlineLevel="0" collapsed="false">
      <c r="A7" s="8" t="s">
        <v>207</v>
      </c>
      <c r="B7" s="11" t="n">
        <f aca="false">'Coûts &amp; P&amp;L'!B26-'Coûts &amp; P&amp;L'!B20</f>
        <v>-36142.2693333333</v>
      </c>
      <c r="C7" s="11" t="n">
        <f aca="false">'Coûts &amp; P&amp;L'!C26-'Coûts &amp; P&amp;L'!C20</f>
        <v>-205021.737333333</v>
      </c>
      <c r="D7" s="11" t="n">
        <f aca="false">'Coûts &amp; P&amp;L'!D26-'Coûts &amp; P&amp;L'!D20</f>
        <v>-354505.648</v>
      </c>
    </row>
    <row r="8" customFormat="false" ht="15" hidden="false" customHeight="true" outlineLevel="0" collapsed="false">
      <c r="A8" s="26" t="s">
        <v>208</v>
      </c>
      <c r="B8" s="30" t="n">
        <f aca="false">B6+B7</f>
        <v>5941.73066666667</v>
      </c>
      <c r="C8" s="30" t="n">
        <f aca="false">C6+C7</f>
        <v>13354.2626666666</v>
      </c>
      <c r="D8" s="30" t="n">
        <f aca="false">D6+D7</f>
        <v>311206.352</v>
      </c>
    </row>
    <row r="9" customFormat="false" ht="15" hidden="false" customHeight="true" outlineLevel="0" collapsed="false">
      <c r="A9" s="8" t="s">
        <v>209</v>
      </c>
      <c r="B9" s="9" t="n">
        <v>-2000</v>
      </c>
      <c r="C9" s="9" t="n">
        <v>-5000</v>
      </c>
      <c r="D9" s="9" t="n">
        <v>-10000</v>
      </c>
      <c r="E9" s="3" t="s">
        <v>210</v>
      </c>
    </row>
    <row r="10" customFormat="false" ht="15" hidden="false" customHeight="true" outlineLevel="0" collapsed="false">
      <c r="A10" s="8" t="s">
        <v>211</v>
      </c>
      <c r="B10" s="20" t="n">
        <f aca="false">Hypothèses!B62</f>
        <v>15000</v>
      </c>
      <c r="C10" s="9" t="n">
        <v>0</v>
      </c>
      <c r="D10" s="9" t="n">
        <v>0</v>
      </c>
      <c r="E10" s="3" t="s">
        <v>212</v>
      </c>
    </row>
    <row r="11" customFormat="false" ht="15" hidden="false" customHeight="true" outlineLevel="0" collapsed="false">
      <c r="A11" s="28" t="s">
        <v>213</v>
      </c>
      <c r="B11" s="31" t="n">
        <f aca="false">B8+B9+B10</f>
        <v>18941.7306666667</v>
      </c>
      <c r="C11" s="31" t="n">
        <f aca="false">C8+C9+C10</f>
        <v>8354.26266666665</v>
      </c>
      <c r="D11" s="31" t="n">
        <f aca="false">D8+D9+D10</f>
        <v>301206.352</v>
      </c>
    </row>
    <row r="12" customFormat="false" ht="15" hidden="false" customHeight="true" outlineLevel="0" collapsed="false">
      <c r="A12" s="32" t="s">
        <v>214</v>
      </c>
      <c r="B12" s="33" t="n">
        <f aca="false">B4+B11</f>
        <v>33941.7306666667</v>
      </c>
      <c r="C12" s="33" t="n">
        <f aca="false">C4+C11</f>
        <v>42295.9933333333</v>
      </c>
      <c r="D12" s="33" t="n">
        <f aca="false">D4+D11</f>
        <v>343502.345333333</v>
      </c>
    </row>
    <row r="14" customFormat="false" ht="15" hidden="false" customHeight="true" outlineLevel="0" collapsed="false">
      <c r="A14" s="4" t="s">
        <v>215</v>
      </c>
    </row>
    <row r="15" customFormat="false" ht="15" hidden="false" customHeight="true" outlineLevel="0" collapsed="false">
      <c r="A15" s="5" t="s">
        <v>216</v>
      </c>
      <c r="B15" s="11" t="n">
        <f aca="false">IF(B11&lt;0,-B11/12,0)</f>
        <v>0</v>
      </c>
      <c r="C15" s="11" t="n">
        <f aca="false">IF(C11&lt;0,-C11/12,0)</f>
        <v>0</v>
      </c>
      <c r="D15" s="11" t="n">
        <f aca="false">IF(D11&lt;0,-D11/12,0)</f>
        <v>0</v>
      </c>
    </row>
    <row r="16" customFormat="false" ht="15" hidden="false" customHeight="true" outlineLevel="0" collapsed="false">
      <c r="A16" s="28" t="s">
        <v>217</v>
      </c>
      <c r="B16" s="34" t="n">
        <f aca="false">IF(B15&gt;0,B4/B15,99)</f>
        <v>99</v>
      </c>
      <c r="C16" s="34" t="n">
        <f aca="false">IF(C15&gt;0,C4/C15,99)</f>
        <v>99</v>
      </c>
      <c r="D16" s="34" t="n">
        <f aca="false">IF(D15&gt;0,D4/D15,99)</f>
        <v>99</v>
      </c>
      <c r="E16" s="3" t="s">
        <v>218</v>
      </c>
    </row>
    <row r="17" customFormat="false" ht="15" hidden="false" customHeight="true" outlineLevel="0" collapsed="false">
      <c r="A17" s="23" t="s">
        <v>219</v>
      </c>
      <c r="B17" s="24" t="n">
        <f aca="false">IF(B12&lt;0,-B12,0)</f>
        <v>0</v>
      </c>
      <c r="C17" s="24" t="n">
        <f aca="false">IF(C12&lt;0,-C12,0)</f>
        <v>0</v>
      </c>
      <c r="D17" s="24" t="n">
        <f aca="false">IF(D12&lt;0,-D12,0)</f>
        <v>0</v>
      </c>
      <c r="E17" s="3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</cols>
  <sheetData>
    <row r="1" customFormat="false" ht="17.25" hidden="false" customHeight="true" outlineLevel="0" collapsed="false">
      <c r="A1" s="2" t="s">
        <v>221</v>
      </c>
    </row>
    <row r="2" customFormat="false" ht="15" hidden="false" customHeight="true" outlineLevel="0" collapsed="false">
      <c r="A2" s="3" t="s">
        <v>222</v>
      </c>
    </row>
    <row r="4" customFormat="false" ht="15" hidden="false" customHeight="true" outlineLevel="0" collapsed="false">
      <c r="A4" s="7" t="s">
        <v>223</v>
      </c>
      <c r="B4" s="7" t="s">
        <v>72</v>
      </c>
      <c r="C4" s="7" t="s">
        <v>73</v>
      </c>
      <c r="D4" s="7" t="s">
        <v>74</v>
      </c>
    </row>
    <row r="5" customFormat="false" ht="15" hidden="false" customHeight="true" outlineLevel="0" collapsed="false">
      <c r="A5" s="4" t="s">
        <v>224</v>
      </c>
    </row>
    <row r="6" customFormat="false" ht="15" hidden="false" customHeight="true" outlineLevel="0" collapsed="false">
      <c r="A6" s="12" t="s">
        <v>225</v>
      </c>
      <c r="B6" s="35" t="n">
        <f aca="false">Revenus!B15</f>
        <v>87</v>
      </c>
      <c r="C6" s="35" t="n">
        <f aca="false">Revenus!C15</f>
        <v>391</v>
      </c>
      <c r="D6" s="35" t="n">
        <f aca="false">Revenus!D15</f>
        <v>1150</v>
      </c>
    </row>
    <row r="7" customFormat="false" ht="15" hidden="false" customHeight="true" outlineLevel="0" collapsed="false">
      <c r="A7" s="12" t="s">
        <v>226</v>
      </c>
      <c r="B7" s="25" t="n">
        <f aca="false">Revenus!B17</f>
        <v>75168</v>
      </c>
      <c r="C7" s="25" t="n">
        <f aca="false">Revenus!C17</f>
        <v>337824</v>
      </c>
      <c r="D7" s="25" t="n">
        <f aca="false">Revenus!D17</f>
        <v>993600</v>
      </c>
    </row>
    <row r="8" customFormat="false" ht="15" hidden="false" customHeight="true" outlineLevel="0" collapsed="false">
      <c r="A8" s="5" t="s">
        <v>227</v>
      </c>
      <c r="B8" s="20" t="n">
        <f aca="false">Revenus!B16</f>
        <v>6264</v>
      </c>
      <c r="C8" s="20" t="n">
        <f aca="false">Revenus!C16</f>
        <v>28152</v>
      </c>
      <c r="D8" s="20" t="n">
        <f aca="false">Revenus!D16</f>
        <v>82800</v>
      </c>
    </row>
    <row r="9" customFormat="false" ht="15" hidden="false" customHeight="true" outlineLevel="0" collapsed="false">
      <c r="A9" s="5" t="s">
        <v>228</v>
      </c>
      <c r="B9" s="20" t="n">
        <f aca="false">Revenus!B14</f>
        <v>42084</v>
      </c>
      <c r="C9" s="20" t="n">
        <f aca="false">Revenus!C14</f>
        <v>218376</v>
      </c>
      <c r="D9" s="20" t="n">
        <f aca="false">Revenus!D14</f>
        <v>665712</v>
      </c>
    </row>
    <row r="11" customFormat="false" ht="15" hidden="false" customHeight="true" outlineLevel="0" collapsed="false">
      <c r="A11" s="4" t="s">
        <v>229</v>
      </c>
    </row>
    <row r="12" customFormat="false" ht="15" hidden="false" customHeight="true" outlineLevel="0" collapsed="false">
      <c r="A12" s="5" t="s">
        <v>59</v>
      </c>
      <c r="B12" s="20" t="n">
        <f aca="false">Hypothèses!$D$9</f>
        <v>864</v>
      </c>
      <c r="C12" s="20" t="n">
        <f aca="false">Hypothèses!$D$9</f>
        <v>864</v>
      </c>
      <c r="D12" s="20" t="n">
        <f aca="false">Hypothèses!$D$9</f>
        <v>864</v>
      </c>
    </row>
    <row r="13" customFormat="false" ht="15" hidden="false" customHeight="true" outlineLevel="0" collapsed="false">
      <c r="A13" s="5" t="s">
        <v>230</v>
      </c>
      <c r="B13" s="20" t="n">
        <f aca="false">Hypothèses!B17</f>
        <v>50</v>
      </c>
      <c r="C13" s="20" t="n">
        <f aca="false">Hypothèses!C17</f>
        <v>40</v>
      </c>
      <c r="D13" s="20" t="n">
        <f aca="false">Hypothèses!D17</f>
        <v>30</v>
      </c>
    </row>
    <row r="14" customFormat="false" ht="15" hidden="false" customHeight="true" outlineLevel="0" collapsed="false">
      <c r="A14" s="5" t="s">
        <v>231</v>
      </c>
      <c r="B14" s="20" t="n">
        <f aca="false">Hypothèses!$D$9/(Hypothèses!B15*12)</f>
        <v>1200</v>
      </c>
      <c r="C14" s="20" t="n">
        <f aca="false">Hypothèses!$D$9/(Hypothèses!C15*12)</f>
        <v>1600</v>
      </c>
      <c r="D14" s="20" t="n">
        <f aca="false">Hypothèses!$D$9/(Hypothèses!D15*12)</f>
        <v>2400</v>
      </c>
    </row>
    <row r="15" customFormat="false" ht="15" hidden="false" customHeight="true" outlineLevel="0" collapsed="false">
      <c r="A15" s="28" t="s">
        <v>232</v>
      </c>
      <c r="B15" s="36" t="n">
        <f aca="false">B14/B13</f>
        <v>24</v>
      </c>
      <c r="C15" s="36" t="n">
        <f aca="false">C14/C13</f>
        <v>40</v>
      </c>
      <c r="D15" s="36" t="n">
        <f aca="false">D14/D13</f>
        <v>80</v>
      </c>
    </row>
    <row r="16" customFormat="false" ht="15" hidden="false" customHeight="true" outlineLevel="0" collapsed="false">
      <c r="A16" s="5" t="s">
        <v>233</v>
      </c>
      <c r="B16" s="37" t="n">
        <f aca="false">Hypothèses!B15</f>
        <v>0.06</v>
      </c>
      <c r="C16" s="37" t="n">
        <f aca="false">Hypothèses!C15</f>
        <v>0.045</v>
      </c>
      <c r="D16" s="37" t="n">
        <f aca="false">Hypothèses!D15</f>
        <v>0.03</v>
      </c>
    </row>
    <row r="17" customFormat="false" ht="15" hidden="false" customHeight="true" outlineLevel="0" collapsed="false">
      <c r="A17" s="5" t="s">
        <v>234</v>
      </c>
      <c r="B17" s="38" t="n">
        <f aca="false">Hypothèses!B17/(Hypothèses!$D$9/12)</f>
        <v>0.694444444444444</v>
      </c>
      <c r="C17" s="38" t="n">
        <f aca="false">Hypothèses!C17/(Hypothèses!$D$9/12)</f>
        <v>0.555555555555556</v>
      </c>
      <c r="D17" s="38" t="n">
        <f aca="false">Hypothèses!D17/(Hypothèses!$D$9/12)</f>
        <v>0.416666666666667</v>
      </c>
    </row>
    <row r="19" customFormat="false" ht="15" hidden="false" customHeight="true" outlineLevel="0" collapsed="false">
      <c r="A19" s="4" t="s">
        <v>235</v>
      </c>
    </row>
    <row r="20" customFormat="false" ht="15" hidden="false" customHeight="true" outlineLevel="0" collapsed="false">
      <c r="A20" s="5" t="s">
        <v>236</v>
      </c>
      <c r="B20" s="20" t="n">
        <f aca="false">'Coûts &amp; P&amp;L'!B26</f>
        <v>5941.73066666667</v>
      </c>
      <c r="C20" s="20" t="n">
        <f aca="false">'Coûts &amp; P&amp;L'!C26</f>
        <v>13354.2626666666</v>
      </c>
      <c r="D20" s="20" t="n">
        <f aca="false">'Coûts &amp; P&amp;L'!D26</f>
        <v>311206.352</v>
      </c>
    </row>
    <row r="21" customFormat="false" ht="15" hidden="false" customHeight="true" outlineLevel="0" collapsed="false">
      <c r="A21" s="5" t="s">
        <v>237</v>
      </c>
      <c r="B21" s="37" t="n">
        <f aca="false">'Coûts &amp; P&amp;L'!B27</f>
        <v>0.141187402971834</v>
      </c>
      <c r="C21" s="37" t="n">
        <f aca="false">'Coûts &amp; P&amp;L'!C27</f>
        <v>0.0611526113980778</v>
      </c>
      <c r="D21" s="37" t="n">
        <f aca="false">'Coûts &amp; P&amp;L'!D27</f>
        <v>0.467478957867666</v>
      </c>
    </row>
    <row r="22" customFormat="false" ht="15" hidden="false" customHeight="true" outlineLevel="0" collapsed="false">
      <c r="A22" s="28" t="s">
        <v>238</v>
      </c>
      <c r="B22" s="39" t="n">
        <f aca="false">Trésorerie!B12</f>
        <v>33941.7306666667</v>
      </c>
      <c r="C22" s="39" t="n">
        <f aca="false">Trésorerie!C12</f>
        <v>42295.9933333333</v>
      </c>
      <c r="D22" s="39" t="n">
        <f aca="false">Trésorerie!D12</f>
        <v>343502.345333333</v>
      </c>
    </row>
    <row r="23" customFormat="false" ht="15" hidden="false" customHeight="true" outlineLevel="0" collapsed="false">
      <c r="A23" s="5" t="s">
        <v>217</v>
      </c>
      <c r="B23" s="38" t="n">
        <f aca="false">Trésorerie!B16</f>
        <v>99</v>
      </c>
      <c r="C23" s="38" t="n">
        <f aca="false">Trésorerie!C16</f>
        <v>99</v>
      </c>
      <c r="D23" s="38" t="n">
        <f aca="false">Trésorerie!D16</f>
        <v>99</v>
      </c>
    </row>
    <row r="24" customFormat="false" ht="15" hidden="false" customHeight="true" outlineLevel="0" collapsed="false">
      <c r="A24" s="23" t="s">
        <v>239</v>
      </c>
      <c r="B24" s="40" t="n">
        <f aca="false">Trésorerie!B17</f>
        <v>0</v>
      </c>
      <c r="C24" s="40" t="n">
        <f aca="false">Trésorerie!C17</f>
        <v>0</v>
      </c>
      <c r="D24" s="40" t="n">
        <f aca="false">Trésorerie!D17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17.25" hidden="false" customHeight="true" outlineLevel="0" collapsed="false">
      <c r="A1" s="2" t="s">
        <v>240</v>
      </c>
    </row>
    <row r="4" customFormat="false" ht="15" hidden="false" customHeight="true" outlineLevel="0" collapsed="false">
      <c r="A4" s="4" t="s">
        <v>241</v>
      </c>
    </row>
    <row r="5" customFormat="false" ht="26.25" hidden="false" customHeight="true" outlineLevel="0" collapsed="false">
      <c r="A5" s="41" t="s">
        <v>242</v>
      </c>
    </row>
    <row r="7" customFormat="false" ht="15" hidden="false" customHeight="true" outlineLevel="0" collapsed="false">
      <c r="A7" s="4" t="s">
        <v>243</v>
      </c>
    </row>
    <row r="8" customFormat="false" ht="15" hidden="false" customHeight="true" outlineLevel="0" collapsed="false">
      <c r="A8" s="41" t="s">
        <v>244</v>
      </c>
    </row>
    <row r="9" customFormat="false" ht="15" hidden="false" customHeight="true" outlineLevel="0" collapsed="false">
      <c r="A9" s="41" t="s">
        <v>245</v>
      </c>
    </row>
    <row r="10" customFormat="false" ht="15" hidden="false" customHeight="true" outlineLevel="0" collapsed="false">
      <c r="A10" s="41" t="s">
        <v>246</v>
      </c>
    </row>
    <row r="11" customFormat="false" ht="15" hidden="false" customHeight="true" outlineLevel="0" collapsed="false">
      <c r="A11" s="41" t="s">
        <v>247</v>
      </c>
    </row>
    <row r="12" customFormat="false" ht="15" hidden="false" customHeight="true" outlineLevel="0" collapsed="false">
      <c r="A12" s="41" t="s">
        <v>248</v>
      </c>
    </row>
    <row r="13" customFormat="false" ht="15" hidden="false" customHeight="true" outlineLevel="0" collapsed="false">
      <c r="A13" s="41" t="s">
        <v>249</v>
      </c>
    </row>
    <row r="14" customFormat="false" ht="15" hidden="false" customHeight="true" outlineLevel="0" collapsed="false">
      <c r="A14" s="41" t="s">
        <v>250</v>
      </c>
    </row>
    <row r="16" customFormat="false" ht="15" hidden="false" customHeight="true" outlineLevel="0" collapsed="false">
      <c r="A16" s="4" t="s">
        <v>251</v>
      </c>
    </row>
    <row r="17" customFormat="false" ht="26.25" hidden="false" customHeight="true" outlineLevel="0" collapsed="false">
      <c r="A17" s="41" t="s">
        <v>252</v>
      </c>
    </row>
    <row r="18" customFormat="false" ht="15" hidden="false" customHeight="true" outlineLevel="0" collapsed="false">
      <c r="A18" s="41" t="s">
        <v>253</v>
      </c>
    </row>
    <row r="20" customFormat="false" ht="15" hidden="false" customHeight="true" outlineLevel="0" collapsed="false">
      <c r="A20" s="4" t="s">
        <v>254</v>
      </c>
    </row>
    <row r="21" customFormat="false" ht="15" hidden="false" customHeight="true" outlineLevel="0" collapsed="false">
      <c r="A21" s="41" t="s">
        <v>255</v>
      </c>
    </row>
    <row r="22" customFormat="false" ht="15" hidden="false" customHeight="true" outlineLevel="0" collapsed="false">
      <c r="A22" s="41" t="s">
        <v>256</v>
      </c>
    </row>
    <row r="23" customFormat="false" ht="15" hidden="false" customHeight="true" outlineLevel="0" collapsed="false">
      <c r="A23" s="41" t="s">
        <v>257</v>
      </c>
    </row>
    <row r="24" customFormat="false" ht="15" hidden="false" customHeight="true" outlineLevel="0" collapsed="false">
      <c r="A24" s="41" t="s">
        <v>258</v>
      </c>
    </row>
    <row r="25" customFormat="false" ht="15" hidden="false" customHeight="true" outlineLevel="0" collapsed="false">
      <c r="A25" s="41" t="s">
        <v>259</v>
      </c>
    </row>
    <row r="26" customFormat="false" ht="15" hidden="false" customHeight="true" outlineLevel="0" collapsed="false">
      <c r="A26" s="41" t="s">
        <v>260</v>
      </c>
    </row>
    <row r="27" customFormat="false" ht="15" hidden="false" customHeight="true" outlineLevel="0" collapsed="false">
      <c r="A27" s="41" t="s">
        <v>261</v>
      </c>
    </row>
    <row r="28" customFormat="false" ht="15" hidden="false" customHeight="true" outlineLevel="0" collapsed="false">
      <c r="A28" s="41" t="s">
        <v>262</v>
      </c>
    </row>
    <row r="30" customFormat="false" ht="15" hidden="false" customHeight="true" outlineLevel="0" collapsed="false">
      <c r="A30" s="4" t="s">
        <v>263</v>
      </c>
    </row>
    <row r="31" customFormat="false" ht="26.25" hidden="false" customHeight="true" outlineLevel="0" collapsed="false">
      <c r="A31" s="41" t="s">
        <v>264</v>
      </c>
    </row>
    <row r="32" customFormat="false" ht="26.25" hidden="false" customHeight="true" outlineLevel="0" collapsed="false">
      <c r="A32" s="41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2026-04-22T18:43:41Z</dcterms:created>
  <dc:creator>openpyxl</dc:creator>
  <dc:description/>
  <dc:language>en-US</dc:language>
  <cp:lastModifiedBy/>
  <dcterms:modified xsi:type="dcterms:W3CDTF">2026-04-22T18:44:10Z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