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stratégique" sheetId="1" state="visible" r:id="rId3"/>
    <sheet name="Hypotheses" sheetId="2" state="visible" r:id="rId4"/>
    <sheet name="Revenus" sheetId="3" state="visible" r:id="rId5"/>
    <sheet name="Couts &amp; P&amp;L" sheetId="4" state="visible" r:id="rId6"/>
    <sheet name="Tresorerie" sheetId="5" state="visible" r:id="rId7"/>
    <sheet name="KPIs" sheetId="6" state="visible" r:id="rId8"/>
    <sheet name="Mode d'emploi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<sst xmlns="http://schemas.openxmlformats.org/spreadsheetml/2006/main" count="227" uniqueCount="194">
  <si>
    <t xml:space="preserve">BUSINESS PLAN SEED — MODÈLE SERVICES / PRESTATIONS</t>
  </si>
  <si>
    <t xml:space="preserve">Template FounderAI. Cellules jaunes a remplir (exemples gris a ecraser)</t>
  </si>
  <si>
    <t xml:space="preserve">IDENTITE DU PROJET</t>
  </si>
  <si>
    <t xml:space="preserve">Nom de la startup</t>
  </si>
  <si>
    <t xml:space="preserve">DataPilot Consulting</t>
  </si>
  <si>
    <t xml:space="preserve">Secteur</t>
  </si>
  <si>
    <t xml:space="preserve">Conseil en data &amp; IA pour PME</t>
  </si>
  <si>
    <t xml:space="preserve">Date de creation</t>
  </si>
  <si>
    <t xml:space="preserve">Fevrier 2026</t>
  </si>
  <si>
    <t xml:space="preserve">Fondateur(s)</t>
  </si>
  <si>
    <t xml:space="preserve">Karim Belkadi (CEO), Julie Chen (Lead Data)</t>
  </si>
  <si>
    <t xml:space="preserve">Localisation</t>
  </si>
  <si>
    <t xml:space="preserve">Bordeaux, France</t>
  </si>
  <si>
    <t xml:space="preserve">Stade actuel</t>
  </si>
  <si>
    <t xml:space="preserve">3 missions realisees, 2 clients recurrents</t>
  </si>
  <si>
    <t xml:space="preserve">PROBLEME &amp; SOLUTION</t>
  </si>
  <si>
    <t xml:space="preserve">Probleme resolu</t>
  </si>
  <si>
    <t xml:space="preserve">Les PME industrielles n'exploitent pas leurs donnees car les cabinets de conseil data sont trop chers (1 500 euro/j) et inadaptes</t>
  </si>
  <si>
    <t xml:space="preserve">Solution proposee</t>
  </si>
  <si>
    <t xml:space="preserve">Missions de conseil data clé en main pour PME : audit, dashboarding, IA predictive, a partir de 800 euro/jour</t>
  </si>
  <si>
    <t xml:space="preserve">Proposition de valeur</t>
  </si>
  <si>
    <t xml:space="preserve">Prix 2x inferieur aux grands cabinets, specialisation PME industrielles, livrables operationnels en 4 semaines</t>
  </si>
  <si>
    <t xml:space="preserve">MARCHE &amp; MODELE</t>
  </si>
  <si>
    <t xml:space="preserve">TAM</t>
  </si>
  <si>
    <t xml:space="preserve">8 Mds euro - Conseil en data &amp; IA en Europe</t>
  </si>
  <si>
    <t xml:space="preserve">SAM</t>
  </si>
  <si>
    <t xml:space="preserve">600 M euro - PME industrielles francaises</t>
  </si>
  <si>
    <t xml:space="preserve">SOM (3 ans)</t>
  </si>
  <si>
    <t xml:space="preserve">1,5 M euro - 120 missions/an a 12K euro de panier moyen</t>
  </si>
  <si>
    <t xml:space="preserve">Client ideal</t>
  </si>
  <si>
    <t xml:space="preserve">DAF ou DG de PME industrielle, 50-500 salaries, Nouvelle-Aquitaine puis France</t>
  </si>
  <si>
    <t xml:space="preserve">Qui achete</t>
  </si>
  <si>
    <t xml:space="preserve">Type de prestation</t>
  </si>
  <si>
    <t xml:space="preserve">Missions au forfait (80%) + regie/TJM (20%)</t>
  </si>
  <si>
    <t xml:space="preserve">Forfait / Regie / Mixte</t>
  </si>
  <si>
    <t xml:space="preserve">MILESTONES 18 MOIS</t>
  </si>
  <si>
    <t xml:space="preserve">M1-M3</t>
  </si>
  <si>
    <t xml:space="preserve">5 missions realisees, 40K euro CA, process standardises</t>
  </si>
  <si>
    <t xml:space="preserve">M4-M6</t>
  </si>
  <si>
    <t xml:space="preserve">10 missions, 90K euro CA cumulé, 1er recrutement consultant</t>
  </si>
  <si>
    <t xml:space="preserve">M7-M12</t>
  </si>
  <si>
    <t xml:space="preserve">30 missions, 300K euro CA, 2 consultants, offres packagées</t>
  </si>
  <si>
    <t xml:space="preserve">M13-M18</t>
  </si>
  <si>
    <t xml:space="preserve">60 missions, 700K euro CA cumulé, 3 consultants, recurrence 40%</t>
  </si>
  <si>
    <t xml:space="preserve">HYPOTHESES — MODELE SERVICES</t>
  </si>
  <si>
    <t xml:space="preserve">Cellules jaunes = vos hypotheses. Le reste se calcule automatiquement.</t>
  </si>
  <si>
    <t xml:space="preserve">CAPACITE &amp; TARIFICATION</t>
  </si>
  <si>
    <t xml:space="preserve">Annee 1</t>
  </si>
  <si>
    <t xml:space="preserve">Annee 2</t>
  </si>
  <si>
    <t xml:space="preserve">Annee 3</t>
  </si>
  <si>
    <t xml:space="preserve">Notes</t>
  </si>
  <si>
    <t xml:space="preserve">Consultants (ETP)</t>
  </si>
  <si>
    <t xml:space="preserve">Fondateurs + recrutes</t>
  </si>
  <si>
    <t xml:space="preserve">Jours ouvrables / an / consultant</t>
  </si>
  <si>
    <t xml:space="preserve">365 - WE - conges - feries</t>
  </si>
  <si>
    <t xml:space="preserve">Taux d'occupation cible</t>
  </si>
  <si>
    <t xml:space="preserve">% du temps facturable</t>
  </si>
  <si>
    <t xml:space="preserve">Jours facturables / an (calcule)</t>
  </si>
  <si>
    <t xml:space="preserve">TJM moyen (euro HT)</t>
  </si>
  <si>
    <t xml:space="preserve">Taux journalier moyen</t>
  </si>
  <si>
    <t xml:space="preserve">Panier moyen mission (euro)</t>
  </si>
  <si>
    <t xml:space="preserve">TJM x jours/mission</t>
  </si>
  <si>
    <t xml:space="preserve">Duree moyenne mission (jours)</t>
  </si>
  <si>
    <t xml:space="preserve">Missions / an (calcule)</t>
  </si>
  <si>
    <t xml:space="preserve">Taux de recurrence clients</t>
  </si>
  <si>
    <t xml:space="preserve">% clients qui reviennent</t>
  </si>
  <si>
    <t xml:space="preserve">ACQUISITION CLIENTS</t>
  </si>
  <si>
    <t xml:space="preserve">Nouveaux clients / an</t>
  </si>
  <si>
    <t xml:space="preserve">Hors recurrence</t>
  </si>
  <si>
    <t xml:space="preserve">Cout acquisition client (CAC) euro</t>
  </si>
  <si>
    <t xml:space="preserve">Temps + marketing</t>
  </si>
  <si>
    <t xml:space="preserve">Clients actifs fin d'annee (calcule)</t>
  </si>
  <si>
    <t xml:space="preserve">COUTS VARIABLES</t>
  </si>
  <si>
    <t xml:space="preserve">Poste</t>
  </si>
  <si>
    <t xml:space="preserve">% du CA ou euro/mission</t>
  </si>
  <si>
    <t xml:space="preserve">Sous-traitance / freelances (% CA)</t>
  </si>
  <si>
    <t xml:space="preserve">Missions sous-traitees</t>
  </si>
  <si>
    <t xml:space="preserve">Deplacements (euro/mission)</t>
  </si>
  <si>
    <t xml:space="preserve">Transport, hebergement</t>
  </si>
  <si>
    <t xml:space="preserve">Outils &amp; licences projet (euro/mission)</t>
  </si>
  <si>
    <t xml:space="preserve">Licences temporaires</t>
  </si>
  <si>
    <t xml:space="preserve">Frais de paiement (% CA)</t>
  </si>
  <si>
    <t xml:space="preserve">Virement / prelevement</t>
  </si>
  <si>
    <t xml:space="preserve">COUTS FIXES MENSUELS</t>
  </si>
  <si>
    <t xml:space="preserve">Annee 1 /mois</t>
  </si>
  <si>
    <t xml:space="preserve">Annee 2 /mois</t>
  </si>
  <si>
    <t xml:space="preserve">Annee 3 /mois</t>
  </si>
  <si>
    <t xml:space="preserve">Loyer / coworking</t>
  </si>
  <si>
    <t xml:space="preserve">Abonnements outils</t>
  </si>
  <si>
    <t xml:space="preserve">CRM, analytics, compta</t>
  </si>
  <si>
    <t xml:space="preserve">Comptabilite / juridique</t>
  </si>
  <si>
    <t xml:space="preserve">Marketing &amp; reseau</t>
  </si>
  <si>
    <t xml:space="preserve">Events, LinkedIn, contenu</t>
  </si>
  <si>
    <t xml:space="preserve">Assurances RC Pro</t>
  </si>
  <si>
    <t xml:space="preserve">Obligatoire en conseil</t>
  </si>
  <si>
    <t xml:space="preserve">Divers</t>
  </si>
  <si>
    <t xml:space="preserve">Total OPEX / an</t>
  </si>
  <si>
    <t xml:space="preserve">EQUIPE &amp; SALAIRES</t>
  </si>
  <si>
    <t xml:space="preserve">Mois entree</t>
  </si>
  <si>
    <t xml:space="preserve">Brut/an (euro)</t>
  </si>
  <si>
    <t xml:space="preserve">Fondateur 1</t>
  </si>
  <si>
    <t xml:space="preserve">Pas de salaire Y1</t>
  </si>
  <si>
    <t xml:space="preserve">Fondateur 2 / Associe</t>
  </si>
  <si>
    <t xml:space="preserve">Consultant junior 1</t>
  </si>
  <si>
    <t xml:space="preserve">Consultant junior 2</t>
  </si>
  <si>
    <t xml:space="preserve">Office manager / admin</t>
  </si>
  <si>
    <t xml:space="preserve">Fondateur 1 (salaire)</t>
  </si>
  <si>
    <t xml:space="preserve">Consultant senior</t>
  </si>
  <si>
    <t xml:space="preserve">Taux charges patronales</t>
  </si>
  <si>
    <t xml:space="preserve">Masse salariale chargee / an</t>
  </si>
  <si>
    <t xml:space="preserve">FINANCEMENT</t>
  </si>
  <si>
    <t xml:space="preserve">Source</t>
  </si>
  <si>
    <t xml:space="preserve">Montant (euro)</t>
  </si>
  <si>
    <t xml:space="preserve">Mois</t>
  </si>
  <si>
    <t xml:space="preserve">Apport fondateurs</t>
  </si>
  <si>
    <t xml:space="preserve">Subvention / aide</t>
  </si>
  <si>
    <t xml:space="preserve">Pret honneur</t>
  </si>
  <si>
    <t xml:space="preserve">Levee Seed</t>
  </si>
  <si>
    <t xml:space="preserve">Total financement</t>
  </si>
  <si>
    <t xml:space="preserve">PROJECTIONS DE REVENUS — SERVICES</t>
  </si>
  <si>
    <t xml:space="preserve">PRESTATIONS AU FORFAIT</t>
  </si>
  <si>
    <t xml:space="preserve">Missions (nombre)</t>
  </si>
  <si>
    <t xml:space="preserve">80% du total</t>
  </si>
  <si>
    <t xml:space="preserve">Panier moyen forfait (euro)</t>
  </si>
  <si>
    <t xml:space="preserve">CA Forfait</t>
  </si>
  <si>
    <t xml:space="preserve">PRESTATIONS EN REGIE (TJM)</t>
  </si>
  <si>
    <t xml:space="preserve">Jours en regie</t>
  </si>
  <si>
    <t xml:space="preserve">20% du temps facturable</t>
  </si>
  <si>
    <t xml:space="preserve">TJM moyen (euro)</t>
  </si>
  <si>
    <t xml:space="preserve">CA Regie</t>
  </si>
  <si>
    <t xml:space="preserve">CA TOTAL</t>
  </si>
  <si>
    <t xml:space="preserve">RECAPITULATIF</t>
  </si>
  <si>
    <t xml:space="preserve">CA / consultant / an (euro)</t>
  </si>
  <si>
    <t xml:space="preserve">Croissance CA (%)</t>
  </si>
  <si>
    <t xml:space="preserve">COUTS &amp; COMPTE DE RESULTAT</t>
  </si>
  <si>
    <t xml:space="preserve">Sous-traitance</t>
  </si>
  <si>
    <t xml:space="preserve">% CA</t>
  </si>
  <si>
    <t xml:space="preserve">Deplacements</t>
  </si>
  <si>
    <t xml:space="preserve">Outils &amp; licences projet</t>
  </si>
  <si>
    <t xml:space="preserve">Frais de paiement</t>
  </si>
  <si>
    <t xml:space="preserve">Total couts variables</t>
  </si>
  <si>
    <t xml:space="preserve">COUTS FIXES &amp; SALAIRES</t>
  </si>
  <si>
    <t xml:space="preserve">OPEX annuel</t>
  </si>
  <si>
    <t xml:space="preserve">Masse salariale chargee</t>
  </si>
  <si>
    <t xml:space="preserve">Total couts fixes + salaires</t>
  </si>
  <si>
    <t xml:space="preserve">COMPTE DE RESULTAT</t>
  </si>
  <si>
    <t xml:space="preserve">Chiffre d'affaires</t>
  </si>
  <si>
    <t xml:space="preserve">Couts variables</t>
  </si>
  <si>
    <t xml:space="preserve">Marge brute</t>
  </si>
  <si>
    <t xml:space="preserve">% Marge brute</t>
  </si>
  <si>
    <t xml:space="preserve">Couts fixes + salaires</t>
  </si>
  <si>
    <t xml:space="preserve">EBITDA</t>
  </si>
  <si>
    <t xml:space="preserve">% Marge EBITDA</t>
  </si>
  <si>
    <t xml:space="preserve">PLAN DE TRESORERIE</t>
  </si>
  <si>
    <t xml:space="preserve">Tresorerie debut</t>
  </si>
  <si>
    <t xml:space="preserve">Encaissements</t>
  </si>
  <si>
    <t xml:space="preserve">Decaissements</t>
  </si>
  <si>
    <t xml:space="preserve">CAPEX</t>
  </si>
  <si>
    <t xml:space="preserve">Apports financement</t>
  </si>
  <si>
    <t xml:space="preserve">Flux net</t>
  </si>
  <si>
    <t xml:space="preserve">Tresorerie fin</t>
  </si>
  <si>
    <t xml:space="preserve">METRIQUES</t>
  </si>
  <si>
    <t xml:space="preserve">Burn rate mensuel</t>
  </si>
  <si>
    <t xml:space="preserve">Runway (mois)</t>
  </si>
  <si>
    <t xml:space="preserve">Besoin financement</t>
  </si>
  <si>
    <t xml:space="preserve">KPIs — SERVICES / PRESTATIONS</t>
  </si>
  <si>
    <t xml:space="preserve">INDICATEUR</t>
  </si>
  <si>
    <t xml:space="preserve">ACTIVITE</t>
  </si>
  <si>
    <t xml:space="preserve">CA total (euro)</t>
  </si>
  <si>
    <t xml:space="preserve">Missions realisees</t>
  </si>
  <si>
    <t xml:space="preserve">Clients actifs</t>
  </si>
  <si>
    <t xml:space="preserve">Taux recurrence</t>
  </si>
  <si>
    <t xml:space="preserve">CA / consultant / an</t>
  </si>
  <si>
    <t xml:space="preserve">PRODUCTIVITE</t>
  </si>
  <si>
    <t xml:space="preserve">Taux d'occupation</t>
  </si>
  <si>
    <t xml:space="preserve">Jours factures / an</t>
  </si>
  <si>
    <t xml:space="preserve">RENTABILITE</t>
  </si>
  <si>
    <t xml:space="preserve">Marge brute (%)</t>
  </si>
  <si>
    <t xml:space="preserve">EBITDA (euro)</t>
  </si>
  <si>
    <t xml:space="preserve">Marge EBITDA</t>
  </si>
  <si>
    <t xml:space="preserve">Tresorerie (euro)</t>
  </si>
  <si>
    <t xml:space="preserve">CAC (euro)</t>
  </si>
  <si>
    <t xml:space="preserve">MODE D'EMPLOI — BP SERVICES / PRESTATIONS</t>
  </si>
  <si>
    <t xml:space="preserve">Ce template est adapte aux startups de services : conseil, agence, formation, prestations techniques...</t>
  </si>
  <si>
    <t xml:space="preserve">ETAPE 1 : Decrivez votre projet dans l'onglet Plan strategique</t>
  </si>
  <si>
    <t xml:space="preserve">ETAPE 2 : Remplissez l'onglet Hypotheses (cellules jaunes) :</t>
  </si>
  <si>
    <t xml:space="preserve">  - CAPACITE : nombre de consultants, taux d'occupation, TJM</t>
  </si>
  <si>
    <t xml:space="preserve">  - MISSIONS : panier moyen, duree, repartition forfait/regie</t>
  </si>
  <si>
    <t xml:space="preserve">  - ACQUISITION : nouveaux clients/an, cout d'acquisition</t>
  </si>
  <si>
    <t xml:space="preserve">  - COUTS : sous-traitance, deplacements, OPEX, equipe</t>
  </si>
  <si>
    <t xml:space="preserve">  - FINANCEMENT : apports, subventions, levee</t>
  </si>
  <si>
    <t xml:space="preserve">ETAPE 3 : Verifiez les resultats dans Revenus, Couts, Tresorerie, KPIs</t>
  </si>
  <si>
    <t xml:space="preserve">CONVENTIONS : Jaune = a remplir | Gris italique = exemple | Vert = resultat cle | Orange = a surveiller | Rouge = alerte</t>
  </si>
  <si>
    <t xml:space="preserve">Astuce : demandez a Sam (Agent Finance FounderAI) de valider vos hypotheses de TJM et taux d'occupation !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</si>
</sst>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#,##0;\(#,##0\);\-"/>
    <numFmt numFmtId="167" formatCode="0.0%"/>
    <numFmt numFmtId="168" formatCode="#,##0&quot; €&quot;;\(#,##0&quot; €)&quot;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i val="true"/>
      <sz val="10"/>
      <color rgb="FF94A3B8"/>
      <name val="Arial"/>
      <family val="0"/>
      <charset val="1"/>
    </font>
    <font>
      <b val="true"/>
      <sz val="12"/>
      <color rgb="FF6C63FF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i val="true"/>
      <sz val="11"/>
      <color rgb="FF9CA3A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475569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059669"/>
      <name val="Arial"/>
      <family val="0"/>
      <charset val="1"/>
    </font>
    <font>
      <sz val="11"/>
      <color rgb="FF2D2D3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EF9C3"/>
        <bgColor rgb="FFFFFBEB"/>
      </patternFill>
    </fill>
    <fill>
      <patternFill patternType="solid">
        <fgColor rgb="FF6C63FF"/>
        <bgColor rgb="FF808080"/>
      </patternFill>
    </fill>
    <fill>
      <patternFill patternType="solid">
        <fgColor rgb="FFECFDF5"/>
        <bgColor rgb="FFEFF6FF"/>
      </patternFill>
    </fill>
    <fill>
      <patternFill patternType="solid">
        <fgColor rgb="FFFEF2F2"/>
        <bgColor rgb="FFFFFBEB"/>
      </patternFill>
    </fill>
    <fill>
      <patternFill patternType="solid">
        <fgColor rgb="FFEFF6FF"/>
        <bgColor rgb="FFECFDF5"/>
      </patternFill>
    </fill>
    <fill>
      <patternFill patternType="solid">
        <fgColor rgb="FFFFFBE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4A3B8"/>
      <rgbColor rgb="FF993366"/>
      <rgbColor rgb="FFFEF9C3"/>
      <rgbColor rgb="FFECF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FEF2F2"/>
      <rgbColor rgb="FFFFFBEB"/>
      <rgbColor rgb="FF99CCFF"/>
      <rgbColor rgb="FFFF99CC"/>
      <rgbColor rgb="FFCC99FF"/>
      <rgbColor rgb="FFFFCC99"/>
      <rgbColor rgb="FF6C63FF"/>
      <rgbColor rgb="FF33CCCC"/>
      <rgbColor rgb="FF99CC00"/>
      <rgbColor rgb="FFFFCC00"/>
      <rgbColor rgb="FFFF9900"/>
      <rgbColor rgb="FFFF6600"/>
      <rgbColor rgb="FF475569"/>
      <rgbColor rgb="FF9CA3AF"/>
      <rgbColor rgb="FF1E293B"/>
      <rgbColor rgb="FF339966"/>
      <rgbColor rgb="FF003300"/>
      <rgbColor rgb="FF1A1A2E"/>
      <rgbColor rgb="FF993300"/>
      <rgbColor rgb="FF993366"/>
      <rgbColor rgb="FF333399"/>
      <rgbColor rgb="FF2D2D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5"/>
    <col collapsed="false" customWidth="true" hidden="false" outlineLevel="0" max="3" min="3" style="0" width="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2" customFormat="false" ht="15" hidden="false" customHeight="false" outlineLevel="0" collapsed="false">
      <c r="A12" s="3" t="s">
        <v>15</v>
      </c>
    </row>
    <row r="13" customFormat="false" ht="15" hidden="false" customHeight="false" outlineLevel="0" collapsed="false">
      <c r="A13" s="4" t="s">
        <v>16</v>
      </c>
      <c r="B13" s="5" t="s">
        <v>17</v>
      </c>
    </row>
    <row r="14" customFormat="false" ht="15" hidden="false" customHeight="false" outlineLevel="0" collapsed="false">
      <c r="A14" s="4" t="s">
        <v>18</v>
      </c>
      <c r="B14" s="5" t="s">
        <v>19</v>
      </c>
    </row>
    <row r="15" customFormat="false" ht="15" hidden="false" customHeight="false" outlineLevel="0" collapsed="false">
      <c r="A15" s="4" t="s">
        <v>20</v>
      </c>
      <c r="B15" s="5" t="s">
        <v>21</v>
      </c>
    </row>
    <row r="17" customFormat="false" ht="15" hidden="false" customHeight="false" outlineLevel="0" collapsed="false">
      <c r="A17" s="3" t="s">
        <v>22</v>
      </c>
    </row>
    <row r="18" customFormat="false" ht="15" hidden="false" customHeight="false" outlineLevel="0" collapsed="false">
      <c r="A18" s="4" t="s">
        <v>23</v>
      </c>
      <c r="B18" s="5" t="s">
        <v>24</v>
      </c>
    </row>
    <row r="19" customFormat="false" ht="15" hidden="false" customHeight="false" outlineLevel="0" collapsed="false">
      <c r="A19" s="4" t="s">
        <v>25</v>
      </c>
      <c r="B19" s="5" t="s">
        <v>26</v>
      </c>
    </row>
    <row r="20" customFormat="false" ht="15" hidden="false" customHeight="false" outlineLevel="0" collapsed="false">
      <c r="A20" s="4" t="s">
        <v>27</v>
      </c>
      <c r="B20" s="5" t="s">
        <v>28</v>
      </c>
    </row>
    <row r="21" customFormat="false" ht="15" hidden="false" customHeight="false" outlineLevel="0" collapsed="false">
      <c r="A21" s="4" t="s">
        <v>29</v>
      </c>
      <c r="B21" s="5" t="s">
        <v>30</v>
      </c>
      <c r="C21" s="2" t="s">
        <v>31</v>
      </c>
    </row>
    <row r="22" customFormat="false" ht="15" hidden="false" customHeight="false" outlineLevel="0" collapsed="false">
      <c r="A22" s="4" t="s">
        <v>32</v>
      </c>
      <c r="B22" s="5" t="s">
        <v>33</v>
      </c>
      <c r="C22" s="2" t="s">
        <v>34</v>
      </c>
    </row>
    <row r="24" customFormat="false" ht="15" hidden="false" customHeight="false" outlineLevel="0" collapsed="false">
      <c r="A24" s="3" t="s">
        <v>35</v>
      </c>
    </row>
    <row r="25" customFormat="false" ht="15" hidden="false" customHeight="false" outlineLevel="0" collapsed="false">
      <c r="A25" s="4" t="s">
        <v>36</v>
      </c>
      <c r="B25" s="5" t="s">
        <v>37</v>
      </c>
    </row>
    <row r="26" customFormat="false" ht="15" hidden="false" customHeight="false" outlineLevel="0" collapsed="false">
      <c r="A26" s="4" t="s">
        <v>38</v>
      </c>
      <c r="B26" s="5" t="s">
        <v>39</v>
      </c>
    </row>
    <row r="27" customFormat="false" ht="15" hidden="false" customHeight="false" outlineLevel="0" collapsed="false">
      <c r="A27" s="4" t="s">
        <v>40</v>
      </c>
      <c r="B27" s="5" t="s">
        <v>41</v>
      </c>
    </row>
    <row r="28" customFormat="false" ht="15" hidden="false" customHeight="false" outlineLevel="0" collapsed="false">
      <c r="A28" s="4" t="s">
        <v>42</v>
      </c>
      <c r="B28" s="5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  <col collapsed="false" customWidth="true" hidden="false" outlineLevel="0" max="5" min="5" style="0" width="25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15" hidden="false" customHeight="false" outlineLevel="0" collapsed="false">
      <c r="A4" s="3" t="s">
        <v>46</v>
      </c>
    </row>
    <row r="5" customFormat="false" ht="15" hidden="false" customHeight="false" outlineLevel="0" collapsed="false">
      <c r="A5" s="6"/>
      <c r="B5" s="6" t="s">
        <v>47</v>
      </c>
      <c r="C5" s="6" t="s">
        <v>48</v>
      </c>
      <c r="D5" s="6" t="s">
        <v>49</v>
      </c>
      <c r="E5" s="6" t="s">
        <v>50</v>
      </c>
    </row>
    <row r="6" customFormat="false" ht="15" hidden="false" customHeight="false" outlineLevel="0" collapsed="false">
      <c r="A6" s="7" t="s">
        <v>51</v>
      </c>
      <c r="B6" s="8" t="n">
        <v>1.5</v>
      </c>
      <c r="C6" s="8" t="n">
        <v>3</v>
      </c>
      <c r="D6" s="8" t="n">
        <v>5</v>
      </c>
      <c r="E6" s="2" t="s">
        <v>52</v>
      </c>
    </row>
    <row r="7" customFormat="false" ht="15" hidden="false" customHeight="false" outlineLevel="0" collapsed="false">
      <c r="A7" s="7" t="s">
        <v>53</v>
      </c>
      <c r="B7" s="9" t="n">
        <v>218</v>
      </c>
      <c r="C7" s="9" t="n">
        <v>218</v>
      </c>
      <c r="D7" s="9" t="n">
        <v>218</v>
      </c>
      <c r="E7" s="2" t="s">
        <v>54</v>
      </c>
    </row>
    <row r="8" customFormat="false" ht="15" hidden="false" customHeight="false" outlineLevel="0" collapsed="false">
      <c r="A8" s="7" t="s">
        <v>55</v>
      </c>
      <c r="B8" s="10" t="n">
        <v>0.6</v>
      </c>
      <c r="C8" s="10" t="n">
        <v>0.7</v>
      </c>
      <c r="D8" s="10" t="n">
        <v>0.75</v>
      </c>
      <c r="E8" s="2" t="s">
        <v>56</v>
      </c>
    </row>
    <row r="9" customFormat="false" ht="15" hidden="false" customHeight="false" outlineLevel="0" collapsed="false">
      <c r="A9" s="11" t="s">
        <v>57</v>
      </c>
      <c r="B9" s="12" t="n">
        <f aca="false">ROUND(B6*B7*B8,0)</f>
        <v>196</v>
      </c>
      <c r="C9" s="12" t="n">
        <f aca="false">ROUND(C6*C7*C8,0)</f>
        <v>458</v>
      </c>
      <c r="D9" s="12" t="n">
        <f aca="false">ROUND(D6*D7*D8,0)</f>
        <v>818</v>
      </c>
      <c r="E9" s="2"/>
    </row>
    <row r="10" customFormat="false" ht="15" hidden="false" customHeight="false" outlineLevel="0" collapsed="false">
      <c r="A10" s="7" t="s">
        <v>58</v>
      </c>
      <c r="B10" s="13" t="n">
        <v>800</v>
      </c>
      <c r="C10" s="13" t="n">
        <v>850</v>
      </c>
      <c r="D10" s="13" t="n">
        <v>900</v>
      </c>
      <c r="E10" s="2" t="s">
        <v>59</v>
      </c>
    </row>
    <row r="11" customFormat="false" ht="15" hidden="false" customHeight="false" outlineLevel="0" collapsed="false">
      <c r="A11" s="7" t="s">
        <v>60</v>
      </c>
      <c r="B11" s="13" t="n">
        <v>8000</v>
      </c>
      <c r="C11" s="13" t="n">
        <v>10000</v>
      </c>
      <c r="D11" s="13" t="n">
        <v>12000</v>
      </c>
      <c r="E11" s="2" t="s">
        <v>61</v>
      </c>
    </row>
    <row r="12" customFormat="false" ht="15" hidden="false" customHeight="false" outlineLevel="0" collapsed="false">
      <c r="A12" s="7" t="s">
        <v>62</v>
      </c>
      <c r="B12" s="9" t="n">
        <v>10</v>
      </c>
      <c r="C12" s="9" t="n">
        <v>12</v>
      </c>
      <c r="D12" s="9" t="n">
        <v>13</v>
      </c>
      <c r="E12" s="2"/>
    </row>
    <row r="13" customFormat="false" ht="15" hidden="false" customHeight="false" outlineLevel="0" collapsed="false">
      <c r="A13" s="11" t="s">
        <v>63</v>
      </c>
      <c r="B13" s="12" t="n">
        <f aca="false">ROUND(B9/B12,0)</f>
        <v>20</v>
      </c>
      <c r="C13" s="12" t="n">
        <f aca="false">ROUND(C9/C12,0)</f>
        <v>38</v>
      </c>
      <c r="D13" s="12" t="n">
        <f aca="false">ROUND(D9/D12,0)</f>
        <v>63</v>
      </c>
      <c r="E13" s="2"/>
    </row>
    <row r="14" customFormat="false" ht="15" hidden="false" customHeight="false" outlineLevel="0" collapsed="false">
      <c r="A14" s="7" t="s">
        <v>64</v>
      </c>
      <c r="B14" s="10" t="n">
        <v>0.25</v>
      </c>
      <c r="C14" s="10" t="n">
        <v>0.35</v>
      </c>
      <c r="D14" s="10" t="n">
        <v>0.45</v>
      </c>
      <c r="E14" s="2" t="s">
        <v>65</v>
      </c>
    </row>
    <row r="16" customFormat="false" ht="15" hidden="false" customHeight="false" outlineLevel="0" collapsed="false">
      <c r="A16" s="3" t="s">
        <v>66</v>
      </c>
    </row>
    <row r="17" customFormat="false" ht="15" hidden="false" customHeight="false" outlineLevel="0" collapsed="false">
      <c r="A17" s="6"/>
      <c r="B17" s="6" t="s">
        <v>47</v>
      </c>
      <c r="C17" s="6" t="s">
        <v>48</v>
      </c>
      <c r="D17" s="6" t="s">
        <v>49</v>
      </c>
      <c r="E17" s="6" t="s">
        <v>50</v>
      </c>
    </row>
    <row r="18" customFormat="false" ht="15" hidden="false" customHeight="false" outlineLevel="0" collapsed="false">
      <c r="A18" s="7" t="s">
        <v>67</v>
      </c>
      <c r="B18" s="9" t="n">
        <v>10</v>
      </c>
      <c r="C18" s="9" t="n">
        <v>25</v>
      </c>
      <c r="D18" s="9" t="n">
        <v>45</v>
      </c>
      <c r="E18" s="2" t="s">
        <v>68</v>
      </c>
    </row>
    <row r="19" customFormat="false" ht="15" hidden="false" customHeight="false" outlineLevel="0" collapsed="false">
      <c r="A19" s="7" t="s">
        <v>69</v>
      </c>
      <c r="B19" s="13" t="n">
        <v>200</v>
      </c>
      <c r="C19" s="13" t="n">
        <v>150</v>
      </c>
      <c r="D19" s="13" t="n">
        <v>120</v>
      </c>
      <c r="E19" s="2" t="s">
        <v>70</v>
      </c>
    </row>
    <row r="20" customFormat="false" ht="15" hidden="false" customHeight="false" outlineLevel="0" collapsed="false">
      <c r="A20" s="11" t="s">
        <v>71</v>
      </c>
      <c r="B20" s="12" t="n">
        <f aca="false">B18</f>
        <v>10</v>
      </c>
      <c r="C20" s="12" t="n">
        <f aca="false">ROUND(B20*C14+C18,0)</f>
        <v>29</v>
      </c>
      <c r="D20" s="12" t="n">
        <f aca="false">ROUND(C20*D14+D18,0)</f>
        <v>58</v>
      </c>
      <c r="E20" s="2"/>
    </row>
    <row r="22" customFormat="false" ht="15" hidden="false" customHeight="false" outlineLevel="0" collapsed="false">
      <c r="A22" s="3" t="s">
        <v>72</v>
      </c>
    </row>
    <row r="23" customFormat="false" ht="26.85" hidden="false" customHeight="false" outlineLevel="0" collapsed="false">
      <c r="A23" s="6" t="s">
        <v>73</v>
      </c>
      <c r="B23" s="6" t="s">
        <v>74</v>
      </c>
      <c r="C23" s="6"/>
      <c r="D23" s="6"/>
      <c r="E23" s="6" t="s">
        <v>50</v>
      </c>
    </row>
    <row r="24" customFormat="false" ht="15" hidden="false" customHeight="false" outlineLevel="0" collapsed="false">
      <c r="A24" s="7" t="s">
        <v>75</v>
      </c>
      <c r="B24" s="10" t="n">
        <v>0.15</v>
      </c>
      <c r="E24" s="2" t="s">
        <v>76</v>
      </c>
    </row>
    <row r="25" customFormat="false" ht="15" hidden="false" customHeight="false" outlineLevel="0" collapsed="false">
      <c r="A25" s="7" t="s">
        <v>77</v>
      </c>
      <c r="B25" s="13" t="n">
        <v>150</v>
      </c>
      <c r="E25" s="2" t="s">
        <v>78</v>
      </c>
    </row>
    <row r="26" customFormat="false" ht="15" hidden="false" customHeight="false" outlineLevel="0" collapsed="false">
      <c r="A26" s="7" t="s">
        <v>79</v>
      </c>
      <c r="B26" s="13" t="n">
        <v>50</v>
      </c>
      <c r="E26" s="2" t="s">
        <v>80</v>
      </c>
    </row>
    <row r="27" customFormat="false" ht="15" hidden="false" customHeight="false" outlineLevel="0" collapsed="false">
      <c r="A27" s="7" t="s">
        <v>81</v>
      </c>
      <c r="B27" s="10" t="n">
        <v>0.015</v>
      </c>
      <c r="E27" s="2" t="s">
        <v>82</v>
      </c>
    </row>
    <row r="29" customFormat="false" ht="15" hidden="false" customHeight="false" outlineLevel="0" collapsed="false">
      <c r="A29" s="3" t="s">
        <v>83</v>
      </c>
    </row>
    <row r="30" customFormat="false" ht="15" hidden="false" customHeight="false" outlineLevel="0" collapsed="false">
      <c r="A30" s="6" t="s">
        <v>73</v>
      </c>
      <c r="B30" s="6" t="s">
        <v>84</v>
      </c>
      <c r="C30" s="6" t="s">
        <v>85</v>
      </c>
      <c r="D30" s="6" t="s">
        <v>86</v>
      </c>
      <c r="E30" s="6" t="s">
        <v>50</v>
      </c>
    </row>
    <row r="31" customFormat="false" ht="15" hidden="false" customHeight="false" outlineLevel="0" collapsed="false">
      <c r="A31" s="7" t="s">
        <v>87</v>
      </c>
      <c r="B31" s="13" t="n">
        <v>0</v>
      </c>
      <c r="C31" s="13" t="n">
        <v>400</v>
      </c>
      <c r="D31" s="13" t="n">
        <v>800</v>
      </c>
      <c r="E31" s="2"/>
    </row>
    <row r="32" customFormat="false" ht="15" hidden="false" customHeight="false" outlineLevel="0" collapsed="false">
      <c r="A32" s="7" t="s">
        <v>88</v>
      </c>
      <c r="B32" s="13" t="n">
        <v>100</v>
      </c>
      <c r="C32" s="13" t="n">
        <v>250</v>
      </c>
      <c r="D32" s="13" t="n">
        <v>400</v>
      </c>
      <c r="E32" s="2" t="s">
        <v>89</v>
      </c>
    </row>
    <row r="33" customFormat="false" ht="15" hidden="false" customHeight="false" outlineLevel="0" collapsed="false">
      <c r="A33" s="7" t="s">
        <v>90</v>
      </c>
      <c r="B33" s="13" t="n">
        <v>200</v>
      </c>
      <c r="C33" s="13" t="n">
        <v>350</v>
      </c>
      <c r="D33" s="13" t="n">
        <v>500</v>
      </c>
      <c r="E33" s="2"/>
    </row>
    <row r="34" customFormat="false" ht="15" hidden="false" customHeight="false" outlineLevel="0" collapsed="false">
      <c r="A34" s="7" t="s">
        <v>91</v>
      </c>
      <c r="B34" s="13" t="n">
        <v>200</v>
      </c>
      <c r="C34" s="13" t="n">
        <v>800</v>
      </c>
      <c r="D34" s="13" t="n">
        <v>1500</v>
      </c>
      <c r="E34" s="2" t="s">
        <v>92</v>
      </c>
    </row>
    <row r="35" customFormat="false" ht="15" hidden="false" customHeight="false" outlineLevel="0" collapsed="false">
      <c r="A35" s="7" t="s">
        <v>93</v>
      </c>
      <c r="B35" s="13" t="n">
        <v>100</v>
      </c>
      <c r="C35" s="13" t="n">
        <v>150</v>
      </c>
      <c r="D35" s="13" t="n">
        <v>250</v>
      </c>
      <c r="E35" s="2" t="s">
        <v>94</v>
      </c>
    </row>
    <row r="36" customFormat="false" ht="15" hidden="false" customHeight="false" outlineLevel="0" collapsed="false">
      <c r="A36" s="7" t="s">
        <v>95</v>
      </c>
      <c r="B36" s="13" t="n">
        <v>100</v>
      </c>
      <c r="C36" s="13" t="n">
        <v>200</v>
      </c>
      <c r="D36" s="13" t="n">
        <v>400</v>
      </c>
      <c r="E36" s="2"/>
    </row>
    <row r="37" customFormat="false" ht="15" hidden="false" customHeight="false" outlineLevel="0" collapsed="false">
      <c r="A37" s="11" t="s">
        <v>96</v>
      </c>
      <c r="B37" s="14" t="n">
        <f aca="false">SUM(B31:B36)*12</f>
        <v>8400</v>
      </c>
      <c r="C37" s="14" t="n">
        <f aca="false">SUM(C31:C36)*12</f>
        <v>25800</v>
      </c>
      <c r="D37" s="14" t="n">
        <f aca="false">SUM(D31:D36)*12</f>
        <v>46200</v>
      </c>
    </row>
    <row r="39" customFormat="false" ht="15" hidden="false" customHeight="false" outlineLevel="0" collapsed="false">
      <c r="A39" s="3" t="s">
        <v>97</v>
      </c>
    </row>
    <row r="40" customFormat="false" ht="15" hidden="false" customHeight="false" outlineLevel="0" collapsed="false">
      <c r="A40" s="6" t="s">
        <v>73</v>
      </c>
      <c r="B40" s="6" t="s">
        <v>98</v>
      </c>
      <c r="C40" s="6" t="s">
        <v>99</v>
      </c>
      <c r="D40" s="6"/>
      <c r="E40" s="6" t="s">
        <v>50</v>
      </c>
    </row>
    <row r="41" customFormat="false" ht="15" hidden="false" customHeight="false" outlineLevel="0" collapsed="false">
      <c r="A41" s="7" t="s">
        <v>100</v>
      </c>
      <c r="B41" s="9" t="n">
        <v>1</v>
      </c>
      <c r="C41" s="13" t="n">
        <v>0</v>
      </c>
      <c r="E41" s="2" t="s">
        <v>101</v>
      </c>
    </row>
    <row r="42" customFormat="false" ht="15" hidden="false" customHeight="false" outlineLevel="0" collapsed="false">
      <c r="A42" s="7" t="s">
        <v>102</v>
      </c>
      <c r="B42" s="9" t="n">
        <v>1</v>
      </c>
      <c r="C42" s="13" t="n">
        <v>0</v>
      </c>
      <c r="E42" s="2"/>
    </row>
    <row r="43" customFormat="false" ht="15" hidden="false" customHeight="false" outlineLevel="0" collapsed="false">
      <c r="A43" s="7" t="s">
        <v>103</v>
      </c>
      <c r="B43" s="9" t="n">
        <v>6</v>
      </c>
      <c r="C43" s="13" t="n">
        <v>32000</v>
      </c>
      <c r="E43" s="2"/>
    </row>
    <row r="44" customFormat="false" ht="15" hidden="false" customHeight="false" outlineLevel="0" collapsed="false">
      <c r="A44" s="7" t="s">
        <v>104</v>
      </c>
      <c r="B44" s="9" t="n">
        <v>14</v>
      </c>
      <c r="C44" s="13" t="n">
        <v>34000</v>
      </c>
      <c r="E44" s="2"/>
    </row>
    <row r="45" customFormat="false" ht="15" hidden="false" customHeight="false" outlineLevel="0" collapsed="false">
      <c r="A45" s="7" t="s">
        <v>105</v>
      </c>
      <c r="B45" s="9" t="n">
        <v>18</v>
      </c>
      <c r="C45" s="13" t="n">
        <v>28000</v>
      </c>
      <c r="E45" s="2"/>
    </row>
    <row r="46" customFormat="false" ht="15" hidden="false" customHeight="false" outlineLevel="0" collapsed="false">
      <c r="A46" s="7" t="s">
        <v>106</v>
      </c>
      <c r="B46" s="9" t="n">
        <v>10</v>
      </c>
      <c r="C46" s="13" t="n">
        <v>36000</v>
      </c>
      <c r="E46" s="2"/>
    </row>
    <row r="47" customFormat="false" ht="15" hidden="false" customHeight="false" outlineLevel="0" collapsed="false">
      <c r="A47" s="7" t="s">
        <v>107</v>
      </c>
      <c r="B47" s="9" t="n">
        <v>24</v>
      </c>
      <c r="C47" s="13" t="n">
        <v>42000</v>
      </c>
      <c r="E47" s="2"/>
    </row>
    <row r="48" customFormat="false" ht="15" hidden="false" customHeight="false" outlineLevel="0" collapsed="false">
      <c r="A48" s="7" t="s">
        <v>108</v>
      </c>
      <c r="B48" s="10" t="n">
        <v>0.45</v>
      </c>
    </row>
    <row r="50" customFormat="false" ht="15" hidden="false" customHeight="false" outlineLevel="0" collapsed="false">
      <c r="A50" s="6" t="s">
        <v>109</v>
      </c>
      <c r="B50" s="6" t="s">
        <v>47</v>
      </c>
      <c r="C50" s="6" t="s">
        <v>48</v>
      </c>
      <c r="D50" s="6" t="s">
        <v>49</v>
      </c>
      <c r="E50" s="6"/>
    </row>
    <row r="51" customFormat="false" ht="15" hidden="false" customHeight="false" outlineLevel="0" collapsed="false">
      <c r="B51" s="14" t="n">
        <f aca="false">(IF(B41&lt;=12,C41*MAX(0,MIN(12,12-MAX(B41,1)+1))/12,0)+IF(B42&lt;=12,C42*MAX(0,MIN(12,12-MAX(B42,1)+1))/12,0)+IF(B43&lt;=12,C43*MAX(0,MIN(12,12-MAX(B43,1)+1))/12,0)+IF(B44&lt;=12,C44*MAX(0,MIN(12,12-MAX(B44,1)+1))/12,0)+IF(B45&lt;=12,C45*MAX(0,MIN(12,12-MAX(B45,1)+1))/12,0)+IF(B46&lt;=12,C46*MAX(0,MIN(12,12-MAX(B46,1)+1))/12,0)+IF(B47&lt;=12,C47*MAX(0,MIN(12,12-MAX(B47,1)+1))/12,0))*(1+B48)</f>
        <v>40116.6666666667</v>
      </c>
      <c r="C51" s="14" t="n">
        <f aca="false">(IF(B41&lt;=24,C41*MAX(0,MIN(12,24-MAX(B41,13)+1))/12,0)+IF(B42&lt;=24,C42*MAX(0,MIN(12,24-MAX(B42,13)+1))/12,0)+IF(B43&lt;=24,C43*MAX(0,MIN(12,24-MAX(B43,13)+1))/12,0)+IF(B44&lt;=24,C44*MAX(0,MIN(12,24-MAX(B44,13)+1))/12,0)+IF(B45&lt;=24,C45*MAX(0,MIN(12,24-MAX(B45,13)+1))/12,0)+IF(B46&lt;=24,C46*MAX(0,MIN(12,24-MAX(B46,13)+1))/12,0)+IF(B47&lt;=24,C47*MAX(0,MIN(12,24-MAX(B47,13)+1))/12,0))*(1+B48)</f>
        <v>172550</v>
      </c>
      <c r="D51" s="14" t="n">
        <f aca="false">(IF(B41&lt;=36,C41*MAX(0,MIN(12,36-MAX(B41,25)+1))/12,0)+IF(B42&lt;=36,C42*MAX(0,MIN(12,36-MAX(B42,25)+1))/12,0)+IF(B43&lt;=36,C43*MAX(0,MIN(12,36-MAX(B43,25)+1))/12,0)+IF(B44&lt;=36,C44*MAX(0,MIN(12,36-MAX(B44,25)+1))/12,0)+IF(B45&lt;=36,C45*MAX(0,MIN(12,36-MAX(B45,25)+1))/12,0)+IF(B46&lt;=36,C46*MAX(0,MIN(12,36-MAX(B46,25)+1))/12,0)+IF(B47&lt;=36,C47*MAX(0,MIN(12,36-MAX(B47,25)+1))/12,0))*(1+B48)</f>
        <v>249400</v>
      </c>
    </row>
    <row r="53" customFormat="false" ht="15" hidden="false" customHeight="false" outlineLevel="0" collapsed="false">
      <c r="A53" s="3" t="s">
        <v>110</v>
      </c>
    </row>
    <row r="54" customFormat="false" ht="15" hidden="false" customHeight="false" outlineLevel="0" collapsed="false">
      <c r="A54" s="6" t="s">
        <v>111</v>
      </c>
      <c r="B54" s="6" t="s">
        <v>112</v>
      </c>
      <c r="C54" s="6" t="s">
        <v>113</v>
      </c>
      <c r="D54" s="6"/>
      <c r="E54" s="6" t="s">
        <v>50</v>
      </c>
    </row>
    <row r="55" customFormat="false" ht="15" hidden="false" customHeight="false" outlineLevel="0" collapsed="false">
      <c r="A55" s="7" t="s">
        <v>114</v>
      </c>
      <c r="B55" s="13" t="n">
        <v>10000</v>
      </c>
      <c r="C55" s="9" t="n">
        <v>1</v>
      </c>
      <c r="E55" s="2"/>
    </row>
    <row r="56" customFormat="false" ht="15" hidden="false" customHeight="false" outlineLevel="0" collapsed="false">
      <c r="A56" s="7" t="s">
        <v>115</v>
      </c>
      <c r="B56" s="13" t="n">
        <v>0</v>
      </c>
      <c r="C56" s="9" t="n">
        <v>6</v>
      </c>
      <c r="E56" s="2"/>
    </row>
    <row r="57" customFormat="false" ht="15" hidden="false" customHeight="false" outlineLevel="0" collapsed="false">
      <c r="A57" s="7" t="s">
        <v>116</v>
      </c>
      <c r="B57" s="13" t="n">
        <v>0</v>
      </c>
      <c r="C57" s="9" t="n">
        <v>3</v>
      </c>
      <c r="E57" s="2"/>
    </row>
    <row r="58" customFormat="false" ht="15" hidden="false" customHeight="false" outlineLevel="0" collapsed="false">
      <c r="A58" s="7" t="s">
        <v>117</v>
      </c>
      <c r="B58" s="13" t="n">
        <v>0</v>
      </c>
      <c r="C58" s="9" t="n">
        <v>18</v>
      </c>
      <c r="E58" s="2"/>
    </row>
    <row r="59" customFormat="false" ht="15" hidden="false" customHeight="false" outlineLevel="0" collapsed="false">
      <c r="A59" s="11" t="s">
        <v>118</v>
      </c>
      <c r="B59" s="14" t="n">
        <f aca="false">SUM(B55:B58)</f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6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119</v>
      </c>
    </row>
    <row r="4" customFormat="false" ht="15" hidden="false" customHeight="false" outlineLevel="0" collapsed="false">
      <c r="A4" s="6"/>
      <c r="B4" s="6" t="s">
        <v>47</v>
      </c>
      <c r="C4" s="6" t="s">
        <v>48</v>
      </c>
      <c r="D4" s="6" t="s">
        <v>49</v>
      </c>
      <c r="E4" s="6" t="s">
        <v>50</v>
      </c>
    </row>
    <row r="5" customFormat="false" ht="15" hidden="false" customHeight="false" outlineLevel="0" collapsed="false">
      <c r="A5" s="3" t="s">
        <v>120</v>
      </c>
    </row>
    <row r="6" customFormat="false" ht="15" hidden="false" customHeight="false" outlineLevel="0" collapsed="false">
      <c r="A6" s="7" t="s">
        <v>121</v>
      </c>
      <c r="B6" s="15" t="n">
        <f aca="false">ROUND(Hypotheses!B13*0.8,0)</f>
        <v>16</v>
      </c>
      <c r="C6" s="15" t="n">
        <f aca="false">ROUND(Hypotheses!C13*0.8,0)</f>
        <v>30</v>
      </c>
      <c r="D6" s="15" t="n">
        <f aca="false">ROUND(Hypotheses!D13*0.8,0)</f>
        <v>50</v>
      </c>
      <c r="E6" s="2" t="s">
        <v>122</v>
      </c>
    </row>
    <row r="7" customFormat="false" ht="15" hidden="false" customHeight="false" outlineLevel="0" collapsed="false">
      <c r="A7" s="7" t="s">
        <v>123</v>
      </c>
      <c r="B7" s="16" t="n">
        <f aca="false">Hypotheses!B11</f>
        <v>8000</v>
      </c>
      <c r="C7" s="16" t="n">
        <f aca="false">Hypotheses!C11</f>
        <v>10000</v>
      </c>
      <c r="D7" s="16" t="n">
        <f aca="false">Hypotheses!D11</f>
        <v>12000</v>
      </c>
    </row>
    <row r="8" customFormat="false" ht="15" hidden="false" customHeight="false" outlineLevel="0" collapsed="false">
      <c r="A8" s="11" t="s">
        <v>124</v>
      </c>
      <c r="B8" s="14" t="n">
        <f aca="false">B6*B7</f>
        <v>128000</v>
      </c>
      <c r="C8" s="14" t="n">
        <f aca="false">C6*C7</f>
        <v>300000</v>
      </c>
      <c r="D8" s="14" t="n">
        <f aca="false">D6*D7</f>
        <v>600000</v>
      </c>
    </row>
    <row r="10" customFormat="false" ht="15" hidden="false" customHeight="false" outlineLevel="0" collapsed="false">
      <c r="A10" s="3" t="s">
        <v>125</v>
      </c>
    </row>
    <row r="11" customFormat="false" ht="15" hidden="false" customHeight="false" outlineLevel="0" collapsed="false">
      <c r="A11" s="7" t="s">
        <v>126</v>
      </c>
      <c r="B11" s="15" t="n">
        <f aca="false">ROUND(Hypotheses!B9*0.2,0)</f>
        <v>39</v>
      </c>
      <c r="C11" s="15" t="n">
        <f aca="false">ROUND(Hypotheses!C9*0.2,0)</f>
        <v>92</v>
      </c>
      <c r="D11" s="15" t="n">
        <f aca="false">ROUND(Hypotheses!D9*0.2,0)</f>
        <v>164</v>
      </c>
      <c r="E11" s="2" t="s">
        <v>127</v>
      </c>
    </row>
    <row r="12" customFormat="false" ht="15" hidden="false" customHeight="false" outlineLevel="0" collapsed="false">
      <c r="A12" s="7" t="s">
        <v>128</v>
      </c>
      <c r="B12" s="16" t="n">
        <f aca="false">Hypotheses!B10</f>
        <v>800</v>
      </c>
      <c r="C12" s="16" t="n">
        <f aca="false">Hypotheses!C10</f>
        <v>850</v>
      </c>
      <c r="D12" s="16" t="n">
        <f aca="false">Hypotheses!D10</f>
        <v>900</v>
      </c>
    </row>
    <row r="13" customFormat="false" ht="15" hidden="false" customHeight="false" outlineLevel="0" collapsed="false">
      <c r="A13" s="11" t="s">
        <v>129</v>
      </c>
      <c r="B13" s="14" t="n">
        <f aca="false">B11*B12</f>
        <v>31200</v>
      </c>
      <c r="C13" s="14" t="n">
        <f aca="false">C11*C12</f>
        <v>78200</v>
      </c>
      <c r="D13" s="14" t="n">
        <f aca="false">D11*D12</f>
        <v>147600</v>
      </c>
    </row>
    <row r="15" customFormat="false" ht="15" hidden="false" customHeight="false" outlineLevel="0" collapsed="false">
      <c r="A15" s="11" t="s">
        <v>130</v>
      </c>
      <c r="B15" s="14" t="n">
        <f aca="false">B8+B13</f>
        <v>159200</v>
      </c>
      <c r="C15" s="14" t="n">
        <f aca="false">C8+C13</f>
        <v>378200</v>
      </c>
      <c r="D15" s="14" t="n">
        <f aca="false">D8+D13</f>
        <v>747600</v>
      </c>
    </row>
    <row r="17" customFormat="false" ht="15" hidden="false" customHeight="false" outlineLevel="0" collapsed="false">
      <c r="A17" s="3" t="s">
        <v>131</v>
      </c>
    </row>
    <row r="18" customFormat="false" ht="15" hidden="false" customHeight="false" outlineLevel="0" collapsed="false">
      <c r="A18" s="7" t="s">
        <v>132</v>
      </c>
      <c r="B18" s="16" t="n">
        <f aca="false">IF(Hypotheses!B6&gt;0,B15/Hypotheses!B6,0)</f>
        <v>106133.333333333</v>
      </c>
      <c r="C18" s="16" t="n">
        <f aca="false">IF(Hypotheses!C6&gt;0,C15/Hypotheses!C6,0)</f>
        <v>126066.666666667</v>
      </c>
      <c r="D18" s="16" t="n">
        <f aca="false">IF(Hypotheses!D6&gt;0,D15/Hypotheses!D6,0)</f>
        <v>149520</v>
      </c>
    </row>
    <row r="19" customFormat="false" ht="15" hidden="false" customHeight="false" outlineLevel="0" collapsed="false">
      <c r="A19" s="7" t="s">
        <v>133</v>
      </c>
      <c r="B19" s="17" t="str">
        <f aca="false">"-"</f>
        <v>-</v>
      </c>
      <c r="C19" s="18" t="n">
        <f aca="false">IF(B15&gt;0,(C15-B15)/B15,0)</f>
        <v>1.37562814070352</v>
      </c>
      <c r="D19" s="18" t="n">
        <f aca="false">IF(C15&gt;0,(D15-C15)/C15,0)</f>
        <v>0.976731887890005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134</v>
      </c>
    </row>
    <row r="3" customFormat="false" ht="15" hidden="false" customHeight="false" outlineLevel="0" collapsed="false">
      <c r="A3" s="6"/>
      <c r="B3" s="6" t="s">
        <v>47</v>
      </c>
      <c r="C3" s="6" t="s">
        <v>48</v>
      </c>
      <c r="D3" s="6" t="s">
        <v>49</v>
      </c>
      <c r="E3" s="6" t="s">
        <v>50</v>
      </c>
    </row>
    <row r="4" customFormat="false" ht="15" hidden="false" customHeight="false" outlineLevel="0" collapsed="false">
      <c r="A4" s="3" t="s">
        <v>72</v>
      </c>
    </row>
    <row r="5" customFormat="false" ht="15" hidden="false" customHeight="false" outlineLevel="0" collapsed="false">
      <c r="A5" s="7" t="s">
        <v>135</v>
      </c>
      <c r="B5" s="16" t="n">
        <f aca="false">-Revenus!B15*Hypotheses!B24</f>
        <v>-23880</v>
      </c>
      <c r="C5" s="16" t="n">
        <f aca="false">-Revenus!C15*Hypotheses!B24</f>
        <v>-56730</v>
      </c>
      <c r="D5" s="16" t="n">
        <f aca="false">-Revenus!D15*Hypotheses!B24</f>
        <v>-112140</v>
      </c>
      <c r="E5" s="2" t="s">
        <v>136</v>
      </c>
    </row>
    <row r="6" customFormat="false" ht="15" hidden="false" customHeight="false" outlineLevel="0" collapsed="false">
      <c r="A6" s="7" t="s">
        <v>137</v>
      </c>
      <c r="B6" s="19" t="n">
        <f aca="false">-Hypotheses!B25*Hypotheses!B13</f>
        <v>-3000</v>
      </c>
      <c r="C6" s="19" t="n">
        <f aca="false">-Hypotheses!B25*Hypotheses!C13</f>
        <v>-5700</v>
      </c>
      <c r="D6" s="19" t="n">
        <f aca="false">-Hypotheses!B25*Hypotheses!D13</f>
        <v>-9450</v>
      </c>
    </row>
    <row r="7" customFormat="false" ht="15" hidden="false" customHeight="false" outlineLevel="0" collapsed="false">
      <c r="A7" s="7" t="s">
        <v>138</v>
      </c>
      <c r="B7" s="19" t="n">
        <f aca="false">-Hypotheses!B26*Hypotheses!B13</f>
        <v>-1000</v>
      </c>
      <c r="C7" s="19" t="n">
        <f aca="false">-Hypotheses!B26*Hypotheses!C13</f>
        <v>-1900</v>
      </c>
      <c r="D7" s="19" t="n">
        <f aca="false">-Hypotheses!B26*Hypotheses!D13</f>
        <v>-3150</v>
      </c>
    </row>
    <row r="8" customFormat="false" ht="15" hidden="false" customHeight="false" outlineLevel="0" collapsed="false">
      <c r="A8" s="7" t="s">
        <v>139</v>
      </c>
      <c r="B8" s="16" t="n">
        <f aca="false">-Revenus!B15*Hypotheses!B27</f>
        <v>-2388</v>
      </c>
      <c r="C8" s="16" t="n">
        <f aca="false">-Revenus!C15*Hypotheses!B27</f>
        <v>-5673</v>
      </c>
      <c r="D8" s="16" t="n">
        <f aca="false">-Revenus!D15*Hypotheses!B27</f>
        <v>-11214</v>
      </c>
    </row>
    <row r="9" customFormat="false" ht="15" hidden="false" customHeight="false" outlineLevel="0" collapsed="false">
      <c r="A9" s="20" t="s">
        <v>140</v>
      </c>
      <c r="B9" s="21" t="n">
        <f aca="false">SUM(B5:B8)</f>
        <v>-30268</v>
      </c>
      <c r="C9" s="21" t="n">
        <f aca="false">SUM(C5:C8)</f>
        <v>-70003</v>
      </c>
      <c r="D9" s="21" t="n">
        <f aca="false">SUM(D5:D8)</f>
        <v>-135954</v>
      </c>
    </row>
    <row r="11" customFormat="false" ht="15" hidden="false" customHeight="false" outlineLevel="0" collapsed="false">
      <c r="A11" s="3" t="s">
        <v>141</v>
      </c>
    </row>
    <row r="12" customFormat="false" ht="15" hidden="false" customHeight="false" outlineLevel="0" collapsed="false">
      <c r="A12" s="7" t="s">
        <v>142</v>
      </c>
      <c r="B12" s="16" t="n">
        <f aca="false">-ABS(Hypotheses!B37)</f>
        <v>-8400</v>
      </c>
      <c r="C12" s="16" t="n">
        <f aca="false">-ABS(Hypotheses!C37)</f>
        <v>-25800</v>
      </c>
      <c r="D12" s="16" t="n">
        <f aca="false">-ABS(Hypotheses!D37)</f>
        <v>-46200</v>
      </c>
    </row>
    <row r="13" customFormat="false" ht="15" hidden="false" customHeight="false" outlineLevel="0" collapsed="false">
      <c r="A13" s="7" t="s">
        <v>143</v>
      </c>
      <c r="B13" s="16" t="n">
        <f aca="false">-ABS(Hypotheses!B51)</f>
        <v>-40116.6666666667</v>
      </c>
      <c r="C13" s="16" t="n">
        <f aca="false">-ABS(Hypotheses!C51)</f>
        <v>-172550</v>
      </c>
      <c r="D13" s="16" t="n">
        <f aca="false">-ABS(Hypotheses!D51)</f>
        <v>-249400</v>
      </c>
    </row>
    <row r="14" customFormat="false" ht="15" hidden="false" customHeight="false" outlineLevel="0" collapsed="false">
      <c r="A14" s="20" t="s">
        <v>144</v>
      </c>
      <c r="B14" s="21" t="n">
        <f aca="false">B12+B13</f>
        <v>-48516.6666666667</v>
      </c>
      <c r="C14" s="21" t="n">
        <f aca="false">C12+C13</f>
        <v>-198350</v>
      </c>
      <c r="D14" s="21" t="n">
        <f aca="false">D12+D13</f>
        <v>-295600</v>
      </c>
    </row>
    <row r="16" customFormat="false" ht="15" hidden="false" customHeight="false" outlineLevel="0" collapsed="false">
      <c r="A16" s="3" t="s">
        <v>145</v>
      </c>
    </row>
    <row r="17" customFormat="false" ht="15" hidden="false" customHeight="false" outlineLevel="0" collapsed="false">
      <c r="A17" s="6"/>
      <c r="B17" s="6" t="s">
        <v>47</v>
      </c>
      <c r="C17" s="6" t="s">
        <v>48</v>
      </c>
      <c r="D17" s="6" t="s">
        <v>49</v>
      </c>
      <c r="E17" s="6"/>
    </row>
    <row r="18" customFormat="false" ht="15" hidden="false" customHeight="false" outlineLevel="0" collapsed="false">
      <c r="A18" s="11" t="s">
        <v>146</v>
      </c>
      <c r="B18" s="22" t="n">
        <f aca="false">Revenus!B15</f>
        <v>159200</v>
      </c>
      <c r="C18" s="22" t="n">
        <f aca="false">Revenus!C15</f>
        <v>378200</v>
      </c>
      <c r="D18" s="22" t="n">
        <f aca="false">Revenus!D15</f>
        <v>747600</v>
      </c>
    </row>
    <row r="19" customFormat="false" ht="15" hidden="false" customHeight="false" outlineLevel="0" collapsed="false">
      <c r="A19" s="4" t="s">
        <v>147</v>
      </c>
      <c r="B19" s="19" t="n">
        <f aca="false">B9</f>
        <v>-30268</v>
      </c>
      <c r="C19" s="19" t="n">
        <f aca="false">C9</f>
        <v>-70003</v>
      </c>
      <c r="D19" s="19" t="n">
        <f aca="false">D9</f>
        <v>-135954</v>
      </c>
    </row>
    <row r="20" customFormat="false" ht="15" hidden="false" customHeight="false" outlineLevel="0" collapsed="false">
      <c r="A20" s="23" t="s">
        <v>148</v>
      </c>
      <c r="B20" s="24" t="n">
        <f aca="false">B18+B19</f>
        <v>128932</v>
      </c>
      <c r="C20" s="24" t="n">
        <f aca="false">C18+C19</f>
        <v>308197</v>
      </c>
      <c r="D20" s="24" t="n">
        <f aca="false">D18+D19</f>
        <v>611646</v>
      </c>
    </row>
    <row r="21" customFormat="false" ht="15" hidden="false" customHeight="false" outlineLevel="0" collapsed="false">
      <c r="A21" s="7" t="s">
        <v>149</v>
      </c>
      <c r="B21" s="18" t="n">
        <f aca="false">IF(B18=0,0,B20/B18)</f>
        <v>0.809874371859296</v>
      </c>
      <c r="C21" s="18" t="n">
        <f aca="false">IF(C18=0,0,C20/C18)</f>
        <v>0.814904812268641</v>
      </c>
      <c r="D21" s="18" t="n">
        <f aca="false">IF(D18=0,0,D20/D18)</f>
        <v>0.81814606741573</v>
      </c>
    </row>
    <row r="22" customFormat="false" ht="15" hidden="false" customHeight="false" outlineLevel="0" collapsed="false">
      <c r="A22" s="4" t="s">
        <v>150</v>
      </c>
      <c r="B22" s="19" t="n">
        <f aca="false">B14</f>
        <v>-48516.6666666667</v>
      </c>
      <c r="C22" s="19" t="n">
        <f aca="false">C14</f>
        <v>-198350</v>
      </c>
      <c r="D22" s="19" t="n">
        <f aca="false">D14</f>
        <v>-295600</v>
      </c>
    </row>
    <row r="23" customFormat="false" ht="15" hidden="false" customHeight="false" outlineLevel="0" collapsed="false">
      <c r="A23" s="4"/>
    </row>
    <row r="24" customFormat="false" ht="15" hidden="false" customHeight="false" outlineLevel="0" collapsed="false">
      <c r="A24" s="25" t="s">
        <v>151</v>
      </c>
      <c r="B24" s="26" t="n">
        <f aca="false">B20+B22</f>
        <v>80415.3333333333</v>
      </c>
      <c r="C24" s="26" t="n">
        <f aca="false">C20+C22</f>
        <v>109847</v>
      </c>
      <c r="D24" s="26" t="n">
        <f aca="false">D20+D22</f>
        <v>316046</v>
      </c>
    </row>
    <row r="25" customFormat="false" ht="15" hidden="false" customHeight="false" outlineLevel="0" collapsed="false">
      <c r="A25" s="7" t="s">
        <v>152</v>
      </c>
      <c r="B25" s="18" t="n">
        <f aca="false">IF(B18=0,0,B24/B18)</f>
        <v>0.505121440536014</v>
      </c>
      <c r="C25" s="18" t="n">
        <f aca="false">IF(C18=0,0,C24/C18)</f>
        <v>0.290446853516658</v>
      </c>
      <c r="D25" s="18" t="n">
        <f aca="false">IF(D18=0,0,D24/D18)</f>
        <v>0.422747458533975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153</v>
      </c>
    </row>
    <row r="3" customFormat="false" ht="15" hidden="false" customHeight="false" outlineLevel="0" collapsed="false">
      <c r="A3" s="6"/>
      <c r="B3" s="6" t="s">
        <v>47</v>
      </c>
      <c r="C3" s="6" t="s">
        <v>48</v>
      </c>
      <c r="D3" s="6" t="s">
        <v>49</v>
      </c>
      <c r="E3" s="6"/>
    </row>
    <row r="4" customFormat="false" ht="15" hidden="false" customHeight="false" outlineLevel="0" collapsed="false">
      <c r="A4" s="4" t="s">
        <v>154</v>
      </c>
      <c r="B4" s="16" t="n">
        <f aca="false">Hypotheses!B59</f>
        <v>10000</v>
      </c>
      <c r="C4" s="19" t="n">
        <f aca="false">B10</f>
        <v>99415.3333333333</v>
      </c>
      <c r="D4" s="19" t="n">
        <f aca="false">C10</f>
        <v>206262.333333333</v>
      </c>
    </row>
    <row r="5" customFormat="false" ht="15" hidden="false" customHeight="false" outlineLevel="0" collapsed="false">
      <c r="A5" s="7" t="s">
        <v>155</v>
      </c>
      <c r="B5" s="16" t="n">
        <f aca="false">Revenus!B15</f>
        <v>159200</v>
      </c>
      <c r="C5" s="16" t="n">
        <f aca="false">Revenus!C15</f>
        <v>378200</v>
      </c>
      <c r="D5" s="16" t="n">
        <f aca="false">Revenus!D15</f>
        <v>747600</v>
      </c>
    </row>
    <row r="6" customFormat="false" ht="15" hidden="false" customHeight="false" outlineLevel="0" collapsed="false">
      <c r="A6" s="7" t="s">
        <v>156</v>
      </c>
      <c r="B6" s="19" t="n">
        <f aca="false">'Couts &amp; P&amp;L'!B24-'Couts &amp; P&amp;L'!B18</f>
        <v>-78784.6666666667</v>
      </c>
      <c r="C6" s="19" t="n">
        <f aca="false">'Couts &amp; P&amp;L'!C24-'Couts &amp; P&amp;L'!C18</f>
        <v>-268353</v>
      </c>
      <c r="D6" s="19" t="n">
        <f aca="false">'Couts &amp; P&amp;L'!D24-'Couts &amp; P&amp;L'!D18</f>
        <v>-431554</v>
      </c>
    </row>
    <row r="7" customFormat="false" ht="15" hidden="false" customHeight="false" outlineLevel="0" collapsed="false">
      <c r="A7" s="7" t="s">
        <v>157</v>
      </c>
      <c r="B7" s="13" t="n">
        <v>-1000</v>
      </c>
      <c r="C7" s="13" t="n">
        <v>-3000</v>
      </c>
      <c r="D7" s="13" t="n">
        <v>-5000</v>
      </c>
    </row>
    <row r="8" customFormat="false" ht="15" hidden="false" customHeight="false" outlineLevel="0" collapsed="false">
      <c r="A8" s="7" t="s">
        <v>158</v>
      </c>
      <c r="B8" s="16" t="n">
        <f aca="false">Hypotheses!B59</f>
        <v>10000</v>
      </c>
      <c r="C8" s="13" t="n">
        <v>0</v>
      </c>
      <c r="D8" s="13" t="n">
        <v>0</v>
      </c>
    </row>
    <row r="9" customFormat="false" ht="15" hidden="false" customHeight="false" outlineLevel="0" collapsed="false">
      <c r="A9" s="25" t="s">
        <v>159</v>
      </c>
      <c r="B9" s="27" t="n">
        <f aca="false">B5+B6+B7+B8</f>
        <v>89415.3333333333</v>
      </c>
      <c r="C9" s="27" t="n">
        <f aca="false">C5+C6+C7+C8</f>
        <v>106847</v>
      </c>
      <c r="D9" s="27" t="n">
        <f aca="false">D5+D6+D7+D8</f>
        <v>311046</v>
      </c>
    </row>
    <row r="10" customFormat="false" ht="15" hidden="false" customHeight="false" outlineLevel="0" collapsed="false">
      <c r="A10" s="28" t="s">
        <v>160</v>
      </c>
      <c r="B10" s="29" t="n">
        <f aca="false">B4+B9</f>
        <v>99415.3333333333</v>
      </c>
      <c r="C10" s="29" t="n">
        <f aca="false">C4+C9</f>
        <v>206262.333333333</v>
      </c>
      <c r="D10" s="29" t="n">
        <f aca="false">D4+D9</f>
        <v>517308.333333333</v>
      </c>
    </row>
    <row r="12" customFormat="false" ht="15" hidden="false" customHeight="false" outlineLevel="0" collapsed="false">
      <c r="A12" s="3" t="s">
        <v>161</v>
      </c>
    </row>
    <row r="13" customFormat="false" ht="15" hidden="false" customHeight="false" outlineLevel="0" collapsed="false">
      <c r="A13" s="4" t="s">
        <v>162</v>
      </c>
      <c r="B13" s="19" t="n">
        <f aca="false">IF(B9&lt;0,-B9/12,0)</f>
        <v>0</v>
      </c>
      <c r="C13" s="19" t="n">
        <f aca="false">IF(C9&lt;0,-C9/12,0)</f>
        <v>0</v>
      </c>
      <c r="D13" s="19" t="n">
        <f aca="false">IF(D9&lt;0,-D9/12,0)</f>
        <v>0</v>
      </c>
    </row>
    <row r="14" customFormat="false" ht="15" hidden="false" customHeight="false" outlineLevel="0" collapsed="false">
      <c r="A14" s="25" t="s">
        <v>163</v>
      </c>
      <c r="B14" s="30" t="n">
        <f aca="false">IF(B13&gt;0,B4/B13,99)</f>
        <v>99</v>
      </c>
      <c r="C14" s="30" t="n">
        <f aca="false">IF(C13&gt;0,C4/C13,99)</f>
        <v>99</v>
      </c>
      <c r="D14" s="30" t="n">
        <f aca="false">IF(D13&gt;0,D4/D13,99)</f>
        <v>99</v>
      </c>
    </row>
    <row r="15" customFormat="false" ht="15" hidden="false" customHeight="false" outlineLevel="0" collapsed="false">
      <c r="A15" s="20" t="s">
        <v>164</v>
      </c>
      <c r="B15" s="21" t="n">
        <f aca="false">IF(B10&lt;0,-B10,0)</f>
        <v>0</v>
      </c>
      <c r="C15" s="21" t="n">
        <f aca="false">IF(C10&lt;0,-C10,0)</f>
        <v>0</v>
      </c>
      <c r="D15" s="21" t="n">
        <f aca="false">IF(D10&lt;0,-D10,0)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165</v>
      </c>
    </row>
    <row r="3" customFormat="false" ht="15" hidden="false" customHeight="false" outlineLevel="0" collapsed="false">
      <c r="A3" s="6" t="s">
        <v>166</v>
      </c>
      <c r="B3" s="6" t="s">
        <v>47</v>
      </c>
      <c r="C3" s="6" t="s">
        <v>48</v>
      </c>
      <c r="D3" s="6" t="s">
        <v>49</v>
      </c>
    </row>
    <row r="4" customFormat="false" ht="15" hidden="false" customHeight="false" outlineLevel="0" collapsed="false">
      <c r="A4" s="3" t="s">
        <v>167</v>
      </c>
    </row>
    <row r="5" customFormat="false" ht="15" hidden="false" customHeight="false" outlineLevel="0" collapsed="false">
      <c r="A5" s="11" t="s">
        <v>168</v>
      </c>
      <c r="B5" s="22" t="n">
        <f aca="false">Revenus!B15</f>
        <v>159200</v>
      </c>
      <c r="C5" s="22" t="n">
        <f aca="false">Revenus!C15</f>
        <v>378200</v>
      </c>
      <c r="D5" s="22" t="n">
        <f aca="false">Revenus!D15</f>
        <v>747600</v>
      </c>
    </row>
    <row r="6" customFormat="false" ht="15" hidden="false" customHeight="false" outlineLevel="0" collapsed="false">
      <c r="A6" s="4" t="s">
        <v>169</v>
      </c>
      <c r="B6" s="15" t="n">
        <f aca="false">Hypotheses!B13</f>
        <v>20</v>
      </c>
      <c r="C6" s="15" t="n">
        <f aca="false">Hypotheses!C13</f>
        <v>38</v>
      </c>
      <c r="D6" s="15" t="n">
        <f aca="false">Hypotheses!D13</f>
        <v>63</v>
      </c>
    </row>
    <row r="7" customFormat="false" ht="15" hidden="false" customHeight="false" outlineLevel="0" collapsed="false">
      <c r="A7" s="4" t="s">
        <v>170</v>
      </c>
      <c r="B7" s="15" t="n">
        <f aca="false">Hypotheses!B20</f>
        <v>10</v>
      </c>
      <c r="C7" s="15" t="n">
        <f aca="false">Hypotheses!C20</f>
        <v>29</v>
      </c>
      <c r="D7" s="15" t="n">
        <f aca="false">Hypotheses!D20</f>
        <v>58</v>
      </c>
    </row>
    <row r="8" customFormat="false" ht="15" hidden="false" customHeight="false" outlineLevel="0" collapsed="false">
      <c r="A8" s="25" t="s">
        <v>171</v>
      </c>
      <c r="B8" s="31" t="n">
        <f aca="false">Hypotheses!B14</f>
        <v>0.25</v>
      </c>
      <c r="C8" s="31" t="n">
        <f aca="false">Hypotheses!C14</f>
        <v>0.35</v>
      </c>
      <c r="D8" s="31" t="n">
        <f aca="false">Hypotheses!D14</f>
        <v>0.45</v>
      </c>
    </row>
    <row r="9" customFormat="false" ht="15" hidden="false" customHeight="false" outlineLevel="0" collapsed="false">
      <c r="A9" s="4" t="s">
        <v>172</v>
      </c>
      <c r="B9" s="16" t="n">
        <f aca="false">Revenus!B18</f>
        <v>106133.333333333</v>
      </c>
      <c r="C9" s="16" t="n">
        <f aca="false">Revenus!C18</f>
        <v>126066.666666667</v>
      </c>
      <c r="D9" s="16" t="n">
        <f aca="false">Revenus!D18</f>
        <v>149520</v>
      </c>
    </row>
    <row r="11" customFormat="false" ht="15" hidden="false" customHeight="false" outlineLevel="0" collapsed="false">
      <c r="A11" s="3" t="s">
        <v>173</v>
      </c>
    </row>
    <row r="12" customFormat="false" ht="15" hidden="false" customHeight="false" outlineLevel="0" collapsed="false">
      <c r="A12" s="4" t="s">
        <v>51</v>
      </c>
      <c r="B12" s="32" t="n">
        <f aca="false">Hypotheses!B6</f>
        <v>1.5</v>
      </c>
      <c r="C12" s="32" t="n">
        <f aca="false">Hypotheses!C6</f>
        <v>3</v>
      </c>
      <c r="D12" s="32" t="n">
        <f aca="false">Hypotheses!D6</f>
        <v>5</v>
      </c>
    </row>
    <row r="13" customFormat="false" ht="15" hidden="false" customHeight="false" outlineLevel="0" collapsed="false">
      <c r="A13" s="25" t="s">
        <v>174</v>
      </c>
      <c r="B13" s="31" t="n">
        <f aca="false">Hypotheses!B8</f>
        <v>0.6</v>
      </c>
      <c r="C13" s="31" t="n">
        <f aca="false">Hypotheses!C8</f>
        <v>0.7</v>
      </c>
      <c r="D13" s="31" t="n">
        <f aca="false">Hypotheses!D8</f>
        <v>0.75</v>
      </c>
    </row>
    <row r="14" customFormat="false" ht="15" hidden="false" customHeight="false" outlineLevel="0" collapsed="false">
      <c r="A14" s="4" t="s">
        <v>128</v>
      </c>
      <c r="B14" s="16" t="n">
        <f aca="false">Hypotheses!B10</f>
        <v>800</v>
      </c>
      <c r="C14" s="16" t="n">
        <f aca="false">Hypotheses!C10</f>
        <v>850</v>
      </c>
      <c r="D14" s="16" t="n">
        <f aca="false">Hypotheses!D10</f>
        <v>900</v>
      </c>
    </row>
    <row r="15" customFormat="false" ht="15" hidden="false" customHeight="false" outlineLevel="0" collapsed="false">
      <c r="A15" s="4" t="s">
        <v>175</v>
      </c>
      <c r="B15" s="15" t="n">
        <f aca="false">Hypotheses!B9</f>
        <v>196</v>
      </c>
      <c r="C15" s="15" t="n">
        <f aca="false">Hypotheses!C9</f>
        <v>458</v>
      </c>
      <c r="D15" s="15" t="n">
        <f aca="false">Hypotheses!D9</f>
        <v>818</v>
      </c>
    </row>
    <row r="17" customFormat="false" ht="15" hidden="false" customHeight="false" outlineLevel="0" collapsed="false">
      <c r="A17" s="3" t="s">
        <v>176</v>
      </c>
    </row>
    <row r="18" customFormat="false" ht="15" hidden="false" customHeight="false" outlineLevel="0" collapsed="false">
      <c r="A18" s="4" t="s">
        <v>177</v>
      </c>
      <c r="B18" s="33" t="n">
        <f aca="false">'Couts &amp; P&amp;L'!B21</f>
        <v>0.809874371859296</v>
      </c>
      <c r="C18" s="33" t="n">
        <f aca="false">'Couts &amp; P&amp;L'!C21</f>
        <v>0.814904812268641</v>
      </c>
      <c r="D18" s="33" t="n">
        <f aca="false">'Couts &amp; P&amp;L'!D21</f>
        <v>0.81814606741573</v>
      </c>
    </row>
    <row r="19" customFormat="false" ht="15" hidden="false" customHeight="false" outlineLevel="0" collapsed="false">
      <c r="A19" s="4" t="s">
        <v>178</v>
      </c>
      <c r="B19" s="16" t="n">
        <f aca="false">'Couts &amp; P&amp;L'!B24</f>
        <v>80415.3333333333</v>
      </c>
      <c r="C19" s="16" t="n">
        <f aca="false">'Couts &amp; P&amp;L'!C24</f>
        <v>109847</v>
      </c>
      <c r="D19" s="16" t="n">
        <f aca="false">'Couts &amp; P&amp;L'!D24</f>
        <v>316046</v>
      </c>
    </row>
    <row r="20" customFormat="false" ht="15" hidden="false" customHeight="false" outlineLevel="0" collapsed="false">
      <c r="A20" s="4" t="s">
        <v>179</v>
      </c>
      <c r="B20" s="33" t="n">
        <f aca="false">'Couts &amp; P&amp;L'!B25</f>
        <v>0.505121440536014</v>
      </c>
      <c r="C20" s="33" t="n">
        <f aca="false">'Couts &amp; P&amp;L'!C25</f>
        <v>0.290446853516658</v>
      </c>
      <c r="D20" s="33" t="n">
        <f aca="false">'Couts &amp; P&amp;L'!D25</f>
        <v>0.422747458533975</v>
      </c>
    </row>
    <row r="21" customFormat="false" ht="15" hidden="false" customHeight="false" outlineLevel="0" collapsed="false">
      <c r="A21" s="25" t="s">
        <v>180</v>
      </c>
      <c r="B21" s="34" t="n">
        <f aca="false">Tresorerie!B10</f>
        <v>99415.3333333333</v>
      </c>
      <c r="C21" s="34" t="n">
        <f aca="false">Tresorerie!C10</f>
        <v>206262.333333333</v>
      </c>
      <c r="D21" s="34" t="n">
        <f aca="false">Tresorerie!D10</f>
        <v>517308.333333333</v>
      </c>
    </row>
    <row r="22" customFormat="false" ht="15" hidden="false" customHeight="false" outlineLevel="0" collapsed="false">
      <c r="A22" s="4" t="s">
        <v>181</v>
      </c>
      <c r="B22" s="16" t="n">
        <f aca="false">Hypotheses!B19</f>
        <v>200</v>
      </c>
      <c r="C22" s="16" t="n">
        <f aca="false">Hypotheses!C19</f>
        <v>150</v>
      </c>
      <c r="D22" s="16" t="n">
        <f aca="false">Hypotheses!D19</f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1" t="s">
        <v>182</v>
      </c>
    </row>
    <row r="4" customFormat="false" ht="26.85" hidden="false" customHeight="false" outlineLevel="0" collapsed="false">
      <c r="A4" s="35" t="s">
        <v>183</v>
      </c>
    </row>
    <row r="6" customFormat="false" ht="15" hidden="false" customHeight="false" outlineLevel="0" collapsed="false">
      <c r="A6" s="3" t="s">
        <v>184</v>
      </c>
    </row>
    <row r="7" customFormat="false" ht="15" hidden="false" customHeight="false" outlineLevel="0" collapsed="false">
      <c r="A7" s="3" t="s">
        <v>185</v>
      </c>
    </row>
    <row r="8" customFormat="false" ht="15" hidden="false" customHeight="false" outlineLevel="0" collapsed="false">
      <c r="A8" s="35" t="s">
        <v>186</v>
      </c>
    </row>
    <row r="9" customFormat="false" ht="15" hidden="false" customHeight="false" outlineLevel="0" collapsed="false">
      <c r="A9" s="35" t="s">
        <v>187</v>
      </c>
    </row>
    <row r="10" customFormat="false" ht="15" hidden="false" customHeight="false" outlineLevel="0" collapsed="false">
      <c r="A10" s="35" t="s">
        <v>188</v>
      </c>
    </row>
    <row r="11" customFormat="false" ht="15" hidden="false" customHeight="false" outlineLevel="0" collapsed="false">
      <c r="A11" s="35" t="s">
        <v>189</v>
      </c>
    </row>
    <row r="12" customFormat="false" ht="15" hidden="false" customHeight="false" outlineLevel="0" collapsed="false">
      <c r="A12" s="35" t="s">
        <v>190</v>
      </c>
    </row>
    <row r="13" customFormat="false" ht="15" hidden="false" customHeight="false" outlineLevel="0" collapsed="false">
      <c r="A13" s="3" t="s">
        <v>191</v>
      </c>
    </row>
    <row r="15" customFormat="false" ht="15" hidden="false" customHeight="false" outlineLevel="0" collapsed="false">
      <c r="A15" s="3" t="s">
        <v>192</v>
      </c>
    </row>
    <row r="17" customFormat="false" ht="15" hidden="false" customHeight="false" outlineLevel="0" collapsed="false">
      <c r="A17" s="3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2026-04-22T18:53:15Z</dcterms:created>
  <dc:creator>openpyxl</dc:creator>
  <dc:description/>
  <dc:language>en-US</dc:language>
  <cp:lastModifiedBy/>
  <dcterms:modified xsi:type="dcterms:W3CDTF">2026-04-22T18:53:15Z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