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strategique" sheetId="1" state="visible" r:id="rId3"/>
    <sheet name="Hypotheses" sheetId="2" state="visible" r:id="rId4"/>
    <sheet name="Revenus" sheetId="3" state="visible" r:id="rId5"/>
    <sheet name="Couts &amp; PL" sheetId="4" state="visible" r:id="rId6"/>
    <sheet name="Tresorerie" sheetId="5" state="visible" r:id="rId7"/>
    <sheet name="KPIs" sheetId="6" state="visible" r:id="rId8"/>
    <sheet name="Mode d'emploi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<sst xmlns="http://schemas.openxmlformats.org/spreadsheetml/2006/main" count="206" uniqueCount="153">
  <si>
    <t xml:space="preserve">BUSINESS PLAN SEED - DEEPTECH / INDUSTRIEL</t>
  </si>
  <si>
    <t xml:space="preserve">Template FounderAI - Cellules jaunes a remplir</t>
  </si>
  <si>
    <t xml:space="preserve">IDENTITE</t>
  </si>
  <si>
    <t xml:space="preserve">Nom</t>
  </si>
  <si>
    <t xml:space="preserve">CarbonLoop</t>
  </si>
  <si>
    <t xml:space="preserve">Secteur</t>
  </si>
  <si>
    <t xml:space="preserve">CleanTech - Captation CO2</t>
  </si>
  <si>
    <t xml:space="preserve">Date creation</t>
  </si>
  <si>
    <t xml:space="preserve">Sept 2025</t>
  </si>
  <si>
    <t xml:space="preserve">Fondateurs</t>
  </si>
  <si>
    <t xml:space="preserve">Dr. Rousseau (CEO), T. Vidal (CTO)</t>
  </si>
  <si>
    <t xml:space="preserve">Localisation</t>
  </si>
  <si>
    <t xml:space="preserve">Grenoble</t>
  </si>
  <si>
    <t xml:space="preserve">Stade</t>
  </si>
  <si>
    <t xml:space="preserve">TRL 4 - Prototype labo valide</t>
  </si>
  <si>
    <t xml:space="preserve">FEUILLE DE ROUTE TRL</t>
  </si>
  <si>
    <t xml:space="preserve">TRL 4 (actuel)</t>
  </si>
  <si>
    <t xml:space="preserve">Prototype labo valide</t>
  </si>
  <si>
    <t xml:space="preserve">2025</t>
  </si>
  <si>
    <t xml:space="preserve">TRL 5-6 (Y1-Y2)</t>
  </si>
  <si>
    <t xml:space="preserve">Pilote echelle, validation terrain</t>
  </si>
  <si>
    <t xml:space="preserve">2026-27</t>
  </si>
  <si>
    <t xml:space="preserve">TRL 7 (Y3)</t>
  </si>
  <si>
    <t xml:space="preserve">Demonstrateur pre-industriel</t>
  </si>
  <si>
    <t xml:space="preserve">2028</t>
  </si>
  <si>
    <t xml:space="preserve">TRL 8-9 (Y4-Y5)</t>
  </si>
  <si>
    <t xml:space="preserve">Unite commerciale</t>
  </si>
  <si>
    <t xml:space="preserve">2029-30</t>
  </si>
  <si>
    <t xml:space="preserve">MODELE ECONOMIQUE</t>
  </si>
  <si>
    <t xml:space="preserve">Revenu 1</t>
  </si>
  <si>
    <t xml:space="preserve">Vente unites CAPEX 500K-2M euro/unite</t>
  </si>
  <si>
    <t xml:space="preserve">Revenu 2</t>
  </si>
  <si>
    <t xml:space="preserve">Maintenance recurrente 15%/an</t>
  </si>
  <si>
    <t xml:space="preserve">Revenu 3</t>
  </si>
  <si>
    <t xml:space="preserve">Credits carbone + subv exploitation</t>
  </si>
  <si>
    <t xml:space="preserve">HYPOTHESES - DEEPTECH (5 ANS)</t>
  </si>
  <si>
    <t xml:space="preserve">REVENUS PRODUIT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</si>
  <si>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</si>
  <si>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</si>
  <si>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</si>
  <si>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</si>
  <si>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</si>
  <si>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</si>
  <si>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</si>
  <si>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Unites livrees</t>
  </si>
  <si>
    <t xml:space="preserve">Unites installees (cumul)</t>
  </si>
  <si>
    <t xml:space="preserve">Prix moyen / unite (euro)</t>
  </si>
  <si>
    <t xml:space="preserve">CA Ventes unites</t>
  </si>
  <si>
    <t xml:space="preserve">Taux maintenance (% CAPEX)</t>
  </si>
  <si>
    <t xml:space="preserve">CA Maintenance</t>
  </si>
  <si>
    <t xml:space="preserve">Revenus pilotes (euro)</t>
  </si>
  <si>
    <t xml:space="preserve">Credits carbone (euro)</t>
  </si>
  <si>
    <t xml:space="preserve">CA TOTAL</t>
  </si>
  <si>
    <t xml:space="preserve">DEPENSES R&amp;D</t>
  </si>
  <si>
    <t xml:space="preserve">Personnel R&amp;D (brut charge)</t>
  </si>
  <si>
    <t xml:space="preserve">Materiaux &amp; consommables</t>
  </si>
  <si>
    <t xml:space="preserve">Equipements</t>
  </si>
  <si>
    <t xml:space="preserve">Sous-traitance R&amp;D</t>
  </si>
  <si>
    <t xml:space="preserve">Propriete intellectuelle</t>
  </si>
  <si>
    <t xml:space="preserve">Deplacements R&amp;D</t>
  </si>
  <si>
    <t xml:space="preserve">Total depenses R&amp;D</t>
  </si>
  <si>
    <t xml:space="preserve">FINANCEMENT R&amp;D (NON-DILUTIF)</t>
  </si>
  <si>
    <t xml:space="preserve">CIR (30% auto)</t>
  </si>
  <si>
    <t xml:space="preserve">CII</t>
  </si>
  <si>
    <t xml:space="preserve">Subvention BPI</t>
  </si>
  <si>
    <t xml:space="preserve">ADEME / Region</t>
  </si>
  <si>
    <t xml:space="preserve">Subvention EU (EIC, HE)</t>
  </si>
  <si>
    <t xml:space="preserve">Concours innovation</t>
  </si>
  <si>
    <t xml:space="preserve">Total non-dilutif</t>
  </si>
  <si>
    <t xml:space="preserve">Cout R&amp;D net</t>
  </si>
  <si>
    <t xml:space="preserve">COUTS FIXES (HORS R&amp;D)</t>
  </si>
  <si>
    <t xml:space="preserve">Poste</t>
  </si>
  <si>
    <t xml:space="preserve">Y1/mois</t>
  </si>
  <si>
    <t xml:space="preserve">Y2/mois</t>
  </si>
  <si>
    <t xml:space="preserve">Y3/mois</t>
  </si>
  <si>
    <t xml:space="preserve">Y4/mois</t>
  </si>
  <si>
    <t xml:space="preserve">Y5/mois</t>
  </si>
  <si>
    <t xml:space="preserve">Loyer labo</t>
  </si>
  <si>
    <t xml:space="preserve">Outils &amp; abonnements</t>
  </si>
  <si>
    <t xml:space="preserve">Comptabilite / juridique</t>
  </si>
  <si>
    <t xml:space="preserve">Marketing / BD</t>
  </si>
  <si>
    <t xml:space="preserve">Assurances</t>
  </si>
  <si>
    <t xml:space="preserve">Divers</t>
  </si>
  <si>
    <t xml:space="preserve">Total OPEX / an</t>
  </si>
  <si>
    <t xml:space="preserve">EQUIPE HORS R&amp;D</t>
  </si>
  <si>
    <t xml:space="preserve">Mois</t>
  </si>
  <si>
    <t xml:space="preserve">Brut/an</t>
  </si>
  <si>
    <t xml:space="preserve">Notes</t>
  </si>
  <si>
    <t xml:space="preserve">CEO</t>
  </si>
  <si>
    <t xml:space="preserve">CTO</t>
  </si>
  <si>
    <t xml:space="preserve">CEO salaire</t>
  </si>
  <si>
    <t xml:space="preserve">CTO salaire</t>
  </si>
  <si>
    <t xml:space="preserve">Biz Dev</t>
  </si>
  <si>
    <t xml:space="preserve">Admin</t>
  </si>
  <si>
    <t xml:space="preserve">Charges patronales</t>
  </si>
  <si>
    <t xml:space="preserve">Masse sal hors R&amp;D / an</t>
  </si>
  <si>
    <t xml:space="preserve">FINANCEMENT DILUTIF</t>
  </si>
  <si>
    <t xml:space="preserve">Source</t>
  </si>
  <si>
    <t xml:space="preserve">Montant</t>
  </si>
  <si>
    <t xml:space="preserve">Annee</t>
  </si>
  <si>
    <t xml:space="preserve">Apport fondateurs</t>
  </si>
  <si>
    <t xml:space="preserve">Love money / BA</t>
  </si>
  <si>
    <t xml:space="preserve">Seed</t>
  </si>
  <si>
    <t xml:space="preserve">Serie A</t>
  </si>
  <si>
    <t xml:space="preserve">Total dilutif</t>
  </si>
  <si>
    <t xml:space="preserve">REVENUS - DEEPTECH</t>
  </si>
  <si>
    <t xml:space="preserve">Revenus pilotes</t>
  </si>
  <si>
    <t xml:space="preserve">Credits carbone</t>
  </si>
  <si>
    <t xml:space="preserve">Financement non-dilutif R&amp;D</t>
  </si>
  <si>
    <t xml:space="preserve">Total ressources</t>
  </si>
  <si>
    <t xml:space="preserve">COUTS &amp; COMPTE DE RESULTAT</t>
  </si>
  <si>
    <t xml:space="preserve">CA Total</t>
  </si>
  <si>
    <t xml:space="preserve">COGS (production unites)</t>
  </si>
  <si>
    <t xml:space="preserve">Marge brute</t>
  </si>
  <si>
    <t xml:space="preserve">Depenses R&amp;D</t>
  </si>
  <si>
    <t xml:space="preserve">OPEX hors R&amp;D</t>
  </si>
  <si>
    <t xml:space="preserve">Masse salariale hors R&amp;D</t>
  </si>
  <si>
    <t xml:space="preserve">EBITDA (avant aides)</t>
  </si>
  <si>
    <t xml:space="preserve">Financement non-dilutif</t>
  </si>
  <si>
    <t xml:space="preserve">Resultat net (apres aides)</t>
  </si>
  <si>
    <t xml:space="preserve">TRESORERIE</t>
  </si>
  <si>
    <t xml:space="preserve">Tresorerie debut</t>
  </si>
  <si>
    <t xml:space="preserve">CA</t>
  </si>
  <si>
    <t xml:space="preserve">Aides non-dilutif</t>
  </si>
  <si>
    <t xml:space="preserve">Decaissements</t>
  </si>
  <si>
    <t xml:space="preserve">CAPEX hors R&amp;D</t>
  </si>
  <si>
    <t xml:space="preserve">Financement dilutif</t>
  </si>
  <si>
    <t xml:space="preserve">Remboursements</t>
  </si>
  <si>
    <t xml:space="preserve">Flux net</t>
  </si>
  <si>
    <t xml:space="preserve">Tresorerie fin</t>
  </si>
  <si>
    <t xml:space="preserve">Burn rate mensuel</t>
  </si>
  <si>
    <t xml:space="preserve">Runway (mois)</t>
  </si>
  <si>
    <t xml:space="preserve">KPIs - DEEPTECH</t>
  </si>
  <si>
    <t xml:space="preserve">INDICATEUR</t>
  </si>
  <si>
    <t xml:space="preserve">R&amp;D</t>
  </si>
  <si>
    <t xml:space="preserve">% R&amp;D financee</t>
  </si>
  <si>
    <t xml:space="preserve">REVENUS</t>
  </si>
  <si>
    <t xml:space="preserve">CA total</t>
  </si>
  <si>
    <t xml:space="preserve">Unites installees</t>
  </si>
  <si>
    <t xml:space="preserve">CA maintenance</t>
  </si>
  <si>
    <t xml:space="preserve">RENTABILITE</t>
  </si>
  <si>
    <t xml:space="preserve">EBITDA avant aides</t>
  </si>
  <si>
    <t xml:space="preserve">Resultat apres aides</t>
  </si>
  <si>
    <t xml:space="preserve">Tresorerie</t>
  </si>
  <si>
    <t xml:space="preserve">MODE D'EMPLOI - BP DEEPTECH</t>
  </si>
  <si>
    <t xml:space="preserve">Template pour startups DeepTech, industrielles, CleanTech, hardware, materiaux.</t>
  </si>
  <si>
    <t xml:space="preserve">Horizon 5 ans - R&amp;D detaillee - CIR automatique - Financement non-dilutif</t>
  </si>
  <si>
    <t xml:space="preserve">ETAPE 1 : Plan strategique (TRL, brevets, feuille de route)</t>
  </si>
  <si>
    <t xml:space="preserve">ETAPE 2 : Hypotheses (revenus, R&amp;D, financement, equipe)</t>
  </si>
  <si>
    <t xml:space="preserve">ETAPE 3 : Verifier Revenus, Couts, Tresorerie, KPIs</t>
  </si>
  <si>
    <t xml:space="preserve">CLE : CIR calcule auto a 30% des depenses R&amp;D.</t>
  </si>
  <si>
    <t xml:space="preserve">Surveillez le runway et planifiez les levees 6-9 mois a l avance.</t>
  </si>
  <si>
    <t xml:space="preserve">Demandez a Sam (Agent Finance FounderAI) de valider vos hypotheses !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</si>
</sst>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#,##0;\(#,##0\);\-"/>
    <numFmt numFmtId="167" formatCode="General"/>
    <numFmt numFmtId="168" formatCode="0.0%"/>
    <numFmt numFmtId="169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i val="true"/>
      <sz val="10"/>
      <color rgb="FF94A3B8"/>
      <name val="Arial"/>
      <family val="0"/>
      <charset val="1"/>
    </font>
    <font>
      <b val="true"/>
      <sz val="12"/>
      <color rgb="FF6C63FF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i val="true"/>
      <sz val="11"/>
      <color rgb="FF9CA3A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475569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059669"/>
      <name val="Arial"/>
      <family val="0"/>
      <charset val="1"/>
    </font>
    <font>
      <sz val="11"/>
      <color rgb="FF2D2D3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EF9C3"/>
        <bgColor rgb="FFFFFBEB"/>
      </patternFill>
    </fill>
    <fill>
      <patternFill patternType="solid">
        <fgColor rgb="FF6C63FF"/>
        <bgColor rgb="FF808080"/>
      </patternFill>
    </fill>
    <fill>
      <patternFill patternType="solid">
        <fgColor rgb="FFECFDF5"/>
        <bgColor rgb="FFEFF6FF"/>
      </patternFill>
    </fill>
    <fill>
      <patternFill patternType="solid">
        <fgColor rgb="FFF3E8FF"/>
        <bgColor rgb="FFEFF6FF"/>
      </patternFill>
    </fill>
    <fill>
      <patternFill patternType="solid">
        <fgColor rgb="FFFFFBEB"/>
        <bgColor rgb="FFFFFFFF"/>
      </patternFill>
    </fill>
    <fill>
      <patternFill patternType="solid">
        <fgColor rgb="FFEFF6FF"/>
        <bgColor rgb="FFECFDF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4A3B8"/>
      <rgbColor rgb="FF993366"/>
      <rgbColor rgb="FFFEF9C3"/>
      <rgbColor rgb="FFECFDF5"/>
      <rgbColor rgb="FF660066"/>
      <rgbColor rgb="FFFF8080"/>
      <rgbColor rgb="FF0066CC"/>
      <rgbColor rgb="FFF3E8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CCFFCC"/>
      <rgbColor rgb="FFFFFBEB"/>
      <rgbColor rgb="FF99CCFF"/>
      <rgbColor rgb="FFFF99CC"/>
      <rgbColor rgb="FFCC99FF"/>
      <rgbColor rgb="FFFFCC99"/>
      <rgbColor rgb="FF6C63FF"/>
      <rgbColor rgb="FF33CCCC"/>
      <rgbColor rgb="FF99CC00"/>
      <rgbColor rgb="FFFFCC00"/>
      <rgbColor rgb="FFFF9900"/>
      <rgbColor rgb="FFFF6600"/>
      <rgbColor rgb="FF475569"/>
      <rgbColor rgb="FF9CA3AF"/>
      <rgbColor rgb="FF1E293B"/>
      <rgbColor rgb="FF339966"/>
      <rgbColor rgb="FF003300"/>
      <rgbColor rgb="FF1A1A2E"/>
      <rgbColor rgb="FF993300"/>
      <rgbColor rgb="FF993366"/>
      <rgbColor rgb="FF333399"/>
      <rgbColor rgb="FF2D2D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55"/>
    <col collapsed="false" customWidth="true" hidden="false" outlineLevel="0" max="3" min="3" style="1" width="2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s">
        <v>4</v>
      </c>
    </row>
    <row r="6" customFormat="false" ht="15" hidden="false" customHeight="true" outlineLevel="0" collapsed="false">
      <c r="A6" s="5" t="s">
        <v>5</v>
      </c>
      <c r="B6" s="6" t="s">
        <v>6</v>
      </c>
    </row>
    <row r="7" customFormat="false" ht="15" hidden="false" customHeight="true" outlineLevel="0" collapsed="false">
      <c r="A7" s="5" t="s">
        <v>7</v>
      </c>
      <c r="B7" s="6" t="s">
        <v>8</v>
      </c>
    </row>
    <row r="8" customFormat="false" ht="15" hidden="false" customHeight="true" outlineLevel="0" collapsed="false">
      <c r="A8" s="5" t="s">
        <v>9</v>
      </c>
      <c r="B8" s="6" t="s">
        <v>10</v>
      </c>
    </row>
    <row r="9" customFormat="false" ht="15" hidden="false" customHeight="true" outlineLevel="0" collapsed="false">
      <c r="A9" s="5" t="s">
        <v>11</v>
      </c>
      <c r="B9" s="6" t="s">
        <v>12</v>
      </c>
    </row>
    <row r="10" customFormat="false" ht="15" hidden="false" customHeight="true" outlineLevel="0" collapsed="false">
      <c r="A10" s="5" t="s">
        <v>13</v>
      </c>
      <c r="B10" s="6" t="s">
        <v>14</v>
      </c>
    </row>
    <row r="12" customFormat="false" ht="15" hidden="false" customHeight="true" outlineLevel="0" collapsed="false">
      <c r="A12" s="4" t="s">
        <v>15</v>
      </c>
    </row>
    <row r="13" customFormat="false" ht="15" hidden="false" customHeight="true" outlineLevel="0" collapsed="false">
      <c r="A13" s="5" t="s">
        <v>16</v>
      </c>
      <c r="B13" s="6" t="s">
        <v>17</v>
      </c>
      <c r="C13" s="3" t="s">
        <v>18</v>
      </c>
    </row>
    <row r="14" customFormat="false" ht="15" hidden="false" customHeight="true" outlineLevel="0" collapsed="false">
      <c r="A14" s="5" t="s">
        <v>19</v>
      </c>
      <c r="B14" s="6" t="s">
        <v>20</v>
      </c>
      <c r="C14" s="3" t="s">
        <v>21</v>
      </c>
    </row>
    <row r="15" customFormat="false" ht="15" hidden="false" customHeight="true" outlineLevel="0" collapsed="false">
      <c r="A15" s="5" t="s">
        <v>22</v>
      </c>
      <c r="B15" s="6" t="s">
        <v>23</v>
      </c>
      <c r="C15" s="3" t="s">
        <v>24</v>
      </c>
    </row>
    <row r="16" customFormat="false" ht="15" hidden="false" customHeight="true" outlineLevel="0" collapsed="false">
      <c r="A16" s="5" t="s">
        <v>25</v>
      </c>
      <c r="B16" s="6" t="s">
        <v>26</v>
      </c>
      <c r="C16" s="3" t="s">
        <v>27</v>
      </c>
    </row>
    <row r="18" customFormat="false" ht="15" hidden="false" customHeight="true" outlineLevel="0" collapsed="false">
      <c r="A18" s="4" t="s">
        <v>28</v>
      </c>
    </row>
    <row r="19" customFormat="false" ht="15" hidden="false" customHeight="true" outlineLevel="0" collapsed="false">
      <c r="A19" s="5" t="s">
        <v>29</v>
      </c>
      <c r="B19" s="6" t="s">
        <v>30</v>
      </c>
    </row>
    <row r="20" customFormat="false" ht="15" hidden="false" customHeight="true" outlineLevel="0" collapsed="false">
      <c r="A20" s="5" t="s">
        <v>31</v>
      </c>
      <c r="B20" s="6" t="s">
        <v>32</v>
      </c>
    </row>
    <row r="21" customFormat="false" ht="15" hidden="false" customHeight="true" outlineLevel="0" collapsed="false">
      <c r="A21" s="5" t="s">
        <v>33</v>
      </c>
      <c r="B21" s="6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6" min="2" style="1" width="14"/>
    <col collapsed="false" customWidth="true" hidden="false" outlineLevel="0" max="7" min="7" style="1" width="22"/>
  </cols>
  <sheetData>
    <row r="1" customFormat="false" ht="17.25" hidden="false" customHeight="true" outlineLevel="0" collapsed="false">
      <c r="A1" s="2" t="s">
        <v>35</v>
      </c>
    </row>
    <row r="3" customFormat="false" ht="15" hidden="false" customHeight="true" outlineLevel="0" collapsed="false">
      <c r="A3" s="4" t="s">
        <v>36</v>
      </c>
    </row>
    <row r="4" customFormat="false" ht="15" hidden="false" customHeight="true" outlineLevel="0" collapsed="false">
      <c r="A4" s="7"/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  <c r="G4" s="8" t="s">
        <v>42</v>
      </c>
      <c r="H4" s="8" t="s">
        <v>43</v>
      </c>
    </row>
    <row r="5" customFormat="false" ht="15" hidden="false" customHeight="true" outlineLevel="0" collapsed="false">
      <c r="A5" s="9" t="s">
        <v>44</v>
      </c>
      <c r="B5" s="10" t="n">
        <v>0</v>
      </c>
      <c r="C5" s="10" t="n">
        <v>0</v>
      </c>
      <c r="D5" s="10" t="n">
        <v>0</v>
      </c>
      <c r="E5" s="10" t="n">
        <v>2</v>
      </c>
      <c r="F5" s="10" t="n">
        <v>3</v>
      </c>
      <c r="G5" s="11" t="n">
        <v>5</v>
      </c>
      <c r="H5" s="12" t="n">
        <v>8</v>
      </c>
    </row>
    <row r="6" customFormat="false" ht="15" hidden="false" customHeight="true" outlineLevel="0" collapsed="false">
      <c r="A6" s="9" t="s">
        <v>45</v>
      </c>
      <c r="B6" s="10" t="n">
        <v>0</v>
      </c>
      <c r="C6" s="10" t="n">
        <v>0</v>
      </c>
      <c r="D6" s="10" t="n">
        <v>0</v>
      </c>
      <c r="E6" s="10" t="n">
        <v>2</v>
      </c>
      <c r="F6" s="10" t="n">
        <v>5</v>
      </c>
      <c r="G6" s="11" t="n">
        <v>8</v>
      </c>
      <c r="H6" s="12" t="n">
        <v>13</v>
      </c>
    </row>
    <row r="7" customFormat="false" ht="15" hidden="false" customHeight="true" outlineLevel="0" collapsed="false">
      <c r="A7" s="9" t="s">
        <v>46</v>
      </c>
      <c r="B7" s="6" t="n">
        <v>0</v>
      </c>
      <c r="C7" s="6" t="n">
        <v>0</v>
      </c>
      <c r="D7" s="6" t="n">
        <v>0</v>
      </c>
      <c r="E7" s="6" t="n">
        <v>800000</v>
      </c>
      <c r="F7" s="6" t="n">
        <v>900000</v>
      </c>
      <c r="G7" s="13" t="n">
        <v>950000</v>
      </c>
      <c r="H7" s="14" t="n">
        <v>1000000</v>
      </c>
    </row>
    <row r="8" customFormat="false" ht="15" hidden="false" customHeight="true" outlineLevel="0" collapsed="false">
      <c r="A8" s="15" t="s">
        <v>47</v>
      </c>
      <c r="B8" s="16" t="n">
        <f aca="false">B5*B7</f>
        <v>0</v>
      </c>
      <c r="C8" s="16" t="n">
        <f aca="false">C5*C7</f>
        <v>0</v>
      </c>
      <c r="D8" s="16" t="n">
        <f aca="false">D5*D7</f>
        <v>0</v>
      </c>
      <c r="E8" s="16" t="n">
        <f aca="false">E5*E7</f>
        <v>1600000</v>
      </c>
      <c r="F8" s="16" t="n">
        <f aca="false">F5*F7</f>
        <v>2700000</v>
      </c>
      <c r="G8" s="17" t="n">
        <f aca="false">G5*G7</f>
        <v>4750000</v>
      </c>
      <c r="H8" s="17" t="n">
        <f aca="false">H5*H7</f>
        <v>8000000</v>
      </c>
    </row>
    <row r="9" customFormat="false" ht="15" hidden="false" customHeight="true" outlineLevel="0" collapsed="false">
      <c r="A9" s="9" t="s">
        <v>48</v>
      </c>
      <c r="B9" s="18" t="n">
        <v>0</v>
      </c>
      <c r="C9" s="18" t="n">
        <v>0</v>
      </c>
      <c r="D9" s="18" t="n">
        <v>0</v>
      </c>
      <c r="E9" s="18" t="n">
        <v>0.15</v>
      </c>
      <c r="F9" s="18" t="n">
        <v>0.15</v>
      </c>
      <c r="G9" s="18" t="n">
        <v>0.15</v>
      </c>
      <c r="H9" s="19" t="n">
        <v>0.15</v>
      </c>
    </row>
    <row r="10" customFormat="false" ht="15" hidden="false" customHeight="true" outlineLevel="0" collapsed="false">
      <c r="A10" s="15" t="s">
        <v>49</v>
      </c>
      <c r="B10" s="16" t="n">
        <f aca="false">B6*B7*B9</f>
        <v>0</v>
      </c>
      <c r="C10" s="16" t="n">
        <f aca="false">C6*C7*C9</f>
        <v>0</v>
      </c>
      <c r="D10" s="16" t="n">
        <f aca="false">D6*D7*D9</f>
        <v>0</v>
      </c>
      <c r="E10" s="16" t="n">
        <f aca="false">E6*E7*E9</f>
        <v>240000</v>
      </c>
      <c r="F10" s="16" t="n">
        <f aca="false">F6*F7*F9</f>
        <v>675000</v>
      </c>
      <c r="G10" s="17" t="n">
        <f aca="false">G6*G7*G9</f>
        <v>1140000</v>
      </c>
      <c r="H10" s="17" t="n">
        <f aca="false">H6*H7*H9</f>
        <v>1950000</v>
      </c>
    </row>
    <row r="11" customFormat="false" ht="15" hidden="false" customHeight="true" outlineLevel="0" collapsed="false">
      <c r="A11" s="9" t="s">
        <v>50</v>
      </c>
      <c r="B11" s="6" t="n">
        <v>0</v>
      </c>
      <c r="C11" s="6" t="n">
        <v>30000</v>
      </c>
      <c r="D11" s="6" t="n">
        <v>80000</v>
      </c>
      <c r="E11" s="6" t="n">
        <v>50000</v>
      </c>
      <c r="F11" s="6" t="n">
        <v>0</v>
      </c>
      <c r="G11" s="13" t="n">
        <v>0</v>
      </c>
      <c r="H11" s="14" t="n">
        <v>0</v>
      </c>
    </row>
    <row r="12" customFormat="false" ht="15" hidden="false" customHeight="true" outlineLevel="0" collapsed="false">
      <c r="A12" s="9" t="s">
        <v>51</v>
      </c>
      <c r="B12" s="6" t="n">
        <v>0</v>
      </c>
      <c r="C12" s="6" t="n">
        <v>0</v>
      </c>
      <c r="D12" s="6" t="n">
        <v>0</v>
      </c>
      <c r="E12" s="6" t="n">
        <v>20000</v>
      </c>
      <c r="F12" s="6" t="n">
        <v>60000</v>
      </c>
      <c r="G12" s="13" t="n">
        <v>100000</v>
      </c>
      <c r="H12" s="14" t="n">
        <v>150000</v>
      </c>
    </row>
    <row r="13" customFormat="false" ht="15" hidden="false" customHeight="true" outlineLevel="0" collapsed="false">
      <c r="A13" s="15" t="s">
        <v>52</v>
      </c>
      <c r="B13" s="16" t="n">
        <f aca="false">B8+B10+B11+B12</f>
        <v>0</v>
      </c>
      <c r="C13" s="16" t="n">
        <f aca="false">C8+C10+C11+C12</f>
        <v>30000</v>
      </c>
      <c r="D13" s="16" t="n">
        <f aca="false">D8+D10+D11+D12</f>
        <v>80000</v>
      </c>
      <c r="E13" s="16" t="n">
        <f aca="false">E8+E10+E11+E12</f>
        <v>1910000</v>
      </c>
      <c r="F13" s="16" t="n">
        <f aca="false">F8+F10+F11+F12</f>
        <v>3435000</v>
      </c>
      <c r="G13" s="17" t="n">
        <f aca="false">G8+G10+G11+G12</f>
        <v>5990000</v>
      </c>
      <c r="H13" s="17" t="n">
        <f aca="false">H8+H10+H11+H12</f>
        <v>10100000</v>
      </c>
    </row>
    <row r="15" customFormat="false" ht="15" hidden="false" customHeight="true" outlineLevel="0" collapsed="false">
      <c r="A15" s="4" t="s">
        <v>53</v>
      </c>
    </row>
    <row r="16" customFormat="false" ht="15" hidden="false" customHeight="true" outlineLevel="0" collapsed="false">
      <c r="A16" s="7"/>
      <c r="B16" s="7" t="s">
        <v>37</v>
      </c>
      <c r="C16" s="7" t="s">
        <v>38</v>
      </c>
      <c r="D16" s="7" t="s">
        <v>39</v>
      </c>
      <c r="E16" s="7" t="s">
        <v>40</v>
      </c>
      <c r="F16" s="7" t="s">
        <v>41</v>
      </c>
      <c r="G16" s="8" t="s">
        <v>42</v>
      </c>
      <c r="H16" s="8" t="s">
        <v>43</v>
      </c>
    </row>
    <row r="17" customFormat="false" ht="15" hidden="false" customHeight="true" outlineLevel="0" collapsed="false">
      <c r="A17" s="9" t="s">
        <v>54</v>
      </c>
      <c r="B17" s="6" t="n">
        <v>180000</v>
      </c>
      <c r="C17" s="6" t="n">
        <v>320000</v>
      </c>
      <c r="D17" s="6" t="n">
        <v>400000</v>
      </c>
      <c r="E17" s="6" t="n">
        <v>350000</v>
      </c>
      <c r="F17" s="6" t="n">
        <v>300000</v>
      </c>
      <c r="G17" s="13" t="n">
        <v>200000</v>
      </c>
      <c r="H17" s="14" t="n">
        <v>150000</v>
      </c>
    </row>
    <row r="18" customFormat="false" ht="15" hidden="false" customHeight="true" outlineLevel="0" collapsed="false">
      <c r="A18" s="9" t="s">
        <v>55</v>
      </c>
      <c r="B18" s="6" t="n">
        <v>40000</v>
      </c>
      <c r="C18" s="6" t="n">
        <v>60000</v>
      </c>
      <c r="D18" s="6" t="n">
        <v>80000</v>
      </c>
      <c r="E18" s="6" t="n">
        <v>50000</v>
      </c>
      <c r="F18" s="6" t="n">
        <v>30000</v>
      </c>
      <c r="G18" s="13" t="n">
        <v>20000</v>
      </c>
      <c r="H18" s="14" t="n">
        <v>15000</v>
      </c>
    </row>
    <row r="19" customFormat="false" ht="15" hidden="false" customHeight="true" outlineLevel="0" collapsed="false">
      <c r="A19" s="9" t="s">
        <v>56</v>
      </c>
      <c r="B19" s="6" t="n">
        <v>30000</v>
      </c>
      <c r="C19" s="6" t="n">
        <v>50000</v>
      </c>
      <c r="D19" s="6" t="n">
        <v>100000</v>
      </c>
      <c r="E19" s="6" t="n">
        <v>40000</v>
      </c>
      <c r="F19" s="6" t="n">
        <v>20000</v>
      </c>
      <c r="G19" s="13" t="n">
        <v>10000</v>
      </c>
      <c r="H19" s="14" t="n">
        <v>5000</v>
      </c>
    </row>
    <row r="20" customFormat="false" ht="15" hidden="false" customHeight="true" outlineLevel="0" collapsed="false">
      <c r="A20" s="9" t="s">
        <v>57</v>
      </c>
      <c r="B20" s="6" t="n">
        <v>20000</v>
      </c>
      <c r="C20" s="6" t="n">
        <v>40000</v>
      </c>
      <c r="D20" s="6" t="n">
        <v>60000</v>
      </c>
      <c r="E20" s="6" t="n">
        <v>30000</v>
      </c>
      <c r="F20" s="6" t="n">
        <v>15000</v>
      </c>
      <c r="G20" s="13" t="n">
        <v>10000</v>
      </c>
      <c r="H20" s="14" t="n">
        <v>5000</v>
      </c>
    </row>
    <row r="21" customFormat="false" ht="15" hidden="false" customHeight="true" outlineLevel="0" collapsed="false">
      <c r="A21" s="9" t="s">
        <v>58</v>
      </c>
      <c r="B21" s="6" t="n">
        <v>15000</v>
      </c>
      <c r="C21" s="6" t="n">
        <v>20000</v>
      </c>
      <c r="D21" s="6" t="n">
        <v>15000</v>
      </c>
      <c r="E21" s="6" t="n">
        <v>10000</v>
      </c>
      <c r="F21" s="6" t="n">
        <v>10000</v>
      </c>
      <c r="G21" s="13" t="n">
        <v>10000</v>
      </c>
      <c r="H21" s="14" t="n">
        <v>10000</v>
      </c>
    </row>
    <row r="22" customFormat="false" ht="15" hidden="false" customHeight="true" outlineLevel="0" collapsed="false">
      <c r="A22" s="9" t="s">
        <v>59</v>
      </c>
      <c r="B22" s="6" t="n">
        <v>5000</v>
      </c>
      <c r="C22" s="6" t="n">
        <v>10000</v>
      </c>
      <c r="D22" s="6" t="n">
        <v>15000</v>
      </c>
      <c r="E22" s="6" t="n">
        <v>10000</v>
      </c>
      <c r="F22" s="6" t="n">
        <v>8000</v>
      </c>
      <c r="G22" s="13" t="n">
        <v>5000</v>
      </c>
      <c r="H22" s="14" t="n">
        <v>3000</v>
      </c>
    </row>
    <row r="23" customFormat="false" ht="15" hidden="false" customHeight="true" outlineLevel="0" collapsed="false">
      <c r="A23" s="20" t="s">
        <v>60</v>
      </c>
      <c r="B23" s="21" t="n">
        <f aca="false">SUM(B17:B22)</f>
        <v>290000</v>
      </c>
      <c r="C23" s="21" t="n">
        <f aca="false">SUM(C17:C22)</f>
        <v>500000</v>
      </c>
      <c r="D23" s="21" t="n">
        <f aca="false">SUM(D17:D22)</f>
        <v>670000</v>
      </c>
      <c r="E23" s="21" t="n">
        <f aca="false">SUM(E17:E22)</f>
        <v>490000</v>
      </c>
      <c r="F23" s="21" t="n">
        <f aca="false">SUM(F17:F22)</f>
        <v>383000</v>
      </c>
      <c r="G23" s="22" t="n">
        <f aca="false">SUM(G17:G22)</f>
        <v>255000</v>
      </c>
      <c r="H23" s="22" t="n">
        <f aca="false">SUM(H17:H22)</f>
        <v>188000</v>
      </c>
    </row>
    <row r="25" customFormat="false" ht="15" hidden="false" customHeight="true" outlineLevel="0" collapsed="false">
      <c r="A25" s="4" t="s">
        <v>61</v>
      </c>
    </row>
    <row r="26" customFormat="false" ht="15" hidden="false" customHeight="true" outlineLevel="0" collapsed="false">
      <c r="A26" s="7"/>
      <c r="B26" s="7" t="s">
        <v>37</v>
      </c>
      <c r="C26" s="7" t="s">
        <v>38</v>
      </c>
      <c r="D26" s="7" t="s">
        <v>39</v>
      </c>
      <c r="E26" s="7" t="s">
        <v>40</v>
      </c>
      <c r="F26" s="7" t="s">
        <v>41</v>
      </c>
      <c r="G26" s="8" t="s">
        <v>42</v>
      </c>
      <c r="H26" s="8" t="s">
        <v>43</v>
      </c>
    </row>
    <row r="27" customFormat="false" ht="15" hidden="false" customHeight="true" outlineLevel="0" collapsed="false">
      <c r="A27" s="15" t="s">
        <v>62</v>
      </c>
      <c r="B27" s="16" t="n">
        <f aca="false">ROUND(B23*0.3,0)</f>
        <v>87000</v>
      </c>
      <c r="C27" s="16" t="n">
        <f aca="false">ROUND(C23*0.3,0)</f>
        <v>150000</v>
      </c>
      <c r="D27" s="16" t="n">
        <f aca="false">ROUND(D23*0.3,0)</f>
        <v>201000</v>
      </c>
      <c r="E27" s="16" t="n">
        <f aca="false">ROUND(E23*0.3,0)</f>
        <v>147000</v>
      </c>
      <c r="F27" s="16" t="n">
        <f aca="false">ROUND(F23*0.3,0)</f>
        <v>114900</v>
      </c>
      <c r="G27" s="23" t="n">
        <f aca="false">ROUND(G23*0.3,0)</f>
        <v>76500</v>
      </c>
      <c r="H27" s="17" t="n">
        <f aca="false">ROUND(H23*0.3,0)</f>
        <v>56400</v>
      </c>
    </row>
    <row r="28" customFormat="false" ht="15" hidden="false" customHeight="true" outlineLevel="0" collapsed="false">
      <c r="A28" s="9" t="s">
        <v>63</v>
      </c>
      <c r="B28" s="6" t="n">
        <v>0</v>
      </c>
      <c r="C28" s="6" t="n">
        <v>0</v>
      </c>
      <c r="D28" s="6" t="n">
        <v>10000</v>
      </c>
      <c r="E28" s="6" t="n">
        <v>15000</v>
      </c>
      <c r="F28" s="6" t="n">
        <v>20000</v>
      </c>
      <c r="G28" s="13" t="n">
        <v>15000</v>
      </c>
      <c r="H28" s="14" t="n">
        <v>10000</v>
      </c>
    </row>
    <row r="29" customFormat="false" ht="15" hidden="false" customHeight="true" outlineLevel="0" collapsed="false">
      <c r="A29" s="9" t="s">
        <v>64</v>
      </c>
      <c r="B29" s="6" t="n">
        <v>0</v>
      </c>
      <c r="C29" s="6" t="n">
        <v>100000</v>
      </c>
      <c r="D29" s="6" t="n">
        <v>80000</v>
      </c>
      <c r="E29" s="6" t="n">
        <v>0</v>
      </c>
      <c r="F29" s="6" t="n">
        <v>0</v>
      </c>
      <c r="G29" s="13" t="n">
        <v>0</v>
      </c>
      <c r="H29" s="14" t="n">
        <v>0</v>
      </c>
    </row>
    <row r="30" customFormat="false" ht="15" hidden="false" customHeight="true" outlineLevel="0" collapsed="false">
      <c r="A30" s="9" t="s">
        <v>65</v>
      </c>
      <c r="B30" s="6" t="n">
        <v>50000</v>
      </c>
      <c r="C30" s="6" t="n">
        <v>0</v>
      </c>
      <c r="D30" s="6" t="n">
        <v>60000</v>
      </c>
      <c r="E30" s="6" t="n">
        <v>0</v>
      </c>
      <c r="F30" s="6" t="n">
        <v>0</v>
      </c>
      <c r="G30" s="13" t="n">
        <v>0</v>
      </c>
      <c r="H30" s="14" t="n">
        <v>0</v>
      </c>
    </row>
    <row r="31" customFormat="false" ht="15" hidden="false" customHeight="true" outlineLevel="0" collapsed="false">
      <c r="A31" s="9" t="s">
        <v>66</v>
      </c>
      <c r="B31" s="6" t="n">
        <v>0</v>
      </c>
      <c r="C31" s="6" t="n">
        <v>0</v>
      </c>
      <c r="D31" s="6" t="n">
        <v>200000</v>
      </c>
      <c r="E31" s="6" t="n">
        <v>0</v>
      </c>
      <c r="F31" s="6" t="n">
        <v>0</v>
      </c>
      <c r="G31" s="13" t="n">
        <v>0</v>
      </c>
      <c r="H31" s="14" t="n">
        <v>0</v>
      </c>
    </row>
    <row r="32" customFormat="false" ht="15" hidden="false" customHeight="true" outlineLevel="0" collapsed="false">
      <c r="A32" s="9" t="s">
        <v>67</v>
      </c>
      <c r="B32" s="6" t="n">
        <v>30000</v>
      </c>
      <c r="C32" s="6" t="n">
        <v>20000</v>
      </c>
      <c r="D32" s="6" t="n">
        <v>0</v>
      </c>
      <c r="E32" s="6" t="n">
        <v>0</v>
      </c>
      <c r="F32" s="6" t="n">
        <v>0</v>
      </c>
      <c r="G32" s="13" t="n">
        <v>0</v>
      </c>
      <c r="H32" s="14" t="n">
        <v>0</v>
      </c>
    </row>
    <row r="33" customFormat="false" ht="15" hidden="false" customHeight="true" outlineLevel="0" collapsed="false">
      <c r="A33" s="15" t="s">
        <v>68</v>
      </c>
      <c r="B33" s="16" t="n">
        <f aca="false">SUM(B27:B32)</f>
        <v>167000</v>
      </c>
      <c r="C33" s="16" t="n">
        <f aca="false">SUM(C27:C32)</f>
        <v>270000</v>
      </c>
      <c r="D33" s="16" t="n">
        <f aca="false">SUM(D27:D32)</f>
        <v>551000</v>
      </c>
      <c r="E33" s="16" t="n">
        <f aca="false">SUM(E27:E32)</f>
        <v>162000</v>
      </c>
      <c r="F33" s="16" t="n">
        <f aca="false">SUM(F27:F32)</f>
        <v>134900</v>
      </c>
      <c r="G33" s="17" t="n">
        <f aca="false">SUM(G27:G32)</f>
        <v>91500</v>
      </c>
      <c r="H33" s="17" t="n">
        <f aca="false">SUM(H27:H32)</f>
        <v>66400</v>
      </c>
    </row>
    <row r="34" customFormat="false" ht="15" hidden="false" customHeight="true" outlineLevel="0" collapsed="false">
      <c r="A34" s="24" t="s">
        <v>69</v>
      </c>
      <c r="B34" s="25" t="n">
        <f aca="false">B23-B33</f>
        <v>123000</v>
      </c>
      <c r="C34" s="25" t="n">
        <f aca="false">C23-C33</f>
        <v>230000</v>
      </c>
      <c r="D34" s="25" t="n">
        <f aca="false">D23-D33</f>
        <v>119000</v>
      </c>
      <c r="E34" s="25" t="n">
        <f aca="false">E23-E33</f>
        <v>328000</v>
      </c>
      <c r="F34" s="25" t="n">
        <f aca="false">F23-F33</f>
        <v>248100</v>
      </c>
      <c r="G34" s="26" t="n">
        <f aca="false">G23-G33</f>
        <v>163500</v>
      </c>
      <c r="H34" s="26" t="n">
        <f aca="false">H23-H33</f>
        <v>121600</v>
      </c>
    </row>
    <row r="36" customFormat="false" ht="15" hidden="false" customHeight="true" outlineLevel="0" collapsed="false">
      <c r="A36" s="4" t="s">
        <v>70</v>
      </c>
    </row>
    <row r="37" customFormat="false" ht="15" hidden="false" customHeight="true" outlineLevel="0" collapsed="false">
      <c r="A37" s="7" t="s">
        <v>71</v>
      </c>
      <c r="B37" s="7" t="s">
        <v>72</v>
      </c>
      <c r="C37" s="7" t="s">
        <v>73</v>
      </c>
      <c r="D37" s="7" t="s">
        <v>74</v>
      </c>
      <c r="E37" s="7" t="s">
        <v>75</v>
      </c>
      <c r="F37" s="7" t="s">
        <v>76</v>
      </c>
      <c r="G37" s="8" t="s">
        <v>42</v>
      </c>
      <c r="H37" s="8" t="s">
        <v>43</v>
      </c>
    </row>
    <row r="38" customFormat="false" ht="15" hidden="false" customHeight="true" outlineLevel="0" collapsed="false">
      <c r="A38" s="9" t="s">
        <v>77</v>
      </c>
      <c r="B38" s="6" t="n">
        <v>800</v>
      </c>
      <c r="C38" s="6" t="n">
        <v>1200</v>
      </c>
      <c r="D38" s="6" t="n">
        <v>2000</v>
      </c>
      <c r="E38" s="6" t="n">
        <v>3000</v>
      </c>
      <c r="F38" s="6" t="n">
        <v>4000</v>
      </c>
      <c r="G38" s="14" t="n">
        <v>5000</v>
      </c>
      <c r="H38" s="14" t="n">
        <v>6000</v>
      </c>
    </row>
    <row r="39" customFormat="false" ht="15" hidden="false" customHeight="true" outlineLevel="0" collapsed="false">
      <c r="A39" s="9" t="s">
        <v>78</v>
      </c>
      <c r="B39" s="6" t="n">
        <v>200</v>
      </c>
      <c r="C39" s="6" t="n">
        <v>300</v>
      </c>
      <c r="D39" s="6" t="n">
        <v>500</v>
      </c>
      <c r="E39" s="6" t="n">
        <v>700</v>
      </c>
      <c r="F39" s="6" t="n">
        <v>900</v>
      </c>
      <c r="G39" s="14" t="n">
        <v>1100</v>
      </c>
      <c r="H39" s="14" t="n">
        <v>1300</v>
      </c>
    </row>
    <row r="40" customFormat="false" ht="15" hidden="false" customHeight="true" outlineLevel="0" collapsed="false">
      <c r="A40" s="9" t="s">
        <v>79</v>
      </c>
      <c r="B40" s="6" t="n">
        <v>300</v>
      </c>
      <c r="C40" s="6" t="n">
        <v>500</v>
      </c>
      <c r="D40" s="6" t="n">
        <v>700</v>
      </c>
      <c r="E40" s="6" t="n">
        <v>900</v>
      </c>
      <c r="F40" s="6" t="n">
        <v>1200</v>
      </c>
      <c r="G40" s="14" t="n">
        <v>1500</v>
      </c>
      <c r="H40" s="14" t="n">
        <v>1800</v>
      </c>
    </row>
    <row r="41" customFormat="false" ht="15" hidden="false" customHeight="true" outlineLevel="0" collapsed="false">
      <c r="A41" s="9" t="s">
        <v>80</v>
      </c>
      <c r="B41" s="6" t="n">
        <v>200</v>
      </c>
      <c r="C41" s="6" t="n">
        <v>500</v>
      </c>
      <c r="D41" s="6" t="n">
        <v>1500</v>
      </c>
      <c r="E41" s="6" t="n">
        <v>3000</v>
      </c>
      <c r="F41" s="6" t="n">
        <v>5000</v>
      </c>
      <c r="G41" s="14" t="n">
        <v>7000</v>
      </c>
      <c r="H41" s="14" t="n">
        <v>9000</v>
      </c>
    </row>
    <row r="42" customFormat="false" ht="15" hidden="false" customHeight="true" outlineLevel="0" collapsed="false">
      <c r="A42" s="9" t="s">
        <v>81</v>
      </c>
      <c r="B42" s="6" t="n">
        <v>150</v>
      </c>
      <c r="C42" s="6" t="n">
        <v>200</v>
      </c>
      <c r="D42" s="6" t="n">
        <v>400</v>
      </c>
      <c r="E42" s="6" t="n">
        <v>600</v>
      </c>
      <c r="F42" s="6" t="n">
        <v>800</v>
      </c>
      <c r="G42" s="14" t="n">
        <v>1000</v>
      </c>
      <c r="H42" s="14" t="n">
        <v>1200</v>
      </c>
    </row>
    <row r="43" customFormat="false" ht="15" hidden="false" customHeight="true" outlineLevel="0" collapsed="false">
      <c r="A43" s="9" t="s">
        <v>82</v>
      </c>
      <c r="B43" s="6" t="n">
        <v>150</v>
      </c>
      <c r="C43" s="6" t="n">
        <v>300</v>
      </c>
      <c r="D43" s="6" t="n">
        <v>400</v>
      </c>
      <c r="E43" s="6" t="n">
        <v>500</v>
      </c>
      <c r="F43" s="6" t="n">
        <v>600</v>
      </c>
      <c r="G43" s="14" t="n">
        <v>700</v>
      </c>
      <c r="H43" s="14" t="n">
        <v>800</v>
      </c>
    </row>
    <row r="44" customFormat="false" ht="15" hidden="false" customHeight="true" outlineLevel="0" collapsed="false">
      <c r="A44" s="15" t="s">
        <v>83</v>
      </c>
      <c r="B44" s="16" t="n">
        <f aca="false">SUM(B38:B43)*12</f>
        <v>21600</v>
      </c>
      <c r="C44" s="16" t="n">
        <f aca="false">SUM(C38:C43)*12</f>
        <v>36000</v>
      </c>
      <c r="D44" s="16" t="n">
        <f aca="false">SUM(D38:D43)*12</f>
        <v>66000</v>
      </c>
      <c r="E44" s="16" t="n">
        <f aca="false">SUM(E38:E43)*12</f>
        <v>104400</v>
      </c>
      <c r="F44" s="16" t="n">
        <f aca="false">SUM(F38:F43)*12</f>
        <v>150000</v>
      </c>
      <c r="G44" s="17" t="n">
        <f aca="false">SUM(G38:G43)*12</f>
        <v>195600</v>
      </c>
      <c r="H44" s="17" t="n">
        <f aca="false">SUM(H38:H43)*12</f>
        <v>241200</v>
      </c>
    </row>
    <row r="46" customFormat="false" ht="15" hidden="false" customHeight="true" outlineLevel="0" collapsed="false">
      <c r="A46" s="4" t="s">
        <v>84</v>
      </c>
    </row>
    <row r="47" customFormat="false" ht="15" hidden="false" customHeight="true" outlineLevel="0" collapsed="false">
      <c r="A47" s="7" t="s">
        <v>71</v>
      </c>
      <c r="B47" s="7" t="s">
        <v>85</v>
      </c>
      <c r="C47" s="7" t="s">
        <v>86</v>
      </c>
      <c r="D47" s="7"/>
      <c r="E47" s="7"/>
      <c r="F47" s="7"/>
      <c r="G47" s="7" t="s">
        <v>87</v>
      </c>
    </row>
    <row r="48" customFormat="false" ht="15" hidden="false" customHeight="true" outlineLevel="0" collapsed="false">
      <c r="A48" s="9" t="s">
        <v>88</v>
      </c>
      <c r="B48" s="10" t="n">
        <v>1</v>
      </c>
      <c r="C48" s="6" t="n">
        <v>0</v>
      </c>
    </row>
    <row r="49" customFormat="false" ht="15" hidden="false" customHeight="true" outlineLevel="0" collapsed="false">
      <c r="A49" s="9" t="s">
        <v>89</v>
      </c>
      <c r="B49" s="10" t="n">
        <v>1</v>
      </c>
      <c r="C49" s="6" t="n">
        <v>0</v>
      </c>
    </row>
    <row r="50" customFormat="false" ht="15" hidden="false" customHeight="true" outlineLevel="0" collapsed="false">
      <c r="A50" s="9" t="s">
        <v>90</v>
      </c>
      <c r="B50" s="10" t="n">
        <v>13</v>
      </c>
      <c r="C50" s="6" t="n">
        <v>42000</v>
      </c>
    </row>
    <row r="51" customFormat="false" ht="15" hidden="false" customHeight="true" outlineLevel="0" collapsed="false">
      <c r="A51" s="9" t="s">
        <v>91</v>
      </c>
      <c r="B51" s="10" t="n">
        <v>13</v>
      </c>
      <c r="C51" s="6" t="n">
        <v>42000</v>
      </c>
    </row>
    <row r="52" customFormat="false" ht="15" hidden="false" customHeight="true" outlineLevel="0" collapsed="false">
      <c r="A52" s="9" t="s">
        <v>92</v>
      </c>
      <c r="B52" s="10" t="n">
        <v>24</v>
      </c>
      <c r="C52" s="6" t="n">
        <v>38000</v>
      </c>
    </row>
    <row r="53" customFormat="false" ht="15" hidden="false" customHeight="true" outlineLevel="0" collapsed="false">
      <c r="A53" s="9" t="s">
        <v>93</v>
      </c>
      <c r="B53" s="10" t="n">
        <v>30</v>
      </c>
      <c r="C53" s="6" t="n">
        <v>28000</v>
      </c>
    </row>
    <row r="54" customFormat="false" ht="15" hidden="false" customHeight="true" outlineLevel="0" collapsed="false">
      <c r="A54" s="9" t="s">
        <v>94</v>
      </c>
      <c r="B54" s="18" t="n">
        <v>0.45</v>
      </c>
    </row>
    <row r="56" customFormat="false" ht="15" hidden="false" customHeight="true" outlineLevel="0" collapsed="false">
      <c r="A56" s="15" t="s">
        <v>95</v>
      </c>
    </row>
    <row r="57" customFormat="false" ht="15" hidden="false" customHeight="true" outlineLevel="0" collapsed="false">
      <c r="B57" s="16" t="n">
        <f aca="false">(IF(B48&lt;=12,C48*MAX(0,MIN(12,12-MAX(B48,1)+1))/12,0)+IF(B49&lt;=12,C49*MAX(0,MIN(12,12-MAX(B49,1)+1))/12,0)+IF(B50&lt;=12,C50*MAX(0,MIN(12,12-MAX(B50,1)+1))/12,0)+IF(B51&lt;=12,C51*MAX(0,MIN(12,12-MAX(B51,1)+1))/12,0)+IF(B52&lt;=12,C52*MAX(0,MIN(12,12-MAX(B52,1)+1))/12,0)+IF(B53&lt;=12,C53*MAX(0,MIN(12,12-MAX(B53,1)+1))/12,0))*(1+B54)</f>
        <v>0</v>
      </c>
      <c r="C57" s="16" t="n">
        <f aca="false">(IF(B48&lt;=24,C48*MAX(0,MIN(12,24-MAX(B48,13)+1))/12,0)+IF(B49&lt;=24,C49*MAX(0,MIN(12,24-MAX(B49,13)+1))/12,0)+IF(B50&lt;=24,C50*MAX(0,MIN(12,24-MAX(B50,13)+1))/12,0)+IF(B51&lt;=24,C51*MAX(0,MIN(12,24-MAX(B51,13)+1))/12,0)+IF(B52&lt;=24,C52*MAX(0,MIN(12,24-MAX(B52,13)+1))/12,0)+IF(B53&lt;=24,C53*MAX(0,MIN(12,24-MAX(B53,13)+1))/12,0))*(1+B54)</f>
        <v>126391.666666667</v>
      </c>
      <c r="D57" s="16" t="n">
        <f aca="false">(IF(B48&lt;=36,C48*MAX(0,MIN(12,36-MAX(B48,25)+1))/12,0)+IF(B49&lt;=36,C49*MAX(0,MIN(12,36-MAX(B49,25)+1))/12,0)+IF(B50&lt;=36,C50*MAX(0,MIN(12,36-MAX(B50,25)+1))/12,0)+IF(B51&lt;=36,C51*MAX(0,MIN(12,36-MAX(B51,25)+1))/12,0)+IF(B52&lt;=36,C52*MAX(0,MIN(12,36-MAX(B52,25)+1))/12,0)+IF(B53&lt;=36,C53*MAX(0,MIN(12,36-MAX(B53,25)+1))/12,0))*(1+B54)</f>
        <v>200583.333333333</v>
      </c>
      <c r="E57" s="16" t="n">
        <f aca="false">(IF(B48&lt;=48,C48*MAX(0,MIN(12,48-MAX(B48,37)+1))/12,0)+IF(B49&lt;=48,C49*MAX(0,MIN(12,48-MAX(B49,37)+1))/12,0)+IF(B50&lt;=48,C50*MAX(0,MIN(12,48-MAX(B50,37)+1))/12,0)+IF(B51&lt;=48,C51*MAX(0,MIN(12,48-MAX(B51,37)+1))/12,0)+IF(B52&lt;=48,C52*MAX(0,MIN(12,48-MAX(B52,37)+1))/12,0)+IF(B53&lt;=48,C53*MAX(0,MIN(12,48-MAX(B53,37)+1))/12,0))*(1+B54)</f>
        <v>217500</v>
      </c>
      <c r="F57" s="16" t="n">
        <f aca="false">(IF(B48&lt;=60,C48*MAX(0,MIN(12,60-MAX(B48,49)+1))/12,0)+IF(B49&lt;=60,C49*MAX(0,MIN(12,60-MAX(B49,49)+1))/12,0)+IF(B50&lt;=60,C50*MAX(0,MIN(12,60-MAX(B50,49)+1))/12,0)+IF(B51&lt;=60,C51*MAX(0,MIN(12,60-MAX(B51,49)+1))/12,0)+IF(B52&lt;=60,C52*MAX(0,MIN(12,60-MAX(B52,49)+1))/12,0)+IF(B53&lt;=60,C53*MAX(0,MIN(12,60-MAX(B53,49)+1))/12,0))*(1+B54)</f>
        <v>217500</v>
      </c>
      <c r="G57" s="17" t="n">
        <f aca="false">(IF(B48&lt;=72,C48*MAX(0,MIN(12,72-MAX(B48,61)+1))/12,0)+IF(B49&lt;=72,C49*MAX(0,MIN(12,72-MAX(B49,61)+1))/12,0)+IF(B50&lt;=72,C50*MAX(0,MIN(12,72-MAX(B50,61)+1))/12,0)+IF(B51&lt;=72,C51*MAX(0,MIN(12,72-MAX(B51,61)+1))/12,0)+IF(B52&lt;=72,C52*MAX(0,MIN(12,72-MAX(B52,61)+1))/12,0)+IF(B53&lt;=72,C53*MAX(0,MIN(12,72-MAX(B53,61)+1))/12,0))*(1+B54)</f>
        <v>217500</v>
      </c>
      <c r="H57" s="17" t="n">
        <f aca="false">(IF(B48&lt;=84,C48*MAX(0,MIN(12,84-MAX(B48,73)+1))/12,0)+IF(B49&lt;=84,C49*MAX(0,MIN(12,84-MAX(B49,73)+1))/12,0)+IF(B50&lt;=84,C50*MAX(0,MIN(12,84-MAX(B50,73)+1))/12,0)+IF(B51&lt;=84,C51*MAX(0,MIN(12,84-MAX(B51,73)+1))/12,0)+IF(B52&lt;=84,C52*MAX(0,MIN(12,84-MAX(B52,73)+1))/12,0)+IF(B53&lt;=84,C53*MAX(0,MIN(12,84-MAX(B53,73)+1))/12,0))*(1+B54)</f>
        <v>217500</v>
      </c>
    </row>
    <row r="59" customFormat="false" ht="15" hidden="false" customHeight="true" outlineLevel="0" collapsed="false">
      <c r="A59" s="4" t="s">
        <v>96</v>
      </c>
    </row>
    <row r="60" customFormat="false" ht="15" hidden="false" customHeight="true" outlineLevel="0" collapsed="false">
      <c r="A60" s="7" t="s">
        <v>97</v>
      </c>
      <c r="B60" s="7" t="s">
        <v>98</v>
      </c>
      <c r="C60" s="7" t="s">
        <v>99</v>
      </c>
      <c r="D60" s="7"/>
      <c r="E60" s="7"/>
      <c r="F60" s="7"/>
      <c r="G60" s="7" t="s">
        <v>87</v>
      </c>
    </row>
    <row r="61" customFormat="false" ht="15" hidden="false" customHeight="true" outlineLevel="0" collapsed="false">
      <c r="A61" s="9" t="s">
        <v>100</v>
      </c>
      <c r="B61" s="6" t="n">
        <v>30000</v>
      </c>
      <c r="C61" s="10" t="n">
        <v>1</v>
      </c>
    </row>
    <row r="62" customFormat="false" ht="15" hidden="false" customHeight="true" outlineLevel="0" collapsed="false">
      <c r="A62" s="9" t="s">
        <v>101</v>
      </c>
      <c r="B62" s="6" t="n">
        <v>50000</v>
      </c>
      <c r="C62" s="10" t="n">
        <v>1</v>
      </c>
    </row>
    <row r="63" customFormat="false" ht="15" hidden="false" customHeight="true" outlineLevel="0" collapsed="false">
      <c r="A63" s="9" t="s">
        <v>102</v>
      </c>
      <c r="B63" s="6" t="n">
        <v>800000</v>
      </c>
      <c r="C63" s="10" t="n">
        <v>1</v>
      </c>
    </row>
    <row r="64" customFormat="false" ht="15" hidden="false" customHeight="true" outlineLevel="0" collapsed="false">
      <c r="A64" s="9" t="s">
        <v>103</v>
      </c>
      <c r="B64" s="6" t="n">
        <v>0</v>
      </c>
      <c r="C64" s="10" t="n">
        <v>4</v>
      </c>
    </row>
    <row r="65" customFormat="false" ht="15" hidden="false" customHeight="true" outlineLevel="0" collapsed="false">
      <c r="A65" s="15" t="s">
        <v>104</v>
      </c>
      <c r="B65" s="16" t="n">
        <f aca="false">SUM(B61:B64)</f>
        <v>880000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4"/>
    <col collapsed="false" customWidth="true" hidden="false" outlineLevel="0" max="7" min="7" style="1" width="22"/>
  </cols>
  <sheetData>
    <row r="1" customFormat="false" ht="17.25" hidden="false" customHeight="true" outlineLevel="0" collapsed="false">
      <c r="A1" s="2" t="s">
        <v>105</v>
      </c>
    </row>
    <row r="3" customFormat="false" ht="15" hidden="false" customHeight="true" outlineLevel="0" collapsed="false">
      <c r="A3" s="7"/>
      <c r="B3" s="7" t="s">
        <v>37</v>
      </c>
      <c r="C3" s="7" t="s">
        <v>38</v>
      </c>
      <c r="D3" s="7" t="s">
        <v>39</v>
      </c>
      <c r="E3" s="7" t="s">
        <v>40</v>
      </c>
      <c r="F3" s="7" t="s">
        <v>41</v>
      </c>
      <c r="G3" s="8" t="s">
        <v>42</v>
      </c>
      <c r="H3" s="8" t="s">
        <v>43</v>
      </c>
    </row>
    <row r="4" customFormat="false" ht="15" hidden="false" customHeight="true" outlineLevel="0" collapsed="false">
      <c r="A4" s="15" t="s">
        <v>47</v>
      </c>
      <c r="B4" s="27" t="n">
        <f aca="false">Hypotheses!B8</f>
        <v>0</v>
      </c>
      <c r="C4" s="27" t="n">
        <f aca="false">Hypotheses!C8</f>
        <v>0</v>
      </c>
      <c r="D4" s="27" t="n">
        <f aca="false">Hypotheses!D8</f>
        <v>0</v>
      </c>
      <c r="E4" s="27" t="n">
        <f aca="false">Hypotheses!E8</f>
        <v>1600000</v>
      </c>
      <c r="F4" s="27" t="n">
        <f aca="false">Hypotheses!F8</f>
        <v>2700000</v>
      </c>
      <c r="G4" s="28" t="n">
        <f aca="false">Hypotheses!G8</f>
        <v>4750000</v>
      </c>
      <c r="H4" s="28" t="n">
        <f aca="false">Hypotheses!H8</f>
        <v>8000000</v>
      </c>
    </row>
    <row r="5" customFormat="false" ht="15" hidden="false" customHeight="true" outlineLevel="0" collapsed="false">
      <c r="A5" s="9" t="s">
        <v>49</v>
      </c>
      <c r="B5" s="29" t="n">
        <f aca="false">Hypotheses!B10</f>
        <v>0</v>
      </c>
      <c r="C5" s="29" t="n">
        <f aca="false">Hypotheses!C10</f>
        <v>0</v>
      </c>
      <c r="D5" s="29" t="n">
        <f aca="false">Hypotheses!D10</f>
        <v>0</v>
      </c>
      <c r="E5" s="29" t="n">
        <f aca="false">Hypotheses!E10</f>
        <v>240000</v>
      </c>
      <c r="F5" s="29" t="n">
        <f aca="false">Hypotheses!F10</f>
        <v>675000</v>
      </c>
      <c r="G5" s="30" t="n">
        <f aca="false">Hypotheses!G10</f>
        <v>1140000</v>
      </c>
      <c r="H5" s="30" t="n">
        <f aca="false">Hypotheses!H10</f>
        <v>1950000</v>
      </c>
    </row>
    <row r="6" customFormat="false" ht="15" hidden="false" customHeight="true" outlineLevel="0" collapsed="false">
      <c r="A6" s="9" t="s">
        <v>106</v>
      </c>
      <c r="B6" s="29" t="n">
        <f aca="false">Hypotheses!B11</f>
        <v>0</v>
      </c>
      <c r="C6" s="29" t="n">
        <f aca="false">Hypotheses!C11</f>
        <v>30000</v>
      </c>
      <c r="D6" s="29" t="n">
        <f aca="false">Hypotheses!D11</f>
        <v>80000</v>
      </c>
      <c r="E6" s="29" t="n">
        <f aca="false">Hypotheses!E11</f>
        <v>50000</v>
      </c>
      <c r="F6" s="29" t="n">
        <f aca="false">Hypotheses!F11</f>
        <v>0</v>
      </c>
      <c r="G6" s="30" t="n">
        <f aca="false">Hypotheses!G11</f>
        <v>0</v>
      </c>
      <c r="H6" s="30" t="n">
        <f aca="false">Hypotheses!H11</f>
        <v>0</v>
      </c>
    </row>
    <row r="7" customFormat="false" ht="15" hidden="false" customHeight="true" outlineLevel="0" collapsed="false">
      <c r="A7" s="9" t="s">
        <v>107</v>
      </c>
      <c r="B7" s="29" t="n">
        <f aca="false">Hypotheses!B12</f>
        <v>0</v>
      </c>
      <c r="C7" s="29" t="n">
        <f aca="false">Hypotheses!C12</f>
        <v>0</v>
      </c>
      <c r="D7" s="29" t="n">
        <f aca="false">Hypotheses!D12</f>
        <v>0</v>
      </c>
      <c r="E7" s="29" t="n">
        <f aca="false">Hypotheses!E12</f>
        <v>20000</v>
      </c>
      <c r="F7" s="29" t="n">
        <f aca="false">Hypotheses!F12</f>
        <v>60000</v>
      </c>
      <c r="G7" s="30" t="n">
        <f aca="false">Hypotheses!G12</f>
        <v>100000</v>
      </c>
      <c r="H7" s="30" t="n">
        <f aca="false">Hypotheses!H12</f>
        <v>150000</v>
      </c>
    </row>
    <row r="8" customFormat="false" ht="15" hidden="false" customHeight="true" outlineLevel="0" collapsed="false">
      <c r="A8" s="15" t="s">
        <v>52</v>
      </c>
      <c r="B8" s="27" t="n">
        <f aca="false">Hypotheses!B13</f>
        <v>0</v>
      </c>
      <c r="C8" s="27" t="n">
        <f aca="false">Hypotheses!C13</f>
        <v>30000</v>
      </c>
      <c r="D8" s="27" t="n">
        <f aca="false">Hypotheses!D13</f>
        <v>80000</v>
      </c>
      <c r="E8" s="27" t="n">
        <f aca="false">Hypotheses!E13</f>
        <v>1910000</v>
      </c>
      <c r="F8" s="27" t="n">
        <f aca="false">Hypotheses!F13</f>
        <v>3435000</v>
      </c>
      <c r="G8" s="28" t="n">
        <f aca="false">Hypotheses!G13</f>
        <v>5990000</v>
      </c>
      <c r="H8" s="28" t="n">
        <f aca="false">Hypotheses!H13</f>
        <v>10100000</v>
      </c>
    </row>
    <row r="10" customFormat="false" ht="15" hidden="false" customHeight="true" outlineLevel="0" collapsed="false">
      <c r="A10" s="15" t="s">
        <v>108</v>
      </c>
      <c r="B10" s="27" t="n">
        <f aca="false">Hypotheses!B33</f>
        <v>167000</v>
      </c>
      <c r="C10" s="27" t="n">
        <f aca="false">Hypotheses!C33</f>
        <v>270000</v>
      </c>
      <c r="D10" s="27" t="n">
        <f aca="false">Hypotheses!D33</f>
        <v>551000</v>
      </c>
      <c r="E10" s="27" t="n">
        <f aca="false">Hypotheses!E33</f>
        <v>162000</v>
      </c>
      <c r="F10" s="27" t="n">
        <f aca="false">Hypotheses!F33</f>
        <v>134900</v>
      </c>
      <c r="G10" s="28" t="n">
        <f aca="false">Hypotheses!G33</f>
        <v>91500</v>
      </c>
      <c r="H10" s="28" t="n">
        <f aca="false">Hypotheses!H33</f>
        <v>66400</v>
      </c>
    </row>
    <row r="11" customFormat="false" ht="15" hidden="false" customHeight="true" outlineLevel="0" collapsed="false">
      <c r="A11" s="24" t="s">
        <v>109</v>
      </c>
      <c r="B11" s="25" t="n">
        <f aca="false">B8+B10</f>
        <v>167000</v>
      </c>
      <c r="C11" s="25" t="n">
        <f aca="false">C8+C10</f>
        <v>300000</v>
      </c>
      <c r="D11" s="25" t="n">
        <f aca="false">D8+D10</f>
        <v>631000</v>
      </c>
      <c r="E11" s="25" t="n">
        <f aca="false">E8+E10</f>
        <v>2072000</v>
      </c>
      <c r="F11" s="25" t="n">
        <f aca="false">F8+F10</f>
        <v>3569900</v>
      </c>
      <c r="G11" s="26" t="n">
        <f aca="false">G8+G10</f>
        <v>6081500</v>
      </c>
      <c r="H11" s="26" t="n">
        <f aca="false">H8+H10</f>
        <v>10166400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4"/>
    <col collapsed="false" customWidth="true" hidden="false" outlineLevel="0" max="7" min="7" style="1" width="22"/>
  </cols>
  <sheetData>
    <row r="1" customFormat="false" ht="17.25" hidden="false" customHeight="true" outlineLevel="0" collapsed="false">
      <c r="A1" s="2" t="s">
        <v>110</v>
      </c>
    </row>
    <row r="3" customFormat="false" ht="15" hidden="false" customHeight="true" outlineLevel="0" collapsed="false">
      <c r="A3" s="7"/>
      <c r="B3" s="7" t="s">
        <v>37</v>
      </c>
      <c r="C3" s="7" t="s">
        <v>38</v>
      </c>
      <c r="D3" s="7" t="s">
        <v>39</v>
      </c>
      <c r="E3" s="7" t="s">
        <v>40</v>
      </c>
      <c r="F3" s="7" t="s">
        <v>41</v>
      </c>
      <c r="G3" s="8" t="s">
        <v>42</v>
      </c>
      <c r="H3" s="8" t="s">
        <v>43</v>
      </c>
    </row>
    <row r="4" customFormat="false" ht="15" hidden="false" customHeight="true" outlineLevel="0" collapsed="false">
      <c r="A4" s="15" t="s">
        <v>111</v>
      </c>
      <c r="B4" s="27" t="n">
        <f aca="false">Revenus!B8</f>
        <v>0</v>
      </c>
      <c r="C4" s="27" t="n">
        <f aca="false">Revenus!C8</f>
        <v>30000</v>
      </c>
      <c r="D4" s="27" t="n">
        <f aca="false">Revenus!D8</f>
        <v>80000</v>
      </c>
      <c r="E4" s="27" t="n">
        <f aca="false">Revenus!E8</f>
        <v>1910000</v>
      </c>
      <c r="F4" s="27" t="n">
        <f aca="false">Revenus!F8</f>
        <v>3435000</v>
      </c>
      <c r="G4" s="28" t="n">
        <f aca="false">Revenus!G8</f>
        <v>5990000</v>
      </c>
      <c r="H4" s="28" t="n">
        <f aca="false">Revenus!H8</f>
        <v>10100000</v>
      </c>
    </row>
    <row r="5" customFormat="false" ht="15" hidden="false" customHeight="true" outlineLevel="0" collapsed="false">
      <c r="A5" s="9" t="s">
        <v>112</v>
      </c>
      <c r="B5" s="6" t="n">
        <v>0</v>
      </c>
      <c r="C5" s="6" t="n">
        <v>0</v>
      </c>
      <c r="D5" s="6" t="n">
        <v>0</v>
      </c>
      <c r="E5" s="6" t="n">
        <v>500000</v>
      </c>
      <c r="F5" s="6" t="n">
        <v>900000</v>
      </c>
      <c r="G5" s="13" t="n">
        <v>1500000</v>
      </c>
      <c r="H5" s="14" t="n">
        <v>2400000</v>
      </c>
    </row>
    <row r="6" customFormat="false" ht="15" hidden="false" customHeight="true" outlineLevel="0" collapsed="false">
      <c r="A6" s="31" t="s">
        <v>113</v>
      </c>
      <c r="B6" s="32" t="n">
        <f aca="false">B4-B5</f>
        <v>0</v>
      </c>
      <c r="C6" s="32" t="n">
        <f aca="false">C4-C5</f>
        <v>30000</v>
      </c>
      <c r="D6" s="32" t="n">
        <f aca="false">D4-D5</f>
        <v>80000</v>
      </c>
      <c r="E6" s="32" t="n">
        <f aca="false">E4-E5</f>
        <v>1410000</v>
      </c>
      <c r="F6" s="32" t="n">
        <f aca="false">F4-F5</f>
        <v>2535000</v>
      </c>
      <c r="G6" s="33" t="n">
        <f aca="false">G4-G5</f>
        <v>4490000</v>
      </c>
      <c r="H6" s="33" t="n">
        <f aca="false">H4-H5</f>
        <v>7700000</v>
      </c>
    </row>
    <row r="8" customFormat="false" ht="15" hidden="false" customHeight="true" outlineLevel="0" collapsed="false">
      <c r="A8" s="34" t="s">
        <v>114</v>
      </c>
      <c r="B8" s="35" t="n">
        <f aca="false">-Hypotheses!B23</f>
        <v>-290000</v>
      </c>
      <c r="C8" s="35" t="n">
        <f aca="false">-Hypotheses!C23</f>
        <v>-500000</v>
      </c>
      <c r="D8" s="35" t="n">
        <f aca="false">-Hypotheses!D23</f>
        <v>-670000</v>
      </c>
      <c r="E8" s="35" t="n">
        <f aca="false">-Hypotheses!E23</f>
        <v>-490000</v>
      </c>
      <c r="F8" s="35" t="n">
        <f aca="false">-Hypotheses!F23</f>
        <v>-383000</v>
      </c>
      <c r="G8" s="36" t="n">
        <f aca="false">-Hypotheses!G23</f>
        <v>-255000</v>
      </c>
      <c r="H8" s="36" t="n">
        <f aca="false">-Hypotheses!H23</f>
        <v>-188000</v>
      </c>
    </row>
    <row r="9" customFormat="false" ht="15" hidden="false" customHeight="true" outlineLevel="0" collapsed="false">
      <c r="A9" s="9" t="s">
        <v>115</v>
      </c>
      <c r="B9" s="29" t="n">
        <f aca="false">-Hypotheses!B44</f>
        <v>-21600</v>
      </c>
      <c r="C9" s="29" t="n">
        <f aca="false">-Hypotheses!C44</f>
        <v>-36000</v>
      </c>
      <c r="D9" s="29" t="n">
        <f aca="false">-Hypotheses!D44</f>
        <v>-66000</v>
      </c>
      <c r="E9" s="29" t="n">
        <f aca="false">-Hypotheses!E44</f>
        <v>-104400</v>
      </c>
      <c r="F9" s="29" t="n">
        <f aca="false">-Hypotheses!F44</f>
        <v>-150000</v>
      </c>
      <c r="G9" s="30" t="n">
        <f aca="false">-Hypotheses!G44</f>
        <v>-195600</v>
      </c>
      <c r="H9" s="30" t="n">
        <f aca="false">-Hypotheses!H44</f>
        <v>-241200</v>
      </c>
    </row>
    <row r="10" customFormat="false" ht="15" hidden="false" customHeight="true" outlineLevel="0" collapsed="false">
      <c r="A10" s="9" t="s">
        <v>116</v>
      </c>
      <c r="B10" s="29" t="n">
        <f aca="false">-ABS(Hypotheses!B57)</f>
        <v>-0</v>
      </c>
      <c r="C10" s="29" t="n">
        <f aca="false">-ABS(Hypotheses!C57)</f>
        <v>-126391.666666667</v>
      </c>
      <c r="D10" s="29" t="n">
        <f aca="false">-ABS(Hypotheses!D57)</f>
        <v>-200583.333333333</v>
      </c>
      <c r="E10" s="29" t="n">
        <f aca="false">-ABS(Hypotheses!E57)</f>
        <v>-217500</v>
      </c>
      <c r="F10" s="29" t="n">
        <f aca="false">-ABS(Hypotheses!F57)</f>
        <v>-217500</v>
      </c>
      <c r="G10" s="30" t="n">
        <f aca="false">-ABS(Hypotheses!G57)</f>
        <v>-217500</v>
      </c>
      <c r="H10" s="30" t="n">
        <f aca="false">-ABS(Hypotheses!H57)</f>
        <v>-217500</v>
      </c>
    </row>
    <row r="12" customFormat="false" ht="15" hidden="false" customHeight="true" outlineLevel="0" collapsed="false">
      <c r="A12" s="24" t="s">
        <v>117</v>
      </c>
      <c r="B12" s="37" t="n">
        <f aca="false">B6+B8+B9+B10</f>
        <v>-311600</v>
      </c>
      <c r="C12" s="37" t="n">
        <f aca="false">C6+C8+C9+C10</f>
        <v>-632391.666666667</v>
      </c>
      <c r="D12" s="37" t="n">
        <f aca="false">D6+D8+D9+D10</f>
        <v>-856583.333333333</v>
      </c>
      <c r="E12" s="37" t="n">
        <f aca="false">E6+E8+E9+E10</f>
        <v>598100</v>
      </c>
      <c r="F12" s="37" t="n">
        <f aca="false">F6+F8+F9+F10</f>
        <v>1784500</v>
      </c>
      <c r="G12" s="38" t="n">
        <f aca="false">G6+G8+G9+G10</f>
        <v>3821900</v>
      </c>
      <c r="H12" s="38" t="n">
        <f aca="false">H6+H8+H9+H10</f>
        <v>7053300</v>
      </c>
    </row>
    <row r="13" customFormat="false" ht="15" hidden="false" customHeight="true" outlineLevel="0" collapsed="false">
      <c r="A13" s="39" t="s">
        <v>118</v>
      </c>
      <c r="B13" s="27" t="n">
        <f aca="false">Hypotheses!B33</f>
        <v>167000</v>
      </c>
      <c r="C13" s="27" t="n">
        <f aca="false">Hypotheses!C33</f>
        <v>270000</v>
      </c>
      <c r="D13" s="27" t="n">
        <f aca="false">Hypotheses!D33</f>
        <v>551000</v>
      </c>
      <c r="E13" s="27" t="n">
        <f aca="false">Hypotheses!E33</f>
        <v>162000</v>
      </c>
      <c r="F13" s="27" t="n">
        <f aca="false">Hypotheses!F33</f>
        <v>134900</v>
      </c>
      <c r="G13" s="28" t="n">
        <f aca="false">Hypotheses!G33</f>
        <v>91500</v>
      </c>
      <c r="H13" s="28" t="n">
        <f aca="false">Hypotheses!H33</f>
        <v>66400</v>
      </c>
    </row>
    <row r="14" customFormat="false" ht="15" hidden="false" customHeight="true" outlineLevel="0" collapsed="false">
      <c r="A14" s="15" t="s">
        <v>119</v>
      </c>
      <c r="B14" s="40" t="n">
        <f aca="false">B12+B13</f>
        <v>-144600</v>
      </c>
      <c r="C14" s="40" t="n">
        <f aca="false">C12+C13</f>
        <v>-362391.666666667</v>
      </c>
      <c r="D14" s="40" t="n">
        <f aca="false">D12+D13</f>
        <v>-305583.333333333</v>
      </c>
      <c r="E14" s="40" t="n">
        <f aca="false">E12+E13</f>
        <v>760100</v>
      </c>
      <c r="F14" s="40" t="n">
        <f aca="false">F12+F13</f>
        <v>1919400</v>
      </c>
      <c r="G14" s="41" t="n">
        <f aca="false">G12+G13</f>
        <v>3913400</v>
      </c>
      <c r="H14" s="41" t="n">
        <f aca="false">H12+H13</f>
        <v>7119700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4"/>
    <col collapsed="false" customWidth="true" hidden="false" outlineLevel="0" max="7" min="7" style="1" width="22"/>
  </cols>
  <sheetData>
    <row r="1" customFormat="false" ht="17.25" hidden="false" customHeight="true" outlineLevel="0" collapsed="false">
      <c r="A1" s="2" t="s">
        <v>120</v>
      </c>
    </row>
    <row r="3" customFormat="false" ht="15" hidden="false" customHeight="true" outlineLevel="0" collapsed="false">
      <c r="A3" s="7"/>
      <c r="B3" s="7" t="s">
        <v>37</v>
      </c>
      <c r="C3" s="7" t="s">
        <v>38</v>
      </c>
      <c r="D3" s="7" t="s">
        <v>39</v>
      </c>
      <c r="E3" s="7" t="s">
        <v>40</v>
      </c>
      <c r="F3" s="7" t="s">
        <v>41</v>
      </c>
      <c r="G3" s="8" t="s">
        <v>42</v>
      </c>
      <c r="H3" s="8" t="s">
        <v>43</v>
      </c>
    </row>
    <row r="4" customFormat="false" ht="15" hidden="false" customHeight="true" outlineLevel="0" collapsed="false">
      <c r="A4" s="5" t="s">
        <v>121</v>
      </c>
      <c r="B4" s="29" t="n">
        <f aca="false">Hypotheses!B65</f>
        <v>880000</v>
      </c>
      <c r="C4" s="42" t="n">
        <f aca="false">B12</f>
        <v>1610400</v>
      </c>
      <c r="D4" s="42" t="n">
        <f aca="false">C12</f>
        <v>1233008.33333333</v>
      </c>
      <c r="E4" s="42" t="n">
        <f aca="false">D12</f>
        <v>897425</v>
      </c>
      <c r="F4" s="42" t="n">
        <f aca="false">E12</f>
        <v>1637525</v>
      </c>
      <c r="G4" s="43" t="n">
        <f aca="false">F12</f>
        <v>3546925</v>
      </c>
      <c r="H4" s="43" t="n">
        <f aca="false">G12</f>
        <v>7455325</v>
      </c>
    </row>
    <row r="5" customFormat="false" ht="15" hidden="false" customHeight="true" outlineLevel="0" collapsed="false">
      <c r="A5" s="9" t="s">
        <v>122</v>
      </c>
      <c r="B5" s="29" t="n">
        <f aca="false">Revenus!B8</f>
        <v>0</v>
      </c>
      <c r="C5" s="29" t="n">
        <f aca="false">Revenus!C8</f>
        <v>30000</v>
      </c>
      <c r="D5" s="29" t="n">
        <f aca="false">Revenus!D8</f>
        <v>80000</v>
      </c>
      <c r="E5" s="29" t="n">
        <f aca="false">Revenus!E8</f>
        <v>1910000</v>
      </c>
      <c r="F5" s="29" t="n">
        <f aca="false">Revenus!F8</f>
        <v>3435000</v>
      </c>
      <c r="G5" s="30" t="n">
        <f aca="false">Revenus!G8</f>
        <v>5990000</v>
      </c>
      <c r="H5" s="30" t="n">
        <f aca="false">Revenus!H8</f>
        <v>10100000</v>
      </c>
    </row>
    <row r="6" customFormat="false" ht="15" hidden="false" customHeight="true" outlineLevel="0" collapsed="false">
      <c r="A6" s="39" t="s">
        <v>123</v>
      </c>
      <c r="B6" s="27" t="n">
        <f aca="false">Hypotheses!B33</f>
        <v>167000</v>
      </c>
      <c r="C6" s="27" t="n">
        <f aca="false">Hypotheses!C33</f>
        <v>270000</v>
      </c>
      <c r="D6" s="27" t="n">
        <f aca="false">Hypotheses!D33</f>
        <v>551000</v>
      </c>
      <c r="E6" s="27" t="n">
        <f aca="false">Hypotheses!E33</f>
        <v>162000</v>
      </c>
      <c r="F6" s="27" t="n">
        <f aca="false">Hypotheses!F33</f>
        <v>134900</v>
      </c>
      <c r="G6" s="28" t="n">
        <f aca="false">Hypotheses!G33</f>
        <v>91500</v>
      </c>
      <c r="H6" s="28" t="n">
        <f aca="false">Hypotheses!H33</f>
        <v>66400</v>
      </c>
    </row>
    <row r="7" customFormat="false" ht="15" hidden="false" customHeight="true" outlineLevel="0" collapsed="false">
      <c r="A7" s="9" t="s">
        <v>124</v>
      </c>
      <c r="B7" s="42" t="n">
        <f aca="false">'Couts &amp; PL'!B12-'Couts &amp; PL'!B4</f>
        <v>-311600</v>
      </c>
      <c r="C7" s="42" t="n">
        <f aca="false">'Couts &amp; PL'!C12-'Couts &amp; PL'!C4</f>
        <v>-662391.666666667</v>
      </c>
      <c r="D7" s="42" t="n">
        <f aca="false">'Couts &amp; PL'!D12-'Couts &amp; PL'!D4</f>
        <v>-936583.333333333</v>
      </c>
      <c r="E7" s="42" t="n">
        <f aca="false">'Couts &amp; PL'!E12-'Couts &amp; PL'!E4</f>
        <v>-1311900</v>
      </c>
      <c r="F7" s="42" t="n">
        <f aca="false">'Couts &amp; PL'!F12-'Couts &amp; PL'!F4</f>
        <v>-1650500</v>
      </c>
      <c r="G7" s="43" t="n">
        <f aca="false">'Couts &amp; PL'!G12-'Couts &amp; PL'!G4</f>
        <v>-2168100</v>
      </c>
      <c r="H7" s="43" t="n">
        <f aca="false">'Couts &amp; PL'!H12-'Couts &amp; PL'!H4</f>
        <v>-3046700</v>
      </c>
    </row>
    <row r="8" customFormat="false" ht="15" hidden="false" customHeight="true" outlineLevel="0" collapsed="false">
      <c r="A8" s="9" t="s">
        <v>125</v>
      </c>
      <c r="B8" s="6" t="n">
        <v>-5000</v>
      </c>
      <c r="C8" s="6" t="n">
        <v>-15000</v>
      </c>
      <c r="D8" s="6" t="n">
        <v>-30000</v>
      </c>
      <c r="E8" s="6" t="n">
        <v>-20000</v>
      </c>
      <c r="F8" s="6" t="n">
        <v>-10000</v>
      </c>
      <c r="G8" s="14" t="n">
        <v>-5000</v>
      </c>
      <c r="H8" s="14" t="n">
        <v>-5000</v>
      </c>
    </row>
    <row r="9" customFormat="false" ht="15" hidden="false" customHeight="true" outlineLevel="0" collapsed="false">
      <c r="A9" s="9" t="s">
        <v>126</v>
      </c>
      <c r="B9" s="6" t="n">
        <v>880000</v>
      </c>
      <c r="C9" s="6" t="n">
        <v>0</v>
      </c>
      <c r="D9" s="6" t="n">
        <v>0</v>
      </c>
      <c r="E9" s="6" t="n">
        <v>0</v>
      </c>
      <c r="F9" s="6" t="n">
        <v>0</v>
      </c>
      <c r="G9" s="14" t="n">
        <v>0</v>
      </c>
      <c r="H9" s="14" t="n">
        <v>0</v>
      </c>
    </row>
    <row r="10" customFormat="false" ht="15" hidden="false" customHeight="true" outlineLevel="0" collapsed="false">
      <c r="A10" s="9" t="s">
        <v>127</v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14" t="n">
        <v>0</v>
      </c>
      <c r="H10" s="14" t="n">
        <v>0</v>
      </c>
    </row>
    <row r="11" customFormat="false" ht="15" hidden="false" customHeight="true" outlineLevel="0" collapsed="false">
      <c r="A11" s="24" t="s">
        <v>128</v>
      </c>
      <c r="B11" s="44" t="n">
        <f aca="false">SUM(B5:B10)</f>
        <v>730400</v>
      </c>
      <c r="C11" s="44" t="n">
        <f aca="false">SUM(C5:C10)</f>
        <v>-377391.666666667</v>
      </c>
      <c r="D11" s="44" t="n">
        <f aca="false">SUM(D5:D10)</f>
        <v>-335583.333333333</v>
      </c>
      <c r="E11" s="44" t="n">
        <f aca="false">SUM(E5:E10)</f>
        <v>740100</v>
      </c>
      <c r="F11" s="44" t="n">
        <f aca="false">SUM(F5:F10)</f>
        <v>1909400</v>
      </c>
      <c r="G11" s="45" t="n">
        <f aca="false">SUM(G5:G10)</f>
        <v>3908400</v>
      </c>
      <c r="H11" s="45" t="n">
        <f aca="false">SUM(H5:H10)</f>
        <v>7114700</v>
      </c>
    </row>
    <row r="12" customFormat="false" ht="15" hidden="false" customHeight="true" outlineLevel="0" collapsed="false">
      <c r="A12" s="46" t="s">
        <v>129</v>
      </c>
      <c r="B12" s="40" t="n">
        <f aca="false">B4+B11</f>
        <v>1610400</v>
      </c>
      <c r="C12" s="40" t="n">
        <f aca="false">C4+C11</f>
        <v>1233008.33333333</v>
      </c>
      <c r="D12" s="40" t="n">
        <f aca="false">D4+D11</f>
        <v>897425</v>
      </c>
      <c r="E12" s="40" t="n">
        <f aca="false">E4+E11</f>
        <v>1637525</v>
      </c>
      <c r="F12" s="40" t="n">
        <f aca="false">F4+F11</f>
        <v>3546925</v>
      </c>
      <c r="G12" s="41" t="n">
        <f aca="false">G4+G11</f>
        <v>7455325</v>
      </c>
      <c r="H12" s="41" t="n">
        <f aca="false">H4+H11</f>
        <v>14570025</v>
      </c>
    </row>
    <row r="14" customFormat="false" ht="15" hidden="false" customHeight="true" outlineLevel="0" collapsed="false">
      <c r="A14" s="5" t="s">
        <v>130</v>
      </c>
      <c r="B14" s="42" t="n">
        <f aca="false">IF(B11&lt;0,-B11/12,0)</f>
        <v>0</v>
      </c>
      <c r="C14" s="42" t="n">
        <f aca="false">IF(C11&lt;0,-C11/12,0)</f>
        <v>31449.3055555556</v>
      </c>
      <c r="D14" s="42" t="n">
        <f aca="false">IF(D11&lt;0,-D11/12,0)</f>
        <v>27965.2777777778</v>
      </c>
      <c r="E14" s="42" t="n">
        <f aca="false">IF(E11&lt;0,-E11/12,0)</f>
        <v>0</v>
      </c>
      <c r="F14" s="42" t="n">
        <f aca="false">IF(F11&lt;0,-F11/12,0)</f>
        <v>0</v>
      </c>
      <c r="G14" s="43" t="n">
        <f aca="false">IF(G11&lt;0,-G11/12,0)</f>
        <v>0</v>
      </c>
      <c r="H14" s="43" t="n">
        <f aca="false">IF(H11&lt;0,-H11/12,0)</f>
        <v>0</v>
      </c>
    </row>
    <row r="15" customFormat="false" ht="15" hidden="false" customHeight="true" outlineLevel="0" collapsed="false">
      <c r="A15" s="24" t="s">
        <v>131</v>
      </c>
      <c r="B15" s="47" t="n">
        <f aca="false">IF(B14&gt;0,B4/B14,99)</f>
        <v>99</v>
      </c>
      <c r="C15" s="47" t="n">
        <f aca="false">IF(C14&gt;0,C4/C14,99)</f>
        <v>51.2062181199903</v>
      </c>
      <c r="D15" s="47" t="n">
        <f aca="false">IF(D14&gt;0,D4/D14,99)</f>
        <v>44.0906878569655</v>
      </c>
      <c r="E15" s="47" t="n">
        <f aca="false">IF(E14&gt;0,E4/E14,99)</f>
        <v>99</v>
      </c>
      <c r="F15" s="47" t="n">
        <f aca="false">IF(F14&gt;0,F4/F14,99)</f>
        <v>99</v>
      </c>
      <c r="G15" s="48" t="n">
        <f aca="false">IF(G14&gt;0,G4/G14,99)</f>
        <v>99</v>
      </c>
      <c r="H15" s="48" t="n">
        <f aca="false">IF(H14&gt;0,H4/H14,99)</f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4"/>
  </cols>
  <sheetData>
    <row r="1" customFormat="false" ht="17.25" hidden="false" customHeight="true" outlineLevel="0" collapsed="false">
      <c r="A1" s="2" t="s">
        <v>132</v>
      </c>
    </row>
    <row r="3" customFormat="false" ht="15" hidden="false" customHeight="true" outlineLevel="0" collapsed="false">
      <c r="A3" s="7" t="s">
        <v>133</v>
      </c>
      <c r="B3" s="7" t="s">
        <v>37</v>
      </c>
      <c r="C3" s="7" t="s">
        <v>38</v>
      </c>
      <c r="D3" s="7" t="s">
        <v>39</v>
      </c>
      <c r="E3" s="7" t="s">
        <v>40</v>
      </c>
      <c r="F3" s="7" t="s">
        <v>41</v>
      </c>
      <c r="G3" s="8" t="s">
        <v>42</v>
      </c>
      <c r="H3" s="8" t="s">
        <v>43</v>
      </c>
    </row>
    <row r="4" customFormat="false" ht="15" hidden="false" customHeight="true" outlineLevel="0" collapsed="false">
      <c r="A4" s="4" t="s">
        <v>134</v>
      </c>
    </row>
    <row r="5" customFormat="false" ht="15" hidden="false" customHeight="true" outlineLevel="0" collapsed="false">
      <c r="A5" s="20" t="s">
        <v>114</v>
      </c>
      <c r="B5" s="35" t="n">
        <f aca="false">Hypotheses!B23</f>
        <v>290000</v>
      </c>
      <c r="C5" s="35" t="n">
        <f aca="false">Hypotheses!C23</f>
        <v>500000</v>
      </c>
      <c r="D5" s="35" t="n">
        <f aca="false">Hypotheses!D23</f>
        <v>670000</v>
      </c>
      <c r="E5" s="35" t="n">
        <f aca="false">Hypotheses!E23</f>
        <v>490000</v>
      </c>
      <c r="F5" s="35" t="n">
        <f aca="false">Hypotheses!F23</f>
        <v>383000</v>
      </c>
      <c r="G5" s="36" t="n">
        <f aca="false">Hypotheses!G23</f>
        <v>255000</v>
      </c>
      <c r="H5" s="36" t="n">
        <f aca="false">Hypotheses!H23</f>
        <v>188000</v>
      </c>
    </row>
    <row r="6" customFormat="false" ht="15" hidden="false" customHeight="true" outlineLevel="0" collapsed="false">
      <c r="A6" s="15" t="s">
        <v>118</v>
      </c>
      <c r="B6" s="27" t="n">
        <f aca="false">Hypotheses!B33</f>
        <v>167000</v>
      </c>
      <c r="C6" s="27" t="n">
        <f aca="false">Hypotheses!C33</f>
        <v>270000</v>
      </c>
      <c r="D6" s="27" t="n">
        <f aca="false">Hypotheses!D33</f>
        <v>551000</v>
      </c>
      <c r="E6" s="27" t="n">
        <f aca="false">Hypotheses!E33</f>
        <v>162000</v>
      </c>
      <c r="F6" s="27" t="n">
        <f aca="false">Hypotheses!F33</f>
        <v>134900</v>
      </c>
      <c r="G6" s="28" t="n">
        <f aca="false">Hypotheses!G33</f>
        <v>91500</v>
      </c>
      <c r="H6" s="28" t="n">
        <f aca="false">Hypotheses!H33</f>
        <v>66400</v>
      </c>
    </row>
    <row r="7" customFormat="false" ht="15" hidden="false" customHeight="true" outlineLevel="0" collapsed="false">
      <c r="A7" s="5" t="s">
        <v>69</v>
      </c>
      <c r="B7" s="29" t="n">
        <f aca="false">Hypotheses!B34</f>
        <v>123000</v>
      </c>
      <c r="C7" s="29" t="n">
        <f aca="false">Hypotheses!C34</f>
        <v>230000</v>
      </c>
      <c r="D7" s="29" t="n">
        <f aca="false">Hypotheses!D34</f>
        <v>119000</v>
      </c>
      <c r="E7" s="29" t="n">
        <f aca="false">Hypotheses!E34</f>
        <v>328000</v>
      </c>
      <c r="F7" s="29" t="n">
        <f aca="false">Hypotheses!F34</f>
        <v>248100</v>
      </c>
      <c r="G7" s="30" t="n">
        <f aca="false">Hypotheses!G34</f>
        <v>163500</v>
      </c>
      <c r="H7" s="30" t="n">
        <f aca="false">Hypotheses!H34</f>
        <v>121600</v>
      </c>
    </row>
    <row r="8" customFormat="false" ht="15" hidden="false" customHeight="true" outlineLevel="0" collapsed="false">
      <c r="A8" s="24" t="s">
        <v>135</v>
      </c>
      <c r="B8" s="49" t="n">
        <f aca="false">IF(Hypotheses!B23&gt;0,Hypotheses!B33/Hypotheses!B23,0)</f>
        <v>0.575862068965517</v>
      </c>
      <c r="C8" s="49" t="n">
        <f aca="false">IF(Hypotheses!C23&gt;0,Hypotheses!C33/Hypotheses!C23,0)</f>
        <v>0.54</v>
      </c>
      <c r="D8" s="49" t="n">
        <f aca="false">IF(Hypotheses!D23&gt;0,Hypotheses!D33/Hypotheses!D23,0)</f>
        <v>0.822388059701493</v>
      </c>
      <c r="E8" s="49" t="n">
        <f aca="false">IF(Hypotheses!E23&gt;0,Hypotheses!E33/Hypotheses!E23,0)</f>
        <v>0.330612244897959</v>
      </c>
      <c r="F8" s="49" t="n">
        <f aca="false">IF(Hypotheses!F23&gt;0,Hypotheses!F33/Hypotheses!F23,0)</f>
        <v>0.352219321148825</v>
      </c>
      <c r="G8" s="50" t="n">
        <f aca="false">IF(Hypotheses!G23&gt;0,Hypotheses!G33/Hypotheses!G23,0)</f>
        <v>0.358823529411765</v>
      </c>
      <c r="H8" s="50" t="n">
        <f aca="false">IF(Hypotheses!H23&gt;0,Hypotheses!H33/Hypotheses!H23,0)</f>
        <v>0.353191489361702</v>
      </c>
    </row>
    <row r="10" customFormat="false" ht="15" hidden="false" customHeight="true" outlineLevel="0" collapsed="false">
      <c r="A10" s="4" t="s">
        <v>136</v>
      </c>
    </row>
    <row r="11" customFormat="false" ht="15" hidden="false" customHeight="true" outlineLevel="0" collapsed="false">
      <c r="A11" s="15" t="s">
        <v>137</v>
      </c>
      <c r="B11" s="27" t="n">
        <f aca="false">Revenus!B8</f>
        <v>0</v>
      </c>
      <c r="C11" s="27" t="n">
        <f aca="false">Revenus!C8</f>
        <v>30000</v>
      </c>
      <c r="D11" s="27" t="n">
        <f aca="false">Revenus!D8</f>
        <v>80000</v>
      </c>
      <c r="E11" s="27" t="n">
        <f aca="false">Revenus!E8</f>
        <v>1910000</v>
      </c>
      <c r="F11" s="27" t="n">
        <f aca="false">Revenus!F8</f>
        <v>3435000</v>
      </c>
      <c r="G11" s="28" t="n">
        <f aca="false">Revenus!G8</f>
        <v>5990000</v>
      </c>
      <c r="H11" s="28" t="n">
        <f aca="false">Revenus!H8</f>
        <v>10100000</v>
      </c>
    </row>
    <row r="12" customFormat="false" ht="15" hidden="false" customHeight="true" outlineLevel="0" collapsed="false">
      <c r="A12" s="5" t="s">
        <v>138</v>
      </c>
      <c r="B12" s="51" t="n">
        <f aca="false">Hypotheses!B6</f>
        <v>0</v>
      </c>
      <c r="C12" s="51" t="n">
        <f aca="false">Hypotheses!C6</f>
        <v>0</v>
      </c>
      <c r="D12" s="51" t="n">
        <f aca="false">Hypotheses!D6</f>
        <v>0</v>
      </c>
      <c r="E12" s="51" t="n">
        <f aca="false">Hypotheses!E6</f>
        <v>2</v>
      </c>
      <c r="F12" s="51" t="n">
        <f aca="false">Hypotheses!F6</f>
        <v>5</v>
      </c>
      <c r="G12" s="52" t="n">
        <f aca="false">Hypotheses!G6</f>
        <v>8</v>
      </c>
      <c r="H12" s="52" t="n">
        <f aca="false">Hypotheses!H6</f>
        <v>13</v>
      </c>
    </row>
    <row r="13" customFormat="false" ht="15" hidden="false" customHeight="true" outlineLevel="0" collapsed="false">
      <c r="A13" s="5" t="s">
        <v>139</v>
      </c>
      <c r="B13" s="29" t="n">
        <f aca="false">Revenus!B5</f>
        <v>0</v>
      </c>
      <c r="C13" s="29" t="n">
        <f aca="false">Revenus!C5</f>
        <v>0</v>
      </c>
      <c r="D13" s="29" t="n">
        <f aca="false">Revenus!D5</f>
        <v>0</v>
      </c>
      <c r="E13" s="29" t="n">
        <f aca="false">Revenus!E5</f>
        <v>240000</v>
      </c>
      <c r="F13" s="29" t="n">
        <f aca="false">Revenus!F5</f>
        <v>675000</v>
      </c>
      <c r="G13" s="30" t="n">
        <f aca="false">Revenus!G5</f>
        <v>1140000</v>
      </c>
      <c r="H13" s="30" t="n">
        <f aca="false">Revenus!H5</f>
        <v>1950000</v>
      </c>
    </row>
    <row r="15" customFormat="false" ht="15" hidden="false" customHeight="true" outlineLevel="0" collapsed="false">
      <c r="A15" s="4" t="s">
        <v>140</v>
      </c>
    </row>
    <row r="16" customFormat="false" ht="15" hidden="false" customHeight="true" outlineLevel="0" collapsed="false">
      <c r="A16" s="5" t="s">
        <v>141</v>
      </c>
      <c r="B16" s="29" t="n">
        <f aca="false">'Couts &amp; PL'!B12</f>
        <v>-311600</v>
      </c>
      <c r="C16" s="29" t="n">
        <f aca="false">'Couts &amp; PL'!C12</f>
        <v>-632391.666666667</v>
      </c>
      <c r="D16" s="29" t="n">
        <f aca="false">'Couts &amp; PL'!D12</f>
        <v>-856583.333333333</v>
      </c>
      <c r="E16" s="29" t="n">
        <f aca="false">'Couts &amp; PL'!E12</f>
        <v>598100</v>
      </c>
      <c r="F16" s="29" t="n">
        <f aca="false">'Couts &amp; PL'!F12</f>
        <v>1784500</v>
      </c>
      <c r="G16" s="30" t="n">
        <f aca="false">'Couts &amp; PL'!G12</f>
        <v>3821900</v>
      </c>
      <c r="H16" s="30" t="n">
        <f aca="false">'Couts &amp; PL'!H12</f>
        <v>7053300</v>
      </c>
    </row>
    <row r="17" customFormat="false" ht="15" hidden="false" customHeight="true" outlineLevel="0" collapsed="false">
      <c r="A17" s="24" t="s">
        <v>142</v>
      </c>
      <c r="B17" s="53" t="n">
        <f aca="false">'Couts &amp; PL'!B14</f>
        <v>-144600</v>
      </c>
      <c r="C17" s="53" t="n">
        <f aca="false">'Couts &amp; PL'!C14</f>
        <v>-362391.666666667</v>
      </c>
      <c r="D17" s="53" t="n">
        <f aca="false">'Couts &amp; PL'!D14</f>
        <v>-305583.333333333</v>
      </c>
      <c r="E17" s="53" t="n">
        <f aca="false">'Couts &amp; PL'!E14</f>
        <v>760100</v>
      </c>
      <c r="F17" s="53" t="n">
        <f aca="false">'Couts &amp; PL'!F14</f>
        <v>1919400</v>
      </c>
      <c r="G17" s="54" t="n">
        <f aca="false">'Couts &amp; PL'!G14</f>
        <v>3913400</v>
      </c>
      <c r="H17" s="54" t="n">
        <f aca="false">'Couts &amp; PL'!H14</f>
        <v>7119700</v>
      </c>
    </row>
    <row r="18" customFormat="false" ht="15" hidden="false" customHeight="true" outlineLevel="0" collapsed="false">
      <c r="A18" s="24" t="s">
        <v>143</v>
      </c>
      <c r="B18" s="53" t="n">
        <f aca="false">Tresorerie!B12</f>
        <v>1610400</v>
      </c>
      <c r="C18" s="53" t="n">
        <f aca="false">Tresorerie!C12</f>
        <v>1233008.33333333</v>
      </c>
      <c r="D18" s="53" t="n">
        <f aca="false">Tresorerie!D12</f>
        <v>897425</v>
      </c>
      <c r="E18" s="53" t="n">
        <f aca="false">Tresorerie!E12</f>
        <v>1637525</v>
      </c>
      <c r="F18" s="53" t="n">
        <f aca="false">Tresorerie!F12</f>
        <v>3546925</v>
      </c>
      <c r="G18" s="54" t="n">
        <f aca="false">Tresorerie!G12</f>
        <v>7455325</v>
      </c>
      <c r="H18" s="54" t="n">
        <f aca="false">Tresorerie!H12</f>
        <v>14570025</v>
      </c>
    </row>
    <row r="19" customFormat="false" ht="15" hidden="false" customHeight="true" outlineLevel="0" collapsed="false">
      <c r="A19" s="5" t="s">
        <v>131</v>
      </c>
      <c r="B19" s="55" t="n">
        <f aca="false">Tresorerie!B15</f>
        <v>99</v>
      </c>
      <c r="C19" s="55" t="n">
        <f aca="false">Tresorerie!C15</f>
        <v>51.2062181199903</v>
      </c>
      <c r="D19" s="55" t="n">
        <f aca="false">Tresorerie!D15</f>
        <v>44.0906878569655</v>
      </c>
      <c r="E19" s="55" t="n">
        <f aca="false">Tresorerie!E15</f>
        <v>99</v>
      </c>
      <c r="F19" s="55" t="n">
        <f aca="false">Tresorerie!F15</f>
        <v>99</v>
      </c>
      <c r="G19" s="56" t="n">
        <f aca="false">Tresorerie!G15</f>
        <v>99</v>
      </c>
      <c r="H19" s="56" t="n">
        <f aca="false">Tresorerie!H15</f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0"/>
  </cols>
  <sheetData>
    <row r="1" customFormat="false" ht="17.25" hidden="false" customHeight="true" outlineLevel="0" collapsed="false">
      <c r="A1" s="2" t="s">
        <v>144</v>
      </c>
    </row>
    <row r="4" customFormat="false" ht="15" hidden="false" customHeight="true" outlineLevel="0" collapsed="false">
      <c r="A4" s="57" t="s">
        <v>145</v>
      </c>
    </row>
    <row r="5" customFormat="false" ht="15" hidden="false" customHeight="true" outlineLevel="0" collapsed="false">
      <c r="A5" s="57" t="s">
        <v>146</v>
      </c>
    </row>
    <row r="7" customFormat="false" ht="15" hidden="false" customHeight="true" outlineLevel="0" collapsed="false">
      <c r="A7" s="4" t="s">
        <v>147</v>
      </c>
    </row>
    <row r="8" customFormat="false" ht="15" hidden="false" customHeight="true" outlineLevel="0" collapsed="false">
      <c r="A8" s="4" t="s">
        <v>148</v>
      </c>
    </row>
    <row r="9" customFormat="false" ht="15" hidden="false" customHeight="true" outlineLevel="0" collapsed="false">
      <c r="A9" s="4" t="s">
        <v>149</v>
      </c>
    </row>
    <row r="11" customFormat="false" ht="15" hidden="false" customHeight="true" outlineLevel="0" collapsed="false">
      <c r="A11" s="4" t="s">
        <v>150</v>
      </c>
    </row>
    <row r="12" customFormat="false" ht="15" hidden="false" customHeight="true" outlineLevel="0" collapsed="false">
      <c r="A12" s="57" t="s">
        <v>151</v>
      </c>
    </row>
    <row r="14" customFormat="false" ht="15" hidden="false" customHeight="true" outlineLevel="0" collapsed="false">
      <c r="A14" s="4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2026-04-22T19:11:45Z</dcterms:created>
  <dc:creator>openpyxl</dc:creator>
  <dc:description/>
  <dc:language>en-US</dc:language>
  <cp:lastModifiedBy/>
  <dcterms:modified xsi:type="dcterms:W3CDTF">2026-04-22T19:20:50Z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