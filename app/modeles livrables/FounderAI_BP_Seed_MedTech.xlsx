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strategique" sheetId="1" state="visible" r:id="rId3"/>
    <sheet name="Hypotheses" sheetId="2" state="visible" r:id="rId4"/>
    <sheet name="Revenus" sheetId="3" state="visible" r:id="rId5"/>
    <sheet name="Couts &amp; PL" sheetId="4" state="visible" r:id="rId6"/>
    <sheet name="Tresorerie" sheetId="5" state="visible" r:id="rId7"/>
    <sheet name="KPIs" sheetId="6" state="visible" r:id="rId8"/>
    <sheet name="Mode d'empl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<sst xmlns="http://schemas.openxmlformats.org/spreadsheetml/2006/main" count="209" uniqueCount="155">
  <si>
    <t xml:space="preserve">BUSINESS PLAN SEED - MEDTECH / DISPOSITIF MEDICAL</t>
  </si>
  <si>
    <t xml:space="preserve">Template FounderAI - Cellules jaunes a remplir</t>
  </si>
  <si>
    <t xml:space="preserve">IDENTITE</t>
  </si>
  <si>
    <t xml:space="preserve">Nom</t>
  </si>
  <si>
    <t xml:space="preserve">NeuraSense</t>
  </si>
  <si>
    <t xml:space="preserve">Secteur</t>
  </si>
  <si>
    <t xml:space="preserve">MedTech - Dispositif de monitoring neurologique portable</t>
  </si>
  <si>
    <t xml:space="preserve">Date creation</t>
  </si>
  <si>
    <t xml:space="preserve">Janvier 2025</t>
  </si>
  <si>
    <t xml:space="preserve">Fondateurs</t>
  </si>
  <si>
    <t xml:space="preserve">Dr. Sophie Laurent (CEO, neurologue), Marc Belin (CTO, ingenieur biomed)</t>
  </si>
  <si>
    <t xml:space="preserve">Localisation</t>
  </si>
  <si>
    <t xml:space="preserve">Strasbourg, France</t>
  </si>
  <si>
    <t xml:space="preserve">Stade</t>
  </si>
  <si>
    <t xml:space="preserve">Prototype fonctionnel, etude pre-clinique en cours</t>
  </si>
  <si>
    <t xml:space="preserve">PARCOURS REGLEMENTAIRE</t>
  </si>
  <si>
    <t xml:space="preserve">Phase actuelle</t>
  </si>
  <si>
    <t xml:space="preserve">Prototype + tests pre-cliniques</t>
  </si>
  <si>
    <t xml:space="preserve">Y1</t>
  </si>
  <si>
    <t xml:space="preserve">Etude clinique pilote</t>
  </si>
  <si>
    <t xml:space="preserve">30 patients, 2 centres hospitaliers</t>
  </si>
  <si>
    <t xml:space="preserve">Y2</t>
  </si>
  <si>
    <t xml:space="preserve">Marquage CE (classe IIa)</t>
  </si>
  <si>
    <t xml:space="preserve">Dossier technique + organisme notifie</t>
  </si>
  <si>
    <t xml:space="preserve">Y2-Y3</t>
  </si>
  <si>
    <t xml:space="preserve">Etude clinique pivot</t>
  </si>
  <si>
    <t xml:space="preserve">150 patients, multi-centres</t>
  </si>
  <si>
    <t xml:space="preserve">Y3</t>
  </si>
  <si>
    <t xml:space="preserve">Mise sur le marche France</t>
  </si>
  <si>
    <t xml:space="preserve">Remboursement LPPR en cours</t>
  </si>
  <si>
    <t xml:space="preserve">Y4</t>
  </si>
  <si>
    <t xml:space="preserve">Extension Europe</t>
  </si>
  <si>
    <t xml:space="preserve">Marquage CE etendu</t>
  </si>
  <si>
    <t xml:space="preserve">Y5</t>
  </si>
  <si>
    <t xml:space="preserve">MODELE ECONOMIQUE</t>
  </si>
  <si>
    <t xml:space="preserve">Revenu 1</t>
  </si>
  <si>
    <t xml:space="preserve">Vente de dispositifs (DM) aux hopitaux - 5 000 euro/unite</t>
  </si>
  <si>
    <t xml:space="preserve">Revenu 2</t>
  </si>
  <si>
    <t xml:space="preserve">Consommables/capteurs recurrents - 200 euro/patient/mois</t>
  </si>
  <si>
    <t xml:space="preserve">Revenu 3</t>
  </si>
  <si>
    <t xml:space="preserve">Licence logiciel analyse IA - SaaS 500 euro/mois/service</t>
  </si>
  <si>
    <t xml:space="preserve">HYPOTHESES - MEDTECH (5 ANS)</t>
  </si>
  <si>
    <t xml:space="preserve">REVENUS</t>
  </si>
  <si>
    <t xml:space="preserve">Y6</t>
  </si>
  <si>
    <t xml:space="preserve">Dispositifs vendus (annee)</t>
  </si>
  <si>
    <t xml:space="preserve">Prix moyen DM (euro)</t>
  </si>
  <si>
    <t xml:space="preserve">CA Dispositifs</t>
  </si>
  <si>
    <t xml:space="preserve">Patients sous monitoring (cumul)</t>
  </si>
  <si>
    <t xml:space="preserve">Revenu consommable/patient/mois</t>
  </si>
  <si>
    <t xml:space="preserve">CA Consommables</t>
  </si>
  <si>
    <t xml:space="preserve">Licences logiciel actives</t>
  </si>
  <si>
    <t xml:space="preserve">Prix licence/mois (euro)</t>
  </si>
  <si>
    <t xml:space="preserve">Revenus etudes cliniques sponsor.</t>
  </si>
  <si>
    <t xml:space="preserve">Grants / prix recherche</t>
  </si>
  <si>
    <t xml:space="preserve">CA Licences SaaS</t>
  </si>
  <si>
    <t xml:space="preserve">CA TOTAL</t>
  </si>
  <si>
    <t xml:space="preserve">DEPENSES R&amp;D &amp; REGLEMENTAIRE</t>
  </si>
  <si>
    <t xml:space="preserve">Personnel R&amp;D</t>
  </si>
  <si>
    <t xml:space="preserve">Materiaux prototypage</t>
  </si>
  <si>
    <t xml:space="preserve">Sous-traitance R&amp;D</t>
  </si>
  <si>
    <t xml:space="preserve">Etudes cliniques</t>
  </si>
  <si>
    <t xml:space="preserve">Affaires reglementaires</t>
  </si>
  <si>
    <t xml:space="preserve">Propriete intellectuelle</t>
  </si>
  <si>
    <t xml:space="preserve">Equipements labo / tests</t>
  </si>
  <si>
    <t xml:space="preserve">Total R&amp;D + reglementaire</t>
  </si>
  <si>
    <t xml:space="preserve">FINANCEMENT NON-DILUTIF</t>
  </si>
  <si>
    <t xml:space="preserve">CIR (30% auto)</t>
  </si>
  <si>
    <t xml:space="preserve">BPI (aide innovation / deeptech)</t>
  </si>
  <si>
    <t xml:space="preserve">ADEME / ANR / region</t>
  </si>
  <si>
    <t xml:space="preserve">Europe (EIC, Horizon)</t>
  </si>
  <si>
    <t xml:space="preserve">Concours / fondations</t>
  </si>
  <si>
    <t xml:space="preserve">Total non-dilutif</t>
  </si>
  <si>
    <t xml:space="preserve">Cout R&amp;D net</t>
  </si>
  <si>
    <t xml:space="preserve">COUTS FIXES HORS R&amp;D</t>
  </si>
  <si>
    <t xml:space="preserve">Poste</t>
  </si>
  <si>
    <t xml:space="preserve">Y1/mois</t>
  </si>
  <si>
    <t xml:space="preserve">Y2/mois</t>
  </si>
  <si>
    <t xml:space="preserve">Y3/mois</t>
  </si>
  <si>
    <t xml:space="preserve">Y4/mois</t>
  </si>
  <si>
    <t xml:space="preserve">Y5/mois</t>
  </si>
  <si>
    <t xml:space="preserve">Locaux</t>
  </si>
  <si>
    <t xml:space="preserve">Outils &amp; abonnements</t>
  </si>
  <si>
    <t xml:space="preserve">Comptabilite / juridique</t>
  </si>
  <si>
    <t xml:space="preserve">Qualite &amp; conformite</t>
  </si>
  <si>
    <t xml:space="preserve">Marketing medical</t>
  </si>
  <si>
    <t xml:space="preserve">Assurances</t>
  </si>
  <si>
    <t xml:space="preserve">Divers</t>
  </si>
  <si>
    <t xml:space="preserve">Total OPEX / an</t>
  </si>
  <si>
    <t xml:space="preserve">EQUIPE HORS R&amp;D</t>
  </si>
  <si>
    <t xml:space="preserve">Mois</t>
  </si>
  <si>
    <t xml:space="preserve">Brut/an</t>
  </si>
  <si>
    <t xml:space="preserve">CEO/Fondateur</t>
  </si>
  <si>
    <t xml:space="preserve">CTO/Fondateur</t>
  </si>
  <si>
    <t xml:space="preserve">CEO salaire</t>
  </si>
  <si>
    <t xml:space="preserve">CTO salaire</t>
  </si>
  <si>
    <t xml:space="preserve">Responsable qualite/reg</t>
  </si>
  <si>
    <t xml:space="preserve">Commercial medical</t>
  </si>
  <si>
    <t xml:space="preserve">Technicien SAV</t>
  </si>
  <si>
    <t xml:space="preserve">Charges patronales</t>
  </si>
  <si>
    <t xml:space="preserve">Masse sal hors R&amp;D / an</t>
  </si>
  <si>
    <t xml:space="preserve">FINANCEMENT DILUTIF</t>
  </si>
  <si>
    <t xml:space="preserve">Source</t>
  </si>
  <si>
    <t xml:space="preserve">Montant</t>
  </si>
  <si>
    <t xml:space="preserve">Annee</t>
  </si>
  <si>
    <t xml:space="preserve">Apport fondateurs</t>
  </si>
  <si>
    <t xml:space="preserve">Love money / BA</t>
  </si>
  <si>
    <t xml:space="preserve">Seed</t>
  </si>
  <si>
    <t xml:space="preserve">Serie A</t>
  </si>
  <si>
    <t xml:space="preserve">Total dilutif</t>
  </si>
  <si>
    <t xml:space="preserve">REVENUS - MEDTECH</t>
  </si>
  <si>
    <t xml:space="preserve">Grants / prix</t>
  </si>
  <si>
    <t xml:space="preserve">Aides non-dilutif</t>
  </si>
  <si>
    <t xml:space="preserve">Total ressources</t>
  </si>
  <si>
    <t xml:space="preserve">COUTS &amp; RESULTAT</t>
  </si>
  <si>
    <t xml:space="preserve">CA Total</t>
  </si>
  <si>
    <t xml:space="preserve">COGS (fabrication DM)</t>
  </si>
  <si>
    <t xml:space="preserve">Marge brute</t>
  </si>
  <si>
    <t xml:space="preserve">R&amp;D + reglementaire</t>
  </si>
  <si>
    <t xml:space="preserve">OPEX hors R&amp;D</t>
  </si>
  <si>
    <t xml:space="preserve">Masse sal hors R&amp;D</t>
  </si>
  <si>
    <t xml:space="preserve">EBITDA avant aides</t>
  </si>
  <si>
    <t xml:space="preserve">Financement non-dilutif</t>
  </si>
  <si>
    <t xml:space="preserve">Resultat net apres aides</t>
  </si>
  <si>
    <t xml:space="preserve">TRESORERIE</t>
  </si>
  <si>
    <t xml:space="preserve">Tresorerie debut</t>
  </si>
  <si>
    <t xml:space="preserve">CA</t>
  </si>
  <si>
    <t xml:space="preserve">Decaissements</t>
  </si>
  <si>
    <t xml:space="preserve">CAPEX hors R&amp;D</t>
  </si>
  <si>
    <t xml:space="preserve">Financement dilutif</t>
  </si>
  <si>
    <t xml:space="preserve">Remboursements</t>
  </si>
  <si>
    <t xml:space="preserve">Flux net</t>
  </si>
  <si>
    <t xml:space="preserve">Tresorerie fin</t>
  </si>
  <si>
    <t xml:space="preserve">Burn rate mensuel</t>
  </si>
  <si>
    <t xml:space="preserve">Runway (mois)</t>
  </si>
  <si>
    <t xml:space="preserve">KPIs - MEDTECH</t>
  </si>
  <si>
    <t xml:space="preserve">INDICATEUR</t>
  </si>
  <si>
    <t xml:space="preserve">R&amp;D &amp; REGLEMENTAIRE</t>
  </si>
  <si>
    <t xml:space="preserve">Depenses R&amp;D + reg</t>
  </si>
  <si>
    <t xml:space="preserve">% R&amp;D financee</t>
  </si>
  <si>
    <t xml:space="preserve">COMMERCIAL</t>
  </si>
  <si>
    <t xml:space="preserve">CA total</t>
  </si>
  <si>
    <t xml:space="preserve">DM vendus (annee)</t>
  </si>
  <si>
    <t xml:space="preserve">Patients monitoring</t>
  </si>
  <si>
    <t xml:space="preserve">CA recurrent (%)</t>
  </si>
  <si>
    <t xml:space="preserve">RENTABILITE</t>
  </si>
  <si>
    <t xml:space="preserve">Resultat apres aides</t>
  </si>
  <si>
    <t xml:space="preserve">Tresorerie</t>
  </si>
  <si>
    <t xml:space="preserve">MODE D'EMPLOI - BP MEDTECH</t>
  </si>
  <si>
    <t xml:space="preserve">Template pour dispositifs medicaux, diagnostics in vitro, e-sante, biotech.</t>
  </si>
  <si>
    <t xml:space="preserve">Horizon 5 ans avec parcours reglementaire integre.</t>
  </si>
  <si>
    <t xml:space="preserve">SPECIFICITES : Etudes cliniques budgetees, marquage CE planifie,</t>
  </si>
  <si>
    <t xml:space="preserve">3 sources de revenus (dispositifs + consommables + SaaS), CIR auto 30%.</t>
  </si>
  <si>
    <t xml:space="preserve">Remplir dans cet ordre : Plan strategique &gt; Hypotheses &gt; Verifier resultats</t>
  </si>
  <si>
    <t xml:space="preserve">En MedTech le cash est critique. Un dispositif medical met 3-5 ans</t>
  </si>
  <si>
    <t xml:space="preserve">avant de generer des revenus significatifs. Planifiez vos levees tot.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</si>
</sst>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;\(#,##0\);\-"/>
    <numFmt numFmtId="167" formatCode="General"/>
    <numFmt numFmtId="168" formatCode="0.0%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2"/>
      <color rgb="FF6C63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11"/>
      <color rgb="FF9CA3A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7556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sz val="11"/>
      <color rgb="FF2D2D3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EF9C3"/>
        <bgColor rgb="FFFFFBEB"/>
      </patternFill>
    </fill>
    <fill>
      <patternFill patternType="solid">
        <fgColor rgb="FF6C63FF"/>
        <bgColor rgb="FF808080"/>
      </patternFill>
    </fill>
    <fill>
      <patternFill patternType="solid">
        <fgColor rgb="FFECFDF5"/>
        <bgColor rgb="FFEFF6FF"/>
      </patternFill>
    </fill>
    <fill>
      <patternFill patternType="solid">
        <fgColor rgb="FFF3E8FF"/>
        <bgColor rgb="FFEFF6FF"/>
      </patternFill>
    </fill>
    <fill>
      <patternFill patternType="solid">
        <fgColor rgb="FFFFFBEB"/>
        <bgColor rgb="FFFFFFFF"/>
      </patternFill>
    </fill>
    <fill>
      <patternFill patternType="solid">
        <fgColor rgb="FFEFF6FF"/>
        <bgColor rgb="FFECFD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4A3B8"/>
      <rgbColor rgb="FF993366"/>
      <rgbColor rgb="FFFEF9C3"/>
      <rgbColor rgb="FFECFDF5"/>
      <rgbColor rgb="FF660066"/>
      <rgbColor rgb="FFFF8080"/>
      <rgbColor rgb="FF0066CC"/>
      <rgbColor rgb="FFF3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CCFFCC"/>
      <rgbColor rgb="FFFFFBEB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900"/>
      <rgbColor rgb="FFFF6600"/>
      <rgbColor rgb="FF475569"/>
      <rgbColor rgb="FF9CA3AF"/>
      <rgbColor rgb="FF1E293B"/>
      <rgbColor rgb="FF339966"/>
      <rgbColor rgb="FF003300"/>
      <rgbColor rgb="FF1A1A2E"/>
      <rgbColor rgb="FF993300"/>
      <rgbColor rgb="FF993366"/>
      <rgbColor rgb="FF333399"/>
      <rgbColor rgb="FF2D2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5"/>
    <col collapsed="false" customWidth="true" hidden="false" outlineLevel="0" max="3" min="3" style="1" width="2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8" customFormat="false" ht="26.25" hidden="false" customHeight="true" outlineLevel="0" collapsed="false">
      <c r="A8" s="5" t="s">
        <v>9</v>
      </c>
      <c r="B8" s="6" t="s">
        <v>10</v>
      </c>
    </row>
    <row r="9" customFormat="false" ht="15" hidden="false" customHeight="true" outlineLevel="0" collapsed="false">
      <c r="A9" s="5" t="s">
        <v>11</v>
      </c>
      <c r="B9" s="6" t="s">
        <v>12</v>
      </c>
    </row>
    <row r="10" customFormat="false" ht="15" hidden="false" customHeight="true" outlineLevel="0" collapsed="false">
      <c r="A10" s="5" t="s">
        <v>13</v>
      </c>
      <c r="B10" s="6" t="s">
        <v>14</v>
      </c>
    </row>
    <row r="12" customFormat="false" ht="15" hidden="false" customHeight="true" outlineLevel="0" collapsed="false">
      <c r="A12" s="4" t="s">
        <v>15</v>
      </c>
    </row>
    <row r="13" customFormat="false" ht="15" hidden="false" customHeight="true" outlineLevel="0" collapsed="false">
      <c r="A13" s="5" t="s">
        <v>16</v>
      </c>
      <c r="B13" s="7" t="s">
        <v>17</v>
      </c>
      <c r="C13" s="3" t="s">
        <v>18</v>
      </c>
    </row>
    <row r="14" customFormat="false" ht="15" hidden="false" customHeight="true" outlineLevel="0" collapsed="false">
      <c r="A14" s="5" t="s">
        <v>19</v>
      </c>
      <c r="B14" s="7" t="s">
        <v>20</v>
      </c>
      <c r="C14" s="3" t="s">
        <v>21</v>
      </c>
    </row>
    <row r="15" customFormat="false" ht="15" hidden="false" customHeight="true" outlineLevel="0" collapsed="false">
      <c r="A15" s="5" t="s">
        <v>22</v>
      </c>
      <c r="B15" s="7" t="s">
        <v>23</v>
      </c>
      <c r="C15" s="3" t="s">
        <v>24</v>
      </c>
    </row>
    <row r="16" customFormat="false" ht="15" hidden="false" customHeight="true" outlineLevel="0" collapsed="false">
      <c r="A16" s="5" t="s">
        <v>25</v>
      </c>
      <c r="B16" s="7" t="s">
        <v>26</v>
      </c>
      <c r="C16" s="3" t="s">
        <v>27</v>
      </c>
    </row>
    <row r="17" customFormat="false" ht="15" hidden="false" customHeight="true" outlineLevel="0" collapsed="false">
      <c r="A17" s="5" t="s">
        <v>28</v>
      </c>
      <c r="B17" s="7" t="s">
        <v>29</v>
      </c>
      <c r="C17" s="3" t="s">
        <v>30</v>
      </c>
    </row>
    <row r="18" customFormat="false" ht="15" hidden="false" customHeight="true" outlineLevel="0" collapsed="false">
      <c r="A18" s="5" t="s">
        <v>31</v>
      </c>
      <c r="B18" s="7" t="s">
        <v>32</v>
      </c>
      <c r="C18" s="3" t="s">
        <v>33</v>
      </c>
    </row>
    <row r="20" customFormat="false" ht="15" hidden="false" customHeight="true" outlineLevel="0" collapsed="false">
      <c r="A20" s="4" t="s">
        <v>34</v>
      </c>
    </row>
    <row r="21" customFormat="false" ht="15" hidden="false" customHeight="true" outlineLevel="0" collapsed="false">
      <c r="A21" s="5" t="s">
        <v>35</v>
      </c>
      <c r="B21" s="7" t="s">
        <v>36</v>
      </c>
    </row>
    <row r="22" customFormat="false" ht="15" hidden="false" customHeight="true" outlineLevel="0" collapsed="false">
      <c r="A22" s="5" t="s">
        <v>37</v>
      </c>
      <c r="B22" s="7" t="s">
        <v>38</v>
      </c>
    </row>
    <row r="23" customFormat="false" ht="15" hidden="false" customHeight="true" outlineLevel="0" collapsed="false">
      <c r="A23" s="5" t="s">
        <v>39</v>
      </c>
      <c r="B23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41</v>
      </c>
    </row>
    <row r="3" customFormat="false" ht="15" hidden="false" customHeight="true" outlineLevel="0" collapsed="false">
      <c r="A3" s="4" t="s">
        <v>42</v>
      </c>
    </row>
    <row r="4" customFormat="false" ht="15" hidden="false" customHeight="true" outlineLevel="0" collapsed="false">
      <c r="A4" s="8"/>
      <c r="B4" s="8" t="s">
        <v>18</v>
      </c>
      <c r="C4" s="8" t="s">
        <v>21</v>
      </c>
      <c r="D4" s="8" t="s">
        <v>27</v>
      </c>
      <c r="E4" s="8" t="s">
        <v>30</v>
      </c>
      <c r="F4" s="8" t="s">
        <v>33</v>
      </c>
      <c r="G4" s="9" t="s">
        <v>43</v>
      </c>
    </row>
    <row r="5" customFormat="false" ht="15" hidden="false" customHeight="true" outlineLevel="0" collapsed="false">
      <c r="A5" s="10" t="s">
        <v>44</v>
      </c>
      <c r="B5" s="11" t="n">
        <v>0</v>
      </c>
      <c r="C5" s="11" t="n">
        <v>0</v>
      </c>
      <c r="D5" s="11" t="n">
        <v>0</v>
      </c>
      <c r="E5" s="11" t="n">
        <v>20</v>
      </c>
      <c r="F5" s="11" t="n">
        <v>60</v>
      </c>
      <c r="G5" s="12" t="n">
        <v>100</v>
      </c>
    </row>
    <row r="6" customFormat="false" ht="15" hidden="false" customHeight="true" outlineLevel="0" collapsed="false">
      <c r="A6" s="10" t="s">
        <v>45</v>
      </c>
      <c r="B6" s="7" t="n">
        <v>0</v>
      </c>
      <c r="C6" s="7" t="n">
        <v>0</v>
      </c>
      <c r="D6" s="7" t="n">
        <v>0</v>
      </c>
      <c r="E6" s="7" t="n">
        <v>5000</v>
      </c>
      <c r="F6" s="7" t="n">
        <v>4800</v>
      </c>
      <c r="G6" s="13" t="n">
        <v>5200</v>
      </c>
    </row>
    <row r="7" customFormat="false" ht="15" hidden="false" customHeight="true" outlineLevel="0" collapsed="false">
      <c r="A7" s="14" t="s">
        <v>46</v>
      </c>
      <c r="B7" s="15" t="n">
        <f aca="false">B5*B6</f>
        <v>0</v>
      </c>
      <c r="C7" s="15" t="n">
        <f aca="false">C5*C6</f>
        <v>0</v>
      </c>
      <c r="D7" s="15" t="n">
        <f aca="false">D5*D6</f>
        <v>0</v>
      </c>
      <c r="E7" s="15" t="n">
        <f aca="false">E5*E6</f>
        <v>100000</v>
      </c>
      <c r="F7" s="15" t="n">
        <f aca="false">F5*F6</f>
        <v>288000</v>
      </c>
      <c r="G7" s="16" t="n">
        <f aca="false">G5*G6</f>
        <v>520000</v>
      </c>
    </row>
    <row r="8" customFormat="false" ht="15" hidden="false" customHeight="true" outlineLevel="0" collapsed="false">
      <c r="A8" s="10" t="s">
        <v>47</v>
      </c>
      <c r="B8" s="11" t="n">
        <v>0</v>
      </c>
      <c r="C8" s="11" t="n">
        <v>0</v>
      </c>
      <c r="D8" s="11" t="n">
        <v>0</v>
      </c>
      <c r="E8" s="11" t="n">
        <v>100</v>
      </c>
      <c r="F8" s="11" t="n">
        <v>400</v>
      </c>
      <c r="G8" s="12" t="n">
        <v>900</v>
      </c>
    </row>
    <row r="9" customFormat="false" ht="15" hidden="false" customHeight="true" outlineLevel="0" collapsed="false">
      <c r="A9" s="10" t="s">
        <v>48</v>
      </c>
      <c r="B9" s="7" t="n">
        <v>0</v>
      </c>
      <c r="C9" s="7" t="n">
        <v>0</v>
      </c>
      <c r="D9" s="7" t="n">
        <v>0</v>
      </c>
      <c r="E9" s="7" t="n">
        <v>200</v>
      </c>
      <c r="F9" s="7" t="n">
        <v>180</v>
      </c>
      <c r="G9" s="13" t="n">
        <v>170</v>
      </c>
    </row>
    <row r="10" customFormat="false" ht="15" hidden="false" customHeight="true" outlineLevel="0" collapsed="false">
      <c r="A10" s="14" t="s">
        <v>49</v>
      </c>
      <c r="B10" s="15" t="n">
        <f aca="false">B8*B9*12</f>
        <v>0</v>
      </c>
      <c r="C10" s="15" t="n">
        <f aca="false">C8*C9*12</f>
        <v>0</v>
      </c>
      <c r="D10" s="15" t="n">
        <f aca="false">D8*D9*12</f>
        <v>0</v>
      </c>
      <c r="E10" s="15" t="n">
        <f aca="false">E8*E9*12</f>
        <v>240000</v>
      </c>
      <c r="F10" s="15" t="n">
        <f aca="false">F8*F9*12</f>
        <v>864000</v>
      </c>
      <c r="G10" s="16" t="n">
        <f aca="false">G8*G9*12</f>
        <v>1836000</v>
      </c>
    </row>
    <row r="11" customFormat="false" ht="15" hidden="false" customHeight="true" outlineLevel="0" collapsed="false">
      <c r="A11" s="10" t="s">
        <v>50</v>
      </c>
      <c r="B11" s="11" t="n">
        <v>0</v>
      </c>
      <c r="C11" s="11" t="n">
        <v>0</v>
      </c>
      <c r="D11" s="11" t="n">
        <v>0</v>
      </c>
      <c r="E11" s="11" t="n">
        <v>5</v>
      </c>
      <c r="F11" s="11" t="n">
        <v>15</v>
      </c>
      <c r="G11" s="12" t="n">
        <v>30</v>
      </c>
    </row>
    <row r="12" customFormat="false" ht="15" hidden="false" customHeight="true" outlineLevel="0" collapsed="false">
      <c r="A12" s="10" t="s">
        <v>51</v>
      </c>
      <c r="B12" s="7" t="n">
        <v>0</v>
      </c>
      <c r="C12" s="7" t="n">
        <v>0</v>
      </c>
      <c r="D12" s="7" t="n">
        <v>0</v>
      </c>
      <c r="E12" s="7" t="n">
        <v>500</v>
      </c>
      <c r="F12" s="7" t="n">
        <v>500</v>
      </c>
      <c r="G12" s="13" t="n">
        <v>500</v>
      </c>
    </row>
    <row r="13" customFormat="false" ht="15" hidden="false" customHeight="true" outlineLevel="0" collapsed="false">
      <c r="A13" s="10" t="s">
        <v>52</v>
      </c>
      <c r="B13" s="7" t="n">
        <v>0</v>
      </c>
      <c r="C13" s="7" t="n">
        <v>50000</v>
      </c>
      <c r="D13" s="7" t="n">
        <v>80000</v>
      </c>
      <c r="E13" s="7" t="n">
        <v>30000</v>
      </c>
      <c r="F13" s="7" t="n">
        <v>0</v>
      </c>
      <c r="G13" s="13" t="n">
        <v>0</v>
      </c>
    </row>
    <row r="14" customFormat="false" ht="15" hidden="false" customHeight="true" outlineLevel="0" collapsed="false">
      <c r="A14" s="10" t="s">
        <v>53</v>
      </c>
      <c r="B14" s="7" t="n">
        <v>30000</v>
      </c>
      <c r="C14" s="7" t="n">
        <v>40000</v>
      </c>
      <c r="D14" s="7" t="n">
        <v>20000</v>
      </c>
      <c r="E14" s="7" t="n">
        <v>0</v>
      </c>
      <c r="F14" s="7" t="n">
        <v>0</v>
      </c>
      <c r="G14" s="13" t="n">
        <v>0</v>
      </c>
    </row>
    <row r="15" customFormat="false" ht="15" hidden="false" customHeight="true" outlineLevel="0" collapsed="false">
      <c r="A15" s="14" t="s">
        <v>54</v>
      </c>
      <c r="B15" s="15" t="n">
        <f aca="false">B11*B12*12</f>
        <v>0</v>
      </c>
      <c r="C15" s="15" t="n">
        <f aca="false">C11*C12*12</f>
        <v>0</v>
      </c>
      <c r="D15" s="15" t="n">
        <f aca="false">D11*D12*12</f>
        <v>0</v>
      </c>
      <c r="E15" s="15" t="n">
        <f aca="false">E11*E12*12</f>
        <v>30000</v>
      </c>
      <c r="F15" s="15" t="n">
        <f aca="false">F11*F12*12</f>
        <v>90000</v>
      </c>
      <c r="G15" s="16" t="n">
        <f aca="false">G11*G12*12</f>
        <v>180000</v>
      </c>
    </row>
    <row r="16" customFormat="false" ht="15" hidden="false" customHeight="true" outlineLevel="0" collapsed="false">
      <c r="A16" s="14" t="s">
        <v>55</v>
      </c>
      <c r="B16" s="15" t="n">
        <f aca="false">B7+B10+B15+B13+B14</f>
        <v>30000</v>
      </c>
      <c r="C16" s="15" t="n">
        <f aca="false">C7+C10+C15+C13+C14</f>
        <v>90000</v>
      </c>
      <c r="D16" s="15" t="n">
        <f aca="false">D7+D10+D15+D13+D14</f>
        <v>100000</v>
      </c>
      <c r="E16" s="15" t="n">
        <f aca="false">E7+E10+E15+E13+E14</f>
        <v>400000</v>
      </c>
      <c r="F16" s="15" t="n">
        <f aca="false">F7+F10+F15+F13+F14</f>
        <v>1242000</v>
      </c>
      <c r="G16" s="16" t="n">
        <f aca="false">G7+G10+G15+G13+G14</f>
        <v>2536000</v>
      </c>
    </row>
    <row r="18" customFormat="false" ht="15" hidden="false" customHeight="true" outlineLevel="0" collapsed="false">
      <c r="A18" s="4" t="s">
        <v>56</v>
      </c>
    </row>
    <row r="19" customFormat="false" ht="15" hidden="false" customHeight="true" outlineLevel="0" collapsed="false">
      <c r="A19" s="8"/>
      <c r="B19" s="8" t="s">
        <v>18</v>
      </c>
      <c r="C19" s="8" t="s">
        <v>21</v>
      </c>
      <c r="D19" s="8" t="s">
        <v>27</v>
      </c>
      <c r="E19" s="8" t="s">
        <v>30</v>
      </c>
      <c r="F19" s="8" t="s">
        <v>33</v>
      </c>
      <c r="G19" s="9" t="s">
        <v>43</v>
      </c>
    </row>
    <row r="20" customFormat="false" ht="15" hidden="false" customHeight="true" outlineLevel="0" collapsed="false">
      <c r="A20" s="10" t="s">
        <v>57</v>
      </c>
      <c r="B20" s="7" t="n">
        <v>200000</v>
      </c>
      <c r="C20" s="7" t="n">
        <v>350000</v>
      </c>
      <c r="D20" s="7" t="n">
        <v>450000</v>
      </c>
      <c r="E20" s="7" t="n">
        <v>300000</v>
      </c>
      <c r="F20" s="7" t="n">
        <v>250000</v>
      </c>
      <c r="G20" s="13" t="n">
        <v>200000</v>
      </c>
    </row>
    <row r="21" customFormat="false" ht="15" hidden="false" customHeight="true" outlineLevel="0" collapsed="false">
      <c r="A21" s="10" t="s">
        <v>58</v>
      </c>
      <c r="B21" s="7" t="n">
        <v>50000</v>
      </c>
      <c r="C21" s="7" t="n">
        <v>40000</v>
      </c>
      <c r="D21" s="7" t="n">
        <v>30000</v>
      </c>
      <c r="E21" s="7" t="n">
        <v>20000</v>
      </c>
      <c r="F21" s="7" t="n">
        <v>10000</v>
      </c>
      <c r="G21" s="13" t="n">
        <v>8000</v>
      </c>
    </row>
    <row r="22" customFormat="false" ht="15" hidden="false" customHeight="true" outlineLevel="0" collapsed="false">
      <c r="A22" s="10" t="s">
        <v>59</v>
      </c>
      <c r="B22" s="7" t="n">
        <v>30000</v>
      </c>
      <c r="C22" s="7" t="n">
        <v>50000</v>
      </c>
      <c r="D22" s="7" t="n">
        <v>40000</v>
      </c>
      <c r="E22" s="7" t="n">
        <v>20000</v>
      </c>
      <c r="F22" s="7" t="n">
        <v>15000</v>
      </c>
      <c r="G22" s="13" t="n">
        <v>10000</v>
      </c>
    </row>
    <row r="23" customFormat="false" ht="15" hidden="false" customHeight="true" outlineLevel="0" collapsed="false">
      <c r="A23" s="10" t="s">
        <v>60</v>
      </c>
      <c r="B23" s="7" t="n">
        <v>0</v>
      </c>
      <c r="C23" s="7" t="n">
        <v>120000</v>
      </c>
      <c r="D23" s="7" t="n">
        <v>250000</v>
      </c>
      <c r="E23" s="7" t="n">
        <v>80000</v>
      </c>
      <c r="F23" s="7" t="n">
        <v>0</v>
      </c>
      <c r="G23" s="13" t="n">
        <v>0</v>
      </c>
    </row>
    <row r="24" customFormat="false" ht="15" hidden="false" customHeight="true" outlineLevel="0" collapsed="false">
      <c r="A24" s="10" t="s">
        <v>61</v>
      </c>
      <c r="B24" s="7" t="n">
        <v>20000</v>
      </c>
      <c r="C24" s="7" t="n">
        <v>50000</v>
      </c>
      <c r="D24" s="7" t="n">
        <v>80000</v>
      </c>
      <c r="E24" s="7" t="n">
        <v>40000</v>
      </c>
      <c r="F24" s="7" t="n">
        <v>20000</v>
      </c>
      <c r="G24" s="13" t="n">
        <v>15000</v>
      </c>
    </row>
    <row r="25" customFormat="false" ht="15" hidden="false" customHeight="true" outlineLevel="0" collapsed="false">
      <c r="A25" s="10" t="s">
        <v>62</v>
      </c>
      <c r="B25" s="7" t="n">
        <v>25000</v>
      </c>
      <c r="C25" s="7" t="n">
        <v>30000</v>
      </c>
      <c r="D25" s="7" t="n">
        <v>20000</v>
      </c>
      <c r="E25" s="7" t="n">
        <v>15000</v>
      </c>
      <c r="F25" s="7" t="n">
        <v>15000</v>
      </c>
      <c r="G25" s="13" t="n">
        <v>10000</v>
      </c>
    </row>
    <row r="26" customFormat="false" ht="15" hidden="false" customHeight="true" outlineLevel="0" collapsed="false">
      <c r="A26" s="10" t="s">
        <v>63</v>
      </c>
      <c r="B26" s="7" t="n">
        <v>40000</v>
      </c>
      <c r="C26" s="7" t="n">
        <v>30000</v>
      </c>
      <c r="D26" s="7" t="n">
        <v>20000</v>
      </c>
      <c r="E26" s="7" t="n">
        <v>10000</v>
      </c>
      <c r="F26" s="7" t="n">
        <v>5000</v>
      </c>
      <c r="G26" s="13" t="n">
        <v>3000</v>
      </c>
    </row>
    <row r="27" customFormat="false" ht="15" hidden="false" customHeight="true" outlineLevel="0" collapsed="false">
      <c r="A27" s="17" t="s">
        <v>64</v>
      </c>
      <c r="B27" s="18" t="n">
        <f aca="false">SUM(B20:B26)</f>
        <v>365000</v>
      </c>
      <c r="C27" s="18" t="n">
        <f aca="false">SUM(C20:C26)</f>
        <v>670000</v>
      </c>
      <c r="D27" s="18" t="n">
        <f aca="false">SUM(D20:D26)</f>
        <v>890000</v>
      </c>
      <c r="E27" s="18" t="n">
        <f aca="false">SUM(E20:E26)</f>
        <v>485000</v>
      </c>
      <c r="F27" s="18" t="n">
        <f aca="false">SUM(F20:F26)</f>
        <v>315000</v>
      </c>
      <c r="G27" s="19" t="n">
        <f aca="false">SUM(G20:G26)</f>
        <v>246000</v>
      </c>
    </row>
    <row r="29" customFormat="false" ht="15" hidden="false" customHeight="true" outlineLevel="0" collapsed="false">
      <c r="A29" s="4" t="s">
        <v>65</v>
      </c>
    </row>
    <row r="30" customFormat="false" ht="15" hidden="false" customHeight="true" outlineLevel="0" collapsed="false">
      <c r="A30" s="8"/>
      <c r="B30" s="8" t="s">
        <v>18</v>
      </c>
      <c r="C30" s="8" t="s">
        <v>21</v>
      </c>
      <c r="D30" s="8" t="s">
        <v>27</v>
      </c>
      <c r="E30" s="8" t="s">
        <v>30</v>
      </c>
      <c r="F30" s="8" t="s">
        <v>33</v>
      </c>
      <c r="G30" s="9" t="s">
        <v>43</v>
      </c>
    </row>
    <row r="31" customFormat="false" ht="15" hidden="false" customHeight="true" outlineLevel="0" collapsed="false">
      <c r="A31" s="14" t="s">
        <v>66</v>
      </c>
      <c r="B31" s="15" t="n">
        <f aca="false">ROUND(B27*0.3,0)</f>
        <v>109500</v>
      </c>
      <c r="C31" s="15" t="n">
        <f aca="false">ROUND(C27*0.3,0)</f>
        <v>201000</v>
      </c>
      <c r="D31" s="15" t="n">
        <f aca="false">ROUND(D27*0.3,0)</f>
        <v>267000</v>
      </c>
      <c r="E31" s="15" t="n">
        <f aca="false">ROUND(E27*0.3,0)</f>
        <v>145500</v>
      </c>
      <c r="F31" s="15" t="n">
        <f aca="false">ROUND(F27*0.3,0)</f>
        <v>94500</v>
      </c>
      <c r="G31" s="20" t="n">
        <f aca="false">ROUND(G27*0.3,0)</f>
        <v>73800</v>
      </c>
    </row>
    <row r="32" customFormat="false" ht="15" hidden="false" customHeight="true" outlineLevel="0" collapsed="false">
      <c r="A32" s="10" t="s">
        <v>67</v>
      </c>
      <c r="B32" s="7" t="n">
        <v>80000</v>
      </c>
      <c r="C32" s="7" t="n">
        <v>150000</v>
      </c>
      <c r="D32" s="7" t="n">
        <v>100000</v>
      </c>
      <c r="E32" s="7" t="n">
        <v>0</v>
      </c>
      <c r="F32" s="7" t="n">
        <v>0</v>
      </c>
      <c r="G32" s="13" t="n">
        <v>0</v>
      </c>
    </row>
    <row r="33" customFormat="false" ht="15" hidden="false" customHeight="true" outlineLevel="0" collapsed="false">
      <c r="A33" s="10" t="s">
        <v>68</v>
      </c>
      <c r="B33" s="7" t="n">
        <v>30000</v>
      </c>
      <c r="C33" s="7" t="n">
        <v>50000</v>
      </c>
      <c r="D33" s="7" t="n">
        <v>40000</v>
      </c>
      <c r="E33" s="7" t="n">
        <v>0</v>
      </c>
      <c r="F33" s="7" t="n">
        <v>0</v>
      </c>
      <c r="G33" s="13" t="n">
        <v>0</v>
      </c>
    </row>
    <row r="34" customFormat="false" ht="15" hidden="false" customHeight="true" outlineLevel="0" collapsed="false">
      <c r="A34" s="10" t="s">
        <v>69</v>
      </c>
      <c r="B34" s="7" t="n">
        <v>0</v>
      </c>
      <c r="C34" s="7" t="n">
        <v>0</v>
      </c>
      <c r="D34" s="7" t="n">
        <v>300000</v>
      </c>
      <c r="E34" s="7" t="n">
        <v>0</v>
      </c>
      <c r="F34" s="7" t="n">
        <v>0</v>
      </c>
      <c r="G34" s="13" t="n">
        <v>0</v>
      </c>
    </row>
    <row r="35" customFormat="false" ht="15" hidden="false" customHeight="true" outlineLevel="0" collapsed="false">
      <c r="A35" s="10" t="s">
        <v>70</v>
      </c>
      <c r="B35" s="7" t="n">
        <v>20000</v>
      </c>
      <c r="C35" s="7" t="n">
        <v>30000</v>
      </c>
      <c r="D35" s="7" t="n">
        <v>0</v>
      </c>
      <c r="E35" s="7" t="n">
        <v>0</v>
      </c>
      <c r="F35" s="7" t="n">
        <v>0</v>
      </c>
      <c r="G35" s="13" t="n">
        <v>0</v>
      </c>
    </row>
    <row r="36" customFormat="false" ht="15" hidden="false" customHeight="true" outlineLevel="0" collapsed="false">
      <c r="A36" s="14" t="s">
        <v>71</v>
      </c>
      <c r="B36" s="15" t="n">
        <f aca="false">SUM(B31:B35)</f>
        <v>239500</v>
      </c>
      <c r="C36" s="15" t="n">
        <f aca="false">SUM(C31:C35)</f>
        <v>431000</v>
      </c>
      <c r="D36" s="15" t="n">
        <f aca="false">SUM(D31:D35)</f>
        <v>707000</v>
      </c>
      <c r="E36" s="15" t="n">
        <f aca="false">SUM(E31:E35)</f>
        <v>145500</v>
      </c>
      <c r="F36" s="15" t="n">
        <f aca="false">SUM(F31:F35)</f>
        <v>94500</v>
      </c>
      <c r="G36" s="16" t="n">
        <f aca="false">SUM(G31:G35)</f>
        <v>73800</v>
      </c>
    </row>
    <row r="37" customFormat="false" ht="15" hidden="false" customHeight="true" outlineLevel="0" collapsed="false">
      <c r="A37" s="21" t="s">
        <v>72</v>
      </c>
      <c r="B37" s="22" t="n">
        <f aca="false">B27-B36</f>
        <v>125500</v>
      </c>
      <c r="C37" s="22" t="n">
        <f aca="false">C27-C36</f>
        <v>239000</v>
      </c>
      <c r="D37" s="22" t="n">
        <f aca="false">D27-D36</f>
        <v>183000</v>
      </c>
      <c r="E37" s="22" t="n">
        <f aca="false">E27-E36</f>
        <v>339500</v>
      </c>
      <c r="F37" s="22" t="n">
        <f aca="false">F27-F36</f>
        <v>220500</v>
      </c>
      <c r="G37" s="23" t="n">
        <f aca="false">G27-G36</f>
        <v>172200</v>
      </c>
    </row>
    <row r="39" customFormat="false" ht="15" hidden="false" customHeight="true" outlineLevel="0" collapsed="false">
      <c r="A39" s="4" t="s">
        <v>73</v>
      </c>
    </row>
    <row r="40" customFormat="false" ht="15" hidden="false" customHeight="true" outlineLevel="0" collapsed="false">
      <c r="A40" s="8" t="s">
        <v>74</v>
      </c>
      <c r="B40" s="8" t="s">
        <v>75</v>
      </c>
      <c r="C40" s="8" t="s">
        <v>76</v>
      </c>
      <c r="D40" s="8" t="s">
        <v>77</v>
      </c>
      <c r="E40" s="8" t="s">
        <v>78</v>
      </c>
      <c r="F40" s="8" t="s">
        <v>79</v>
      </c>
      <c r="G40" s="9" t="s">
        <v>43</v>
      </c>
    </row>
    <row r="41" customFormat="false" ht="15" hidden="false" customHeight="true" outlineLevel="0" collapsed="false">
      <c r="A41" s="10" t="s">
        <v>80</v>
      </c>
      <c r="B41" s="7" t="n">
        <v>500</v>
      </c>
      <c r="C41" s="7" t="n">
        <v>800</v>
      </c>
      <c r="D41" s="7" t="n">
        <v>1500</v>
      </c>
      <c r="E41" s="7" t="n">
        <v>2500</v>
      </c>
      <c r="F41" s="7" t="n">
        <v>4000</v>
      </c>
      <c r="G41" s="24" t="n">
        <v>5000</v>
      </c>
    </row>
    <row r="42" customFormat="false" ht="15" hidden="false" customHeight="true" outlineLevel="0" collapsed="false">
      <c r="A42" s="10" t="s">
        <v>81</v>
      </c>
      <c r="B42" s="7" t="n">
        <v>200</v>
      </c>
      <c r="C42" s="7" t="n">
        <v>300</v>
      </c>
      <c r="D42" s="7" t="n">
        <v>500</v>
      </c>
      <c r="E42" s="7" t="n">
        <v>700</v>
      </c>
      <c r="F42" s="7" t="n">
        <v>1000</v>
      </c>
      <c r="G42" s="24" t="n">
        <v>1200</v>
      </c>
    </row>
    <row r="43" customFormat="false" ht="15" hidden="false" customHeight="true" outlineLevel="0" collapsed="false">
      <c r="A43" s="10" t="s">
        <v>82</v>
      </c>
      <c r="B43" s="7" t="n">
        <v>400</v>
      </c>
      <c r="C43" s="7" t="n">
        <v>600</v>
      </c>
      <c r="D43" s="7" t="n">
        <v>800</v>
      </c>
      <c r="E43" s="7" t="n">
        <v>1000</v>
      </c>
      <c r="F43" s="7" t="n">
        <v>1500</v>
      </c>
      <c r="G43" s="24" t="n">
        <v>1800</v>
      </c>
    </row>
    <row r="44" customFormat="false" ht="15" hidden="false" customHeight="true" outlineLevel="0" collapsed="false">
      <c r="A44" s="10" t="s">
        <v>83</v>
      </c>
      <c r="B44" s="7" t="n">
        <v>200</v>
      </c>
      <c r="C44" s="7" t="n">
        <v>400</v>
      </c>
      <c r="D44" s="7" t="n">
        <v>600</v>
      </c>
      <c r="E44" s="7" t="n">
        <v>800</v>
      </c>
      <c r="F44" s="7" t="n">
        <v>1000</v>
      </c>
      <c r="G44" s="24" t="n">
        <v>1200</v>
      </c>
    </row>
    <row r="45" customFormat="false" ht="15" hidden="false" customHeight="true" outlineLevel="0" collapsed="false">
      <c r="A45" s="10" t="s">
        <v>84</v>
      </c>
      <c r="B45" s="7" t="n">
        <v>100</v>
      </c>
      <c r="C45" s="7" t="n">
        <v>300</v>
      </c>
      <c r="D45" s="7" t="n">
        <v>1000</v>
      </c>
      <c r="E45" s="7" t="n">
        <v>3000</v>
      </c>
      <c r="F45" s="7" t="n">
        <v>5000</v>
      </c>
      <c r="G45" s="24" t="n">
        <v>7000</v>
      </c>
    </row>
    <row r="46" customFormat="false" ht="15" hidden="false" customHeight="true" outlineLevel="0" collapsed="false">
      <c r="A46" s="10" t="s">
        <v>85</v>
      </c>
      <c r="B46" s="7" t="n">
        <v>200</v>
      </c>
      <c r="C46" s="7" t="n">
        <v>300</v>
      </c>
      <c r="D46" s="7" t="n">
        <v>500</v>
      </c>
      <c r="E46" s="7" t="n">
        <v>700</v>
      </c>
      <c r="F46" s="7" t="n">
        <v>1000</v>
      </c>
      <c r="G46" s="24" t="n">
        <v>1200</v>
      </c>
    </row>
    <row r="47" customFormat="false" ht="15" hidden="false" customHeight="true" outlineLevel="0" collapsed="false">
      <c r="A47" s="10" t="s">
        <v>86</v>
      </c>
      <c r="B47" s="7" t="n">
        <v>100</v>
      </c>
      <c r="C47" s="7" t="n">
        <v>200</v>
      </c>
      <c r="D47" s="7" t="n">
        <v>300</v>
      </c>
      <c r="E47" s="7" t="n">
        <v>400</v>
      </c>
      <c r="F47" s="7" t="n">
        <v>500</v>
      </c>
      <c r="G47" s="24" t="n">
        <v>600</v>
      </c>
    </row>
    <row r="48" customFormat="false" ht="15" hidden="false" customHeight="true" outlineLevel="0" collapsed="false">
      <c r="A48" s="14" t="s">
        <v>87</v>
      </c>
      <c r="B48" s="15" t="n">
        <f aca="false">SUM(B41:B47)*12</f>
        <v>20400</v>
      </c>
      <c r="C48" s="15" t="n">
        <f aca="false">SUM(C41:C47)*12</f>
        <v>34800</v>
      </c>
      <c r="D48" s="15" t="n">
        <f aca="false">SUM(D41:D47)*12</f>
        <v>62400</v>
      </c>
      <c r="E48" s="15" t="n">
        <f aca="false">SUM(E41:E47)*12</f>
        <v>109200</v>
      </c>
      <c r="F48" s="15" t="n">
        <f aca="false">SUM(F41:F47)*12</f>
        <v>168000</v>
      </c>
      <c r="G48" s="16" t="n">
        <f aca="false">SUM(G41:G47)*12</f>
        <v>216000</v>
      </c>
    </row>
    <row r="50" customFormat="false" ht="15" hidden="false" customHeight="true" outlineLevel="0" collapsed="false">
      <c r="A50" s="4" t="s">
        <v>88</v>
      </c>
    </row>
    <row r="51" customFormat="false" ht="15" hidden="false" customHeight="true" outlineLevel="0" collapsed="false">
      <c r="A51" s="8" t="s">
        <v>74</v>
      </c>
      <c r="B51" s="8" t="s">
        <v>89</v>
      </c>
      <c r="C51" s="8" t="s">
        <v>90</v>
      </c>
      <c r="D51" s="8"/>
      <c r="E51" s="8"/>
      <c r="F51" s="8"/>
      <c r="G51" s="9" t="s">
        <v>43</v>
      </c>
    </row>
    <row r="52" customFormat="false" ht="15" hidden="false" customHeight="true" outlineLevel="0" collapsed="false">
      <c r="A52" s="10" t="s">
        <v>91</v>
      </c>
      <c r="B52" s="11" t="n">
        <v>1</v>
      </c>
      <c r="C52" s="7" t="n">
        <v>0</v>
      </c>
    </row>
    <row r="53" customFormat="false" ht="15" hidden="false" customHeight="true" outlineLevel="0" collapsed="false">
      <c r="A53" s="10" t="s">
        <v>92</v>
      </c>
      <c r="B53" s="11" t="n">
        <v>1</v>
      </c>
      <c r="C53" s="7" t="n">
        <v>0</v>
      </c>
    </row>
    <row r="54" customFormat="false" ht="15" hidden="false" customHeight="true" outlineLevel="0" collapsed="false">
      <c r="A54" s="10" t="s">
        <v>93</v>
      </c>
      <c r="B54" s="11" t="n">
        <v>13</v>
      </c>
      <c r="C54" s="7" t="n">
        <v>48000</v>
      </c>
    </row>
    <row r="55" customFormat="false" ht="15" hidden="false" customHeight="true" outlineLevel="0" collapsed="false">
      <c r="A55" s="10" t="s">
        <v>94</v>
      </c>
      <c r="B55" s="11" t="n">
        <v>13</v>
      </c>
      <c r="C55" s="7" t="n">
        <v>45000</v>
      </c>
    </row>
    <row r="56" customFormat="false" ht="15" hidden="false" customHeight="true" outlineLevel="0" collapsed="false">
      <c r="A56" s="10" t="s">
        <v>95</v>
      </c>
      <c r="B56" s="11" t="n">
        <v>18</v>
      </c>
      <c r="C56" s="7" t="n">
        <v>42000</v>
      </c>
    </row>
    <row r="57" customFormat="false" ht="15" hidden="false" customHeight="true" outlineLevel="0" collapsed="false">
      <c r="A57" s="10" t="s">
        <v>96</v>
      </c>
      <c r="B57" s="11" t="n">
        <v>30</v>
      </c>
      <c r="C57" s="7" t="n">
        <v>40000</v>
      </c>
    </row>
    <row r="58" customFormat="false" ht="15" hidden="false" customHeight="true" outlineLevel="0" collapsed="false">
      <c r="A58" s="10" t="s">
        <v>97</v>
      </c>
      <c r="B58" s="11" t="n">
        <v>36</v>
      </c>
      <c r="C58" s="7" t="n">
        <v>32000</v>
      </c>
    </row>
    <row r="59" customFormat="false" ht="15" hidden="false" customHeight="true" outlineLevel="0" collapsed="false">
      <c r="A59" s="10" t="s">
        <v>98</v>
      </c>
      <c r="B59" s="25" t="n">
        <v>0.45</v>
      </c>
    </row>
    <row r="61" customFormat="false" ht="15" hidden="false" customHeight="true" outlineLevel="0" collapsed="false">
      <c r="A61" s="14" t="s">
        <v>99</v>
      </c>
    </row>
    <row r="62" customFormat="false" ht="15" hidden="false" customHeight="true" outlineLevel="0" collapsed="false">
      <c r="B62" s="15" t="n">
        <f aca="false">(IF(B52&lt;=12,C52*MAX(0,MIN(12,12-MAX(B52,1)+1))/12,0)+IF(B53&lt;=12,C53*MAX(0,MIN(12,12-MAX(B53,1)+1))/12,0)+IF(B54&lt;=12,C54*MAX(0,MIN(12,12-MAX(B54,1)+1))/12,0)+IF(B55&lt;=12,C55*MAX(0,MIN(12,12-MAX(B55,1)+1))/12,0)+IF(B56&lt;=12,C56*MAX(0,MIN(12,12-MAX(B56,1)+1))/12,0)+IF(B57&lt;=12,C57*MAX(0,MIN(12,12-MAX(B57,1)+1))/12,0)+IF(B58&lt;=12,C58*MAX(0,MIN(12,12-MAX(B58,1)+1))/12,0))*(1+B59)</f>
        <v>0</v>
      </c>
      <c r="C62" s="15" t="n">
        <f aca="false">(IF(B52&lt;=24,C52*MAX(0,MIN(12,24-MAX(B52,13)+1))/12,0)+IF(B53&lt;=24,C53*MAX(0,MIN(12,24-MAX(B53,13)+1))/12,0)+IF(B54&lt;=24,C54*MAX(0,MIN(12,24-MAX(B54,13)+1))/12,0)+IF(B55&lt;=24,C55*MAX(0,MIN(12,24-MAX(B55,13)+1))/12,0)+IF(B56&lt;=24,C56*MAX(0,MIN(12,24-MAX(B56,13)+1))/12,0)+IF(B57&lt;=24,C57*MAX(0,MIN(12,24-MAX(B57,13)+1))/12,0)+IF(B58&lt;=24,C58*MAX(0,MIN(12,24-MAX(B58,13)+1))/12,0))*(1+B59)</f>
        <v>170375</v>
      </c>
      <c r="D62" s="15" t="n">
        <f aca="false">(IF(B52&lt;=36,C52*MAX(0,MIN(12,36-MAX(B52,25)+1))/12,0)+IF(B53&lt;=36,C53*MAX(0,MIN(12,36-MAX(B53,25)+1))/12,0)+IF(B54&lt;=36,C54*MAX(0,MIN(12,36-MAX(B54,25)+1))/12,0)+IF(B55&lt;=36,C55*MAX(0,MIN(12,36-MAX(B55,25)+1))/12,0)+IF(B56&lt;=36,C56*MAX(0,MIN(12,36-MAX(B56,25)+1))/12,0)+IF(B57&lt;=36,C57*MAX(0,MIN(12,36-MAX(B57,25)+1))/12,0)+IF(B58&lt;=36,C58*MAX(0,MIN(12,36-MAX(B58,25)+1))/12,0))*(1+B59)</f>
        <v>233450</v>
      </c>
      <c r="E62" s="15" t="n">
        <f aca="false">(IF(B52&lt;=48,C52*MAX(0,MIN(12,48-MAX(B52,37)+1))/12,0)+IF(B53&lt;=48,C53*MAX(0,MIN(12,48-MAX(B53,37)+1))/12,0)+IF(B54&lt;=48,C54*MAX(0,MIN(12,48-MAX(B54,37)+1))/12,0)+IF(B55&lt;=48,C55*MAX(0,MIN(12,48-MAX(B55,37)+1))/12,0)+IF(B56&lt;=48,C56*MAX(0,MIN(12,48-MAX(B56,37)+1))/12,0)+IF(B57&lt;=48,C57*MAX(0,MIN(12,48-MAX(B57,37)+1))/12,0)+IF(B58&lt;=48,C58*MAX(0,MIN(12,48-MAX(B58,37)+1))/12,0))*(1+B59)</f>
        <v>300150</v>
      </c>
      <c r="F62" s="15" t="n">
        <f aca="false">(IF(B52&lt;=60,C52*MAX(0,MIN(12,60-MAX(B52,49)+1))/12,0)+IF(B53&lt;=60,C53*MAX(0,MIN(12,60-MAX(B53,49)+1))/12,0)+IF(B54&lt;=60,C54*MAX(0,MIN(12,60-MAX(B54,49)+1))/12,0)+IF(B55&lt;=60,C55*MAX(0,MIN(12,60-MAX(B55,49)+1))/12,0)+IF(B56&lt;=60,C56*MAX(0,MIN(12,60-MAX(B56,49)+1))/12,0)+IF(B57&lt;=60,C57*MAX(0,MIN(12,60-MAX(B57,49)+1))/12,0)+IF(B58&lt;=60,C58*MAX(0,MIN(12,60-MAX(B58,49)+1))/12,0))*(1+B59)</f>
        <v>300150</v>
      </c>
      <c r="G62" s="16" t="n">
        <f aca="false">(IF(B52&lt;=72,C52*MAX(0,MIN(12,72-MAX(B52,61)+1))/12,0)+IF(B53&lt;=72,C53*MAX(0,MIN(12,72-MAX(B53,61)+1))/12,0)+IF(B54&lt;=72,C54*MAX(0,MIN(12,72-MAX(B54,61)+1))/12,0)+IF(B55&lt;=72,C55*MAX(0,MIN(12,72-MAX(B55,61)+1))/12,0)+IF(B56&lt;=72,C56*MAX(0,MIN(12,72-MAX(B56,61)+1))/12,0)+IF(B57&lt;=72,C57*MAX(0,MIN(12,72-MAX(B57,61)+1))/12,0)+IF(B58&lt;=72,C58*MAX(0,MIN(12,72-MAX(B58,61)+1))/12,0))*(1+B59)</f>
        <v>300150</v>
      </c>
    </row>
    <row r="64" customFormat="false" ht="15" hidden="false" customHeight="true" outlineLevel="0" collapsed="false">
      <c r="A64" s="4" t="s">
        <v>100</v>
      </c>
    </row>
    <row r="65" customFormat="false" ht="15" hidden="false" customHeight="true" outlineLevel="0" collapsed="false">
      <c r="A65" s="8" t="s">
        <v>101</v>
      </c>
      <c r="B65" s="8" t="s">
        <v>102</v>
      </c>
      <c r="C65" s="8" t="s">
        <v>103</v>
      </c>
      <c r="D65" s="8"/>
      <c r="E65" s="8"/>
      <c r="F65" s="8"/>
      <c r="G65" s="8"/>
    </row>
    <row r="66" customFormat="false" ht="15" hidden="false" customHeight="true" outlineLevel="0" collapsed="false">
      <c r="A66" s="10" t="s">
        <v>104</v>
      </c>
      <c r="B66" s="7" t="n">
        <v>40000</v>
      </c>
      <c r="C66" s="11" t="n">
        <v>1</v>
      </c>
    </row>
    <row r="67" customFormat="false" ht="15" hidden="false" customHeight="true" outlineLevel="0" collapsed="false">
      <c r="A67" s="10" t="s">
        <v>105</v>
      </c>
      <c r="B67" s="7" t="n">
        <v>100000</v>
      </c>
      <c r="C67" s="11" t="n">
        <v>1</v>
      </c>
    </row>
    <row r="68" customFormat="false" ht="15" hidden="false" customHeight="true" outlineLevel="0" collapsed="false">
      <c r="A68" s="10" t="s">
        <v>106</v>
      </c>
      <c r="B68" s="7" t="n">
        <v>1200000</v>
      </c>
      <c r="C68" s="11" t="n">
        <v>1</v>
      </c>
    </row>
    <row r="69" customFormat="false" ht="15" hidden="false" customHeight="true" outlineLevel="0" collapsed="false">
      <c r="A69" s="10" t="s">
        <v>107</v>
      </c>
      <c r="B69" s="7" t="n">
        <v>0</v>
      </c>
      <c r="C69" s="11" t="n">
        <v>4</v>
      </c>
    </row>
    <row r="70" customFormat="false" ht="15" hidden="false" customHeight="true" outlineLevel="0" collapsed="false">
      <c r="A70" s="14" t="s">
        <v>108</v>
      </c>
      <c r="B70" s="15" t="n">
        <f aca="false">SUM(B66:B69)</f>
        <v>1340000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109</v>
      </c>
    </row>
    <row r="3" customFormat="false" ht="15" hidden="false" customHeight="true" outlineLevel="0" collapsed="false">
      <c r="A3" s="8"/>
      <c r="B3" s="8" t="s">
        <v>18</v>
      </c>
      <c r="C3" s="8" t="s">
        <v>21</v>
      </c>
      <c r="D3" s="8" t="s">
        <v>27</v>
      </c>
      <c r="E3" s="8" t="s">
        <v>30</v>
      </c>
      <c r="F3" s="8" t="s">
        <v>33</v>
      </c>
      <c r="G3" s="9" t="s">
        <v>43</v>
      </c>
    </row>
    <row r="4" customFormat="false" ht="15" hidden="false" customHeight="true" outlineLevel="0" collapsed="false">
      <c r="A4" s="14" t="s">
        <v>46</v>
      </c>
      <c r="B4" s="26" t="n">
        <f aca="false">Hypotheses!B7</f>
        <v>0</v>
      </c>
      <c r="C4" s="26" t="n">
        <f aca="false">Hypotheses!C7</f>
        <v>0</v>
      </c>
      <c r="D4" s="26" t="n">
        <f aca="false">Hypotheses!D7</f>
        <v>0</v>
      </c>
      <c r="E4" s="26" t="n">
        <f aca="false">Hypotheses!E7</f>
        <v>100000</v>
      </c>
      <c r="F4" s="26" t="n">
        <f aca="false">Hypotheses!F7</f>
        <v>288000</v>
      </c>
      <c r="G4" s="27" t="n">
        <f aca="false">Hypotheses!G7</f>
        <v>520000</v>
      </c>
    </row>
    <row r="5" customFormat="false" ht="15" hidden="false" customHeight="true" outlineLevel="0" collapsed="false">
      <c r="A5" s="10" t="s">
        <v>49</v>
      </c>
      <c r="B5" s="28" t="n">
        <f aca="false">Hypotheses!B10</f>
        <v>0</v>
      </c>
      <c r="C5" s="28" t="n">
        <f aca="false">Hypotheses!C10</f>
        <v>0</v>
      </c>
      <c r="D5" s="28" t="n">
        <f aca="false">Hypotheses!D10</f>
        <v>0</v>
      </c>
      <c r="E5" s="28" t="n">
        <f aca="false">Hypotheses!E10</f>
        <v>240000</v>
      </c>
      <c r="F5" s="28" t="n">
        <f aca="false">Hypotheses!F10</f>
        <v>864000</v>
      </c>
      <c r="G5" s="29" t="n">
        <f aca="false">Hypotheses!G10</f>
        <v>1836000</v>
      </c>
    </row>
    <row r="6" customFormat="false" ht="15" hidden="false" customHeight="true" outlineLevel="0" collapsed="false">
      <c r="A6" s="10" t="s">
        <v>54</v>
      </c>
      <c r="B6" s="28" t="n">
        <f aca="false">Hypotheses!B15</f>
        <v>0</v>
      </c>
      <c r="C6" s="28" t="n">
        <f aca="false">Hypotheses!C15</f>
        <v>0</v>
      </c>
      <c r="D6" s="28" t="n">
        <f aca="false">Hypotheses!D15</f>
        <v>0</v>
      </c>
      <c r="E6" s="28" t="n">
        <f aca="false">Hypotheses!E15</f>
        <v>30000</v>
      </c>
      <c r="F6" s="28" t="n">
        <f aca="false">Hypotheses!F15</f>
        <v>90000</v>
      </c>
      <c r="G6" s="29" t="n">
        <f aca="false">Hypotheses!G15</f>
        <v>180000</v>
      </c>
    </row>
    <row r="7" customFormat="false" ht="15" hidden="false" customHeight="true" outlineLevel="0" collapsed="false">
      <c r="A7" s="10" t="s">
        <v>60</v>
      </c>
      <c r="B7" s="28" t="n">
        <f aca="false">Hypotheses!B13</f>
        <v>0</v>
      </c>
      <c r="C7" s="28" t="n">
        <f aca="false">Hypotheses!C13</f>
        <v>50000</v>
      </c>
      <c r="D7" s="28" t="n">
        <f aca="false">Hypotheses!D13</f>
        <v>80000</v>
      </c>
      <c r="E7" s="28" t="n">
        <f aca="false">Hypotheses!E13</f>
        <v>30000</v>
      </c>
      <c r="F7" s="28" t="n">
        <f aca="false">Hypotheses!F13</f>
        <v>0</v>
      </c>
      <c r="G7" s="29" t="n">
        <f aca="false">Hypotheses!G13</f>
        <v>0</v>
      </c>
    </row>
    <row r="8" customFormat="false" ht="15" hidden="false" customHeight="true" outlineLevel="0" collapsed="false">
      <c r="A8" s="10" t="s">
        <v>110</v>
      </c>
      <c r="B8" s="28" t="n">
        <f aca="false">Hypotheses!B14</f>
        <v>30000</v>
      </c>
      <c r="C8" s="28" t="n">
        <f aca="false">Hypotheses!C14</f>
        <v>40000</v>
      </c>
      <c r="D8" s="28" t="n">
        <f aca="false">Hypotheses!D14</f>
        <v>20000</v>
      </c>
      <c r="E8" s="28" t="n">
        <f aca="false">Hypotheses!E14</f>
        <v>0</v>
      </c>
      <c r="F8" s="28" t="n">
        <f aca="false">Hypotheses!F14</f>
        <v>0</v>
      </c>
      <c r="G8" s="29" t="n">
        <f aca="false">Hypotheses!G14</f>
        <v>0</v>
      </c>
    </row>
    <row r="9" customFormat="false" ht="15" hidden="false" customHeight="true" outlineLevel="0" collapsed="false">
      <c r="A9" s="14" t="s">
        <v>55</v>
      </c>
      <c r="B9" s="15" t="n">
        <f aca="false">SUM(B4:B8)</f>
        <v>30000</v>
      </c>
      <c r="C9" s="15" t="n">
        <f aca="false">SUM(C4:C8)</f>
        <v>90000</v>
      </c>
      <c r="D9" s="15" t="n">
        <f aca="false">SUM(D4:D8)</f>
        <v>100000</v>
      </c>
      <c r="E9" s="15" t="n">
        <f aca="false">SUM(E4:E8)</f>
        <v>400000</v>
      </c>
      <c r="F9" s="15" t="n">
        <f aca="false">SUM(F4:F8)</f>
        <v>1242000</v>
      </c>
      <c r="G9" s="16" t="n">
        <f aca="false">SUM(G4:G8)</f>
        <v>2536000</v>
      </c>
    </row>
    <row r="11" customFormat="false" ht="15" hidden="false" customHeight="true" outlineLevel="0" collapsed="false">
      <c r="A11" s="14" t="s">
        <v>111</v>
      </c>
      <c r="B11" s="26" t="n">
        <f aca="false">Hypotheses!B36</f>
        <v>239500</v>
      </c>
      <c r="C11" s="26" t="n">
        <f aca="false">Hypotheses!C36</f>
        <v>431000</v>
      </c>
      <c r="D11" s="26" t="n">
        <f aca="false">Hypotheses!D36</f>
        <v>707000</v>
      </c>
      <c r="E11" s="26" t="n">
        <f aca="false">Hypotheses!E36</f>
        <v>145500</v>
      </c>
      <c r="F11" s="26" t="n">
        <f aca="false">Hypotheses!F36</f>
        <v>94500</v>
      </c>
      <c r="G11" s="27" t="n">
        <f aca="false">Hypotheses!G36</f>
        <v>73800</v>
      </c>
    </row>
    <row r="12" customFormat="false" ht="15" hidden="false" customHeight="true" outlineLevel="0" collapsed="false">
      <c r="A12" s="21" t="s">
        <v>112</v>
      </c>
      <c r="B12" s="22" t="n">
        <f aca="false">B9+B11</f>
        <v>269500</v>
      </c>
      <c r="C12" s="22" t="n">
        <f aca="false">C9+C11</f>
        <v>521000</v>
      </c>
      <c r="D12" s="22" t="n">
        <f aca="false">D9+D11</f>
        <v>807000</v>
      </c>
      <c r="E12" s="22" t="n">
        <f aca="false">E9+E11</f>
        <v>545500</v>
      </c>
      <c r="F12" s="22" t="n">
        <f aca="false">F9+F11</f>
        <v>1336500</v>
      </c>
      <c r="G12" s="23" t="n">
        <f aca="false">G9+G11</f>
        <v>2609800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113</v>
      </c>
    </row>
    <row r="3" customFormat="false" ht="15" hidden="false" customHeight="true" outlineLevel="0" collapsed="false">
      <c r="A3" s="8"/>
      <c r="B3" s="8" t="s">
        <v>18</v>
      </c>
      <c r="C3" s="8" t="s">
        <v>21</v>
      </c>
      <c r="D3" s="8" t="s">
        <v>27</v>
      </c>
      <c r="E3" s="8" t="s">
        <v>30</v>
      </c>
      <c r="F3" s="8" t="s">
        <v>33</v>
      </c>
      <c r="G3" s="9" t="s">
        <v>43</v>
      </c>
    </row>
    <row r="4" customFormat="false" ht="15" hidden="false" customHeight="true" outlineLevel="0" collapsed="false">
      <c r="A4" s="14" t="s">
        <v>114</v>
      </c>
      <c r="B4" s="26" t="n">
        <f aca="false">Revenus!B9</f>
        <v>30000</v>
      </c>
      <c r="C4" s="26" t="n">
        <f aca="false">Revenus!C9</f>
        <v>90000</v>
      </c>
      <c r="D4" s="26" t="n">
        <f aca="false">Revenus!D9</f>
        <v>100000</v>
      </c>
      <c r="E4" s="26" t="n">
        <f aca="false">Revenus!E9</f>
        <v>400000</v>
      </c>
      <c r="F4" s="26" t="n">
        <f aca="false">Revenus!F9</f>
        <v>1242000</v>
      </c>
      <c r="G4" s="27" t="n">
        <f aca="false">Revenus!G9</f>
        <v>2536000</v>
      </c>
    </row>
    <row r="5" customFormat="false" ht="15" hidden="false" customHeight="true" outlineLevel="0" collapsed="false">
      <c r="A5" s="10" t="s">
        <v>115</v>
      </c>
      <c r="B5" s="7" t="n">
        <v>0</v>
      </c>
      <c r="C5" s="7" t="n">
        <v>0</v>
      </c>
      <c r="D5" s="7" t="n">
        <v>0</v>
      </c>
      <c r="E5" s="7" t="n">
        <v>40000</v>
      </c>
      <c r="F5" s="7" t="n">
        <v>120000</v>
      </c>
      <c r="G5" s="24" t="n">
        <v>200000</v>
      </c>
    </row>
    <row r="6" customFormat="false" ht="15" hidden="false" customHeight="true" outlineLevel="0" collapsed="false">
      <c r="A6" s="30" t="s">
        <v>116</v>
      </c>
      <c r="B6" s="31" t="n">
        <f aca="false">B4-B5</f>
        <v>30000</v>
      </c>
      <c r="C6" s="31" t="n">
        <f aca="false">C4-C5</f>
        <v>90000</v>
      </c>
      <c r="D6" s="31" t="n">
        <f aca="false">D4-D5</f>
        <v>100000</v>
      </c>
      <c r="E6" s="31" t="n">
        <f aca="false">E4-E5</f>
        <v>360000</v>
      </c>
      <c r="F6" s="31" t="n">
        <f aca="false">F4-F5</f>
        <v>1122000</v>
      </c>
      <c r="G6" s="32" t="n">
        <f aca="false">G4-G5</f>
        <v>2336000</v>
      </c>
    </row>
    <row r="8" customFormat="false" ht="15" hidden="false" customHeight="true" outlineLevel="0" collapsed="false">
      <c r="A8" s="33" t="s">
        <v>117</v>
      </c>
      <c r="B8" s="34" t="n">
        <f aca="false">-Hypotheses!B27</f>
        <v>-365000</v>
      </c>
      <c r="C8" s="34" t="n">
        <f aca="false">-Hypotheses!C27</f>
        <v>-670000</v>
      </c>
      <c r="D8" s="34" t="n">
        <f aca="false">-Hypotheses!D27</f>
        <v>-890000</v>
      </c>
      <c r="E8" s="34" t="n">
        <f aca="false">-Hypotheses!E27</f>
        <v>-485000</v>
      </c>
      <c r="F8" s="34" t="n">
        <f aca="false">-Hypotheses!F27</f>
        <v>-315000</v>
      </c>
      <c r="G8" s="35" t="n">
        <f aca="false">-Hypotheses!G27</f>
        <v>-246000</v>
      </c>
    </row>
    <row r="9" customFormat="false" ht="15" hidden="false" customHeight="true" outlineLevel="0" collapsed="false">
      <c r="A9" s="10" t="s">
        <v>118</v>
      </c>
      <c r="B9" s="28" t="n">
        <f aca="false">-Hypotheses!B48</f>
        <v>-20400</v>
      </c>
      <c r="C9" s="28" t="n">
        <f aca="false">-Hypotheses!C48</f>
        <v>-34800</v>
      </c>
      <c r="D9" s="28" t="n">
        <f aca="false">-Hypotheses!D48</f>
        <v>-62400</v>
      </c>
      <c r="E9" s="28" t="n">
        <f aca="false">-Hypotheses!E48</f>
        <v>-109200</v>
      </c>
      <c r="F9" s="28" t="n">
        <f aca="false">-Hypotheses!F48</f>
        <v>-168000</v>
      </c>
      <c r="G9" s="29" t="n">
        <f aca="false">-Hypotheses!G48</f>
        <v>-216000</v>
      </c>
    </row>
    <row r="10" customFormat="false" ht="15" hidden="false" customHeight="true" outlineLevel="0" collapsed="false">
      <c r="A10" s="10" t="s">
        <v>119</v>
      </c>
      <c r="B10" s="28" t="n">
        <f aca="false">-ABS(Hypotheses!B62)</f>
        <v>-0</v>
      </c>
      <c r="C10" s="28" t="n">
        <f aca="false">-ABS(Hypotheses!C62)</f>
        <v>-170375</v>
      </c>
      <c r="D10" s="28" t="n">
        <f aca="false">-ABS(Hypotheses!D62)</f>
        <v>-233450</v>
      </c>
      <c r="E10" s="28" t="n">
        <f aca="false">-ABS(Hypotheses!E62)</f>
        <v>-300150</v>
      </c>
      <c r="F10" s="28" t="n">
        <f aca="false">-ABS(Hypotheses!F62)</f>
        <v>-300150</v>
      </c>
      <c r="G10" s="29" t="n">
        <f aca="false">-ABS(Hypotheses!G62)</f>
        <v>-300150</v>
      </c>
    </row>
    <row r="12" customFormat="false" ht="15" hidden="false" customHeight="true" outlineLevel="0" collapsed="false">
      <c r="A12" s="21" t="s">
        <v>120</v>
      </c>
      <c r="B12" s="36" t="n">
        <f aca="false">B6+B8+B9+B10</f>
        <v>-355400</v>
      </c>
      <c r="C12" s="36" t="n">
        <f aca="false">C6+C8+C9+C10</f>
        <v>-785175</v>
      </c>
      <c r="D12" s="36" t="n">
        <f aca="false">D6+D8+D9+D10</f>
        <v>-1085850</v>
      </c>
      <c r="E12" s="36" t="n">
        <f aca="false">E6+E8+E9+E10</f>
        <v>-534350</v>
      </c>
      <c r="F12" s="36" t="n">
        <f aca="false">F6+F8+F9+F10</f>
        <v>338850</v>
      </c>
      <c r="G12" s="37" t="n">
        <f aca="false">G6+G8+G9+G10</f>
        <v>1573850</v>
      </c>
    </row>
    <row r="13" customFormat="false" ht="15" hidden="false" customHeight="true" outlineLevel="0" collapsed="false">
      <c r="A13" s="38" t="s">
        <v>121</v>
      </c>
      <c r="B13" s="26" t="n">
        <f aca="false">Hypotheses!B36</f>
        <v>239500</v>
      </c>
      <c r="C13" s="26" t="n">
        <f aca="false">Hypotheses!C36</f>
        <v>431000</v>
      </c>
      <c r="D13" s="26" t="n">
        <f aca="false">Hypotheses!D36</f>
        <v>707000</v>
      </c>
      <c r="E13" s="26" t="n">
        <f aca="false">Hypotheses!E36</f>
        <v>145500</v>
      </c>
      <c r="F13" s="26" t="n">
        <f aca="false">Hypotheses!F36</f>
        <v>94500</v>
      </c>
      <c r="G13" s="27" t="n">
        <f aca="false">Hypotheses!G36</f>
        <v>73800</v>
      </c>
    </row>
    <row r="14" customFormat="false" ht="15" hidden="false" customHeight="true" outlineLevel="0" collapsed="false">
      <c r="A14" s="14" t="s">
        <v>122</v>
      </c>
      <c r="B14" s="39" t="n">
        <f aca="false">B12+B13</f>
        <v>-115900</v>
      </c>
      <c r="C14" s="39" t="n">
        <f aca="false">C12+C13</f>
        <v>-354175</v>
      </c>
      <c r="D14" s="39" t="n">
        <f aca="false">D12+D13</f>
        <v>-378850</v>
      </c>
      <c r="E14" s="39" t="n">
        <f aca="false">E12+E13</f>
        <v>-388850</v>
      </c>
      <c r="F14" s="39" t="n">
        <f aca="false">F12+F13</f>
        <v>433350</v>
      </c>
      <c r="G14" s="40" t="n">
        <f aca="false">G12+G13</f>
        <v>1647650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123</v>
      </c>
    </row>
    <row r="3" customFormat="false" ht="15" hidden="false" customHeight="true" outlineLevel="0" collapsed="false">
      <c r="A3" s="8"/>
      <c r="B3" s="8" t="s">
        <v>18</v>
      </c>
      <c r="C3" s="8" t="s">
        <v>21</v>
      </c>
      <c r="D3" s="8" t="s">
        <v>27</v>
      </c>
      <c r="E3" s="8" t="s">
        <v>30</v>
      </c>
      <c r="F3" s="8" t="s">
        <v>33</v>
      </c>
      <c r="G3" s="9" t="s">
        <v>43</v>
      </c>
    </row>
    <row r="4" customFormat="false" ht="15" hidden="false" customHeight="true" outlineLevel="0" collapsed="false">
      <c r="A4" s="5" t="s">
        <v>124</v>
      </c>
      <c r="B4" s="28" t="n">
        <f aca="false">Hypotheses!B70</f>
        <v>1340000</v>
      </c>
      <c r="C4" s="41" t="n">
        <f aca="false">B12</f>
        <v>2554100</v>
      </c>
      <c r="D4" s="41" t="n">
        <f aca="false">C12</f>
        <v>2179925</v>
      </c>
      <c r="E4" s="41" t="n">
        <f aca="false">D12</f>
        <v>1771075</v>
      </c>
      <c r="F4" s="41" t="n">
        <f aca="false">E12</f>
        <v>1357225</v>
      </c>
      <c r="G4" s="42" t="n">
        <f aca="false">F12</f>
        <v>1775575</v>
      </c>
    </row>
    <row r="5" customFormat="false" ht="15" hidden="false" customHeight="true" outlineLevel="0" collapsed="false">
      <c r="A5" s="10" t="s">
        <v>125</v>
      </c>
      <c r="B5" s="28" t="n">
        <f aca="false">Revenus!B9</f>
        <v>30000</v>
      </c>
      <c r="C5" s="28" t="n">
        <f aca="false">Revenus!C9</f>
        <v>90000</v>
      </c>
      <c r="D5" s="28" t="n">
        <f aca="false">Revenus!D9</f>
        <v>100000</v>
      </c>
      <c r="E5" s="28" t="n">
        <f aca="false">Revenus!E9</f>
        <v>400000</v>
      </c>
      <c r="F5" s="28" t="n">
        <f aca="false">Revenus!F9</f>
        <v>1242000</v>
      </c>
      <c r="G5" s="29" t="n">
        <f aca="false">Revenus!G9</f>
        <v>2536000</v>
      </c>
    </row>
    <row r="6" customFormat="false" ht="15" hidden="false" customHeight="true" outlineLevel="0" collapsed="false">
      <c r="A6" s="38" t="s">
        <v>111</v>
      </c>
      <c r="B6" s="26" t="n">
        <f aca="false">Hypotheses!B36</f>
        <v>239500</v>
      </c>
      <c r="C6" s="26" t="n">
        <f aca="false">Hypotheses!C36</f>
        <v>431000</v>
      </c>
      <c r="D6" s="26" t="n">
        <f aca="false">Hypotheses!D36</f>
        <v>707000</v>
      </c>
      <c r="E6" s="26" t="n">
        <f aca="false">Hypotheses!E36</f>
        <v>145500</v>
      </c>
      <c r="F6" s="26" t="n">
        <f aca="false">Hypotheses!F36</f>
        <v>94500</v>
      </c>
      <c r="G6" s="27" t="n">
        <f aca="false">Hypotheses!G36</f>
        <v>73800</v>
      </c>
    </row>
    <row r="7" customFormat="false" ht="15" hidden="false" customHeight="true" outlineLevel="0" collapsed="false">
      <c r="A7" s="10" t="s">
        <v>126</v>
      </c>
      <c r="B7" s="41" t="n">
        <f aca="false">'Couts &amp; PL'!B12-'Couts &amp; PL'!B4</f>
        <v>-385400</v>
      </c>
      <c r="C7" s="41" t="n">
        <f aca="false">'Couts &amp; PL'!C12-'Couts &amp; PL'!C4</f>
        <v>-875175</v>
      </c>
      <c r="D7" s="41" t="n">
        <f aca="false">'Couts &amp; PL'!D12-'Couts &amp; PL'!D4</f>
        <v>-1185850</v>
      </c>
      <c r="E7" s="41" t="n">
        <f aca="false">'Couts &amp; PL'!E12-'Couts &amp; PL'!E4</f>
        <v>-934350</v>
      </c>
      <c r="F7" s="41" t="n">
        <f aca="false">'Couts &amp; PL'!F12-'Couts &amp; PL'!F4</f>
        <v>-903150</v>
      </c>
      <c r="G7" s="42" t="n">
        <f aca="false">'Couts &amp; PL'!G12-'Couts &amp; PL'!G4</f>
        <v>-962150</v>
      </c>
    </row>
    <row r="8" customFormat="false" ht="15" hidden="false" customHeight="true" outlineLevel="0" collapsed="false">
      <c r="A8" s="10" t="s">
        <v>127</v>
      </c>
      <c r="B8" s="7" t="n">
        <v>-10000</v>
      </c>
      <c r="C8" s="7" t="n">
        <v>-20000</v>
      </c>
      <c r="D8" s="7" t="n">
        <v>-30000</v>
      </c>
      <c r="E8" s="7" t="n">
        <v>-25000</v>
      </c>
      <c r="F8" s="7" t="n">
        <v>-15000</v>
      </c>
      <c r="G8" s="24" t="n">
        <v>-10000</v>
      </c>
    </row>
    <row r="9" customFormat="false" ht="15" hidden="false" customHeight="true" outlineLevel="0" collapsed="false">
      <c r="A9" s="10" t="s">
        <v>128</v>
      </c>
      <c r="B9" s="7" t="n">
        <v>1340000</v>
      </c>
      <c r="C9" s="7" t="n">
        <v>0</v>
      </c>
      <c r="D9" s="7" t="n">
        <v>0</v>
      </c>
      <c r="E9" s="7" t="n">
        <v>0</v>
      </c>
      <c r="F9" s="7" t="n">
        <v>0</v>
      </c>
      <c r="G9" s="24" t="n">
        <v>0</v>
      </c>
    </row>
    <row r="10" customFormat="false" ht="15" hidden="false" customHeight="true" outlineLevel="0" collapsed="false">
      <c r="A10" s="10" t="s">
        <v>129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24" t="n">
        <v>0</v>
      </c>
    </row>
    <row r="11" customFormat="false" ht="15" hidden="false" customHeight="true" outlineLevel="0" collapsed="false">
      <c r="A11" s="21" t="s">
        <v>130</v>
      </c>
      <c r="B11" s="43" t="n">
        <f aca="false">SUM(B5:B10)</f>
        <v>1214100</v>
      </c>
      <c r="C11" s="43" t="n">
        <f aca="false">SUM(C5:C10)</f>
        <v>-374175</v>
      </c>
      <c r="D11" s="43" t="n">
        <f aca="false">SUM(D5:D10)</f>
        <v>-408850</v>
      </c>
      <c r="E11" s="43" t="n">
        <f aca="false">SUM(E5:E10)</f>
        <v>-413850</v>
      </c>
      <c r="F11" s="43" t="n">
        <f aca="false">SUM(F5:F10)</f>
        <v>418350</v>
      </c>
      <c r="G11" s="44" t="n">
        <f aca="false">SUM(G5:G10)</f>
        <v>1637650</v>
      </c>
    </row>
    <row r="12" customFormat="false" ht="15" hidden="false" customHeight="true" outlineLevel="0" collapsed="false">
      <c r="A12" s="45" t="s">
        <v>131</v>
      </c>
      <c r="B12" s="39" t="n">
        <f aca="false">B4+B11</f>
        <v>2554100</v>
      </c>
      <c r="C12" s="39" t="n">
        <f aca="false">C4+C11</f>
        <v>2179925</v>
      </c>
      <c r="D12" s="39" t="n">
        <f aca="false">D4+D11</f>
        <v>1771075</v>
      </c>
      <c r="E12" s="39" t="n">
        <f aca="false">E4+E11</f>
        <v>1357225</v>
      </c>
      <c r="F12" s="39" t="n">
        <f aca="false">F4+F11</f>
        <v>1775575</v>
      </c>
      <c r="G12" s="40" t="n">
        <f aca="false">G4+G11</f>
        <v>3413225</v>
      </c>
    </row>
    <row r="14" customFormat="false" ht="15" hidden="false" customHeight="true" outlineLevel="0" collapsed="false">
      <c r="A14" s="5" t="s">
        <v>132</v>
      </c>
      <c r="B14" s="41" t="n">
        <f aca="false">IF(B11&lt;0,-B11/12,0)</f>
        <v>0</v>
      </c>
      <c r="C14" s="41" t="n">
        <f aca="false">IF(C11&lt;0,-C11/12,0)</f>
        <v>31181.25</v>
      </c>
      <c r="D14" s="41" t="n">
        <f aca="false">IF(D11&lt;0,-D11/12,0)</f>
        <v>34070.8333333333</v>
      </c>
      <c r="E14" s="41" t="n">
        <f aca="false">IF(E11&lt;0,-E11/12,0)</f>
        <v>34487.5</v>
      </c>
      <c r="F14" s="41" t="n">
        <f aca="false">IF(F11&lt;0,-F11/12,0)</f>
        <v>0</v>
      </c>
      <c r="G14" s="42" t="n">
        <f aca="false">IF(G11&lt;0,-G11/12,0)</f>
        <v>0</v>
      </c>
    </row>
    <row r="15" customFormat="false" ht="15" hidden="false" customHeight="true" outlineLevel="0" collapsed="false">
      <c r="A15" s="21" t="s">
        <v>133</v>
      </c>
      <c r="B15" s="46" t="n">
        <f aca="false">IF(B14&gt;0,B4/B14,99)</f>
        <v>99</v>
      </c>
      <c r="C15" s="46" t="n">
        <f aca="false">IF(C14&gt;0,C4/C14,99)</f>
        <v>81.9114050912006</v>
      </c>
      <c r="D15" s="46" t="n">
        <f aca="false">IF(D14&gt;0,D4/D14,99)</f>
        <v>63.9821450409686</v>
      </c>
      <c r="E15" s="46" t="n">
        <f aca="false">IF(E14&gt;0,E4/E14,99)</f>
        <v>51.3541138093512</v>
      </c>
      <c r="F15" s="46" t="n">
        <f aca="false">IF(F14&gt;0,F4/F14,99)</f>
        <v>99</v>
      </c>
      <c r="G15" s="47" t="n">
        <f aca="false">IF(G14&gt;0,G4/G14,99)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134</v>
      </c>
    </row>
    <row r="3" customFormat="false" ht="15" hidden="false" customHeight="true" outlineLevel="0" collapsed="false">
      <c r="A3" s="8" t="s">
        <v>135</v>
      </c>
      <c r="B3" s="8" t="s">
        <v>18</v>
      </c>
      <c r="C3" s="8" t="s">
        <v>21</v>
      </c>
      <c r="D3" s="8" t="s">
        <v>27</v>
      </c>
      <c r="E3" s="8" t="s">
        <v>30</v>
      </c>
      <c r="F3" s="8" t="s">
        <v>33</v>
      </c>
      <c r="G3" s="9" t="s">
        <v>43</v>
      </c>
    </row>
    <row r="4" customFormat="false" ht="15" hidden="false" customHeight="true" outlineLevel="0" collapsed="false">
      <c r="A4" s="4" t="s">
        <v>136</v>
      </c>
    </row>
    <row r="5" customFormat="false" ht="15" hidden="false" customHeight="true" outlineLevel="0" collapsed="false">
      <c r="A5" s="17" t="s">
        <v>137</v>
      </c>
      <c r="B5" s="34" t="n">
        <f aca="false">Hypotheses!B27</f>
        <v>365000</v>
      </c>
      <c r="C5" s="34" t="n">
        <f aca="false">Hypotheses!C27</f>
        <v>670000</v>
      </c>
      <c r="D5" s="34" t="n">
        <f aca="false">Hypotheses!D27</f>
        <v>890000</v>
      </c>
      <c r="E5" s="34" t="n">
        <f aca="false">Hypotheses!E27</f>
        <v>485000</v>
      </c>
      <c r="F5" s="34" t="n">
        <f aca="false">Hypotheses!F27</f>
        <v>315000</v>
      </c>
      <c r="G5" s="35" t="n">
        <f aca="false">Hypotheses!G27</f>
        <v>246000</v>
      </c>
    </row>
    <row r="6" customFormat="false" ht="15" hidden="false" customHeight="true" outlineLevel="0" collapsed="false">
      <c r="A6" s="14" t="s">
        <v>111</v>
      </c>
      <c r="B6" s="26" t="n">
        <f aca="false">Hypotheses!B36</f>
        <v>239500</v>
      </c>
      <c r="C6" s="26" t="n">
        <f aca="false">Hypotheses!C36</f>
        <v>431000</v>
      </c>
      <c r="D6" s="26" t="n">
        <f aca="false">Hypotheses!D36</f>
        <v>707000</v>
      </c>
      <c r="E6" s="26" t="n">
        <f aca="false">Hypotheses!E36</f>
        <v>145500</v>
      </c>
      <c r="F6" s="26" t="n">
        <f aca="false">Hypotheses!F36</f>
        <v>94500</v>
      </c>
      <c r="G6" s="27" t="n">
        <f aca="false">Hypotheses!G36</f>
        <v>73800</v>
      </c>
    </row>
    <row r="7" customFormat="false" ht="15" hidden="false" customHeight="true" outlineLevel="0" collapsed="false">
      <c r="A7" s="5" t="s">
        <v>72</v>
      </c>
      <c r="B7" s="28" t="n">
        <f aca="false">Hypotheses!B37</f>
        <v>125500</v>
      </c>
      <c r="C7" s="28" t="n">
        <f aca="false">Hypotheses!C37</f>
        <v>239000</v>
      </c>
      <c r="D7" s="28" t="n">
        <f aca="false">Hypotheses!D37</f>
        <v>183000</v>
      </c>
      <c r="E7" s="28" t="n">
        <f aca="false">Hypotheses!E37</f>
        <v>339500</v>
      </c>
      <c r="F7" s="28" t="n">
        <f aca="false">Hypotheses!F37</f>
        <v>220500</v>
      </c>
      <c r="G7" s="29" t="n">
        <f aca="false">Hypotheses!G37</f>
        <v>172200</v>
      </c>
    </row>
    <row r="8" customFormat="false" ht="15" hidden="false" customHeight="true" outlineLevel="0" collapsed="false">
      <c r="A8" s="21" t="s">
        <v>138</v>
      </c>
      <c r="B8" s="48" t="n">
        <f aca="false">IF(Hypotheses!B27&gt;0,Hypotheses!B36/Hypotheses!B27,0)</f>
        <v>0.656164383561644</v>
      </c>
      <c r="C8" s="48" t="n">
        <f aca="false">IF(Hypotheses!C27&gt;0,Hypotheses!C36/Hypotheses!C27,0)</f>
        <v>0.643283582089552</v>
      </c>
      <c r="D8" s="48" t="n">
        <f aca="false">IF(Hypotheses!D27&gt;0,Hypotheses!D36/Hypotheses!D27,0)</f>
        <v>0.79438202247191</v>
      </c>
      <c r="E8" s="48" t="n">
        <f aca="false">IF(Hypotheses!E27&gt;0,Hypotheses!E36/Hypotheses!E27,0)</f>
        <v>0.3</v>
      </c>
      <c r="F8" s="48" t="n">
        <f aca="false">IF(Hypotheses!F27&gt;0,Hypotheses!F36/Hypotheses!F27,0)</f>
        <v>0.3</v>
      </c>
      <c r="G8" s="49" t="n">
        <f aca="false">IF(Hypotheses!G27&gt;0,Hypotheses!G36/Hypotheses!G27,0)</f>
        <v>0.3</v>
      </c>
    </row>
    <row r="10" customFormat="false" ht="15" hidden="false" customHeight="true" outlineLevel="0" collapsed="false">
      <c r="A10" s="4" t="s">
        <v>139</v>
      </c>
    </row>
    <row r="11" customFormat="false" ht="15" hidden="false" customHeight="true" outlineLevel="0" collapsed="false">
      <c r="A11" s="14" t="s">
        <v>140</v>
      </c>
      <c r="B11" s="26" t="n">
        <f aca="false">Revenus!B9</f>
        <v>30000</v>
      </c>
      <c r="C11" s="26" t="n">
        <f aca="false">Revenus!C9</f>
        <v>90000</v>
      </c>
      <c r="D11" s="26" t="n">
        <f aca="false">Revenus!D9</f>
        <v>100000</v>
      </c>
      <c r="E11" s="26" t="n">
        <f aca="false">Revenus!E9</f>
        <v>400000</v>
      </c>
      <c r="F11" s="26" t="n">
        <f aca="false">Revenus!F9</f>
        <v>1242000</v>
      </c>
      <c r="G11" s="27" t="n">
        <f aca="false">Revenus!G9</f>
        <v>2536000</v>
      </c>
    </row>
    <row r="12" customFormat="false" ht="15" hidden="false" customHeight="true" outlineLevel="0" collapsed="false">
      <c r="A12" s="5" t="s">
        <v>141</v>
      </c>
      <c r="B12" s="50" t="n">
        <f aca="false">Hypotheses!B5</f>
        <v>0</v>
      </c>
      <c r="C12" s="50" t="n">
        <f aca="false">Hypotheses!C5</f>
        <v>0</v>
      </c>
      <c r="D12" s="50" t="n">
        <f aca="false">Hypotheses!D5</f>
        <v>0</v>
      </c>
      <c r="E12" s="50" t="n">
        <f aca="false">Hypotheses!E5</f>
        <v>20</v>
      </c>
      <c r="F12" s="50" t="n">
        <f aca="false">Hypotheses!F5</f>
        <v>60</v>
      </c>
      <c r="G12" s="51" t="n">
        <f aca="false">Hypotheses!G5</f>
        <v>100</v>
      </c>
    </row>
    <row r="13" customFormat="false" ht="15" hidden="false" customHeight="true" outlineLevel="0" collapsed="false">
      <c r="A13" s="5" t="s">
        <v>142</v>
      </c>
      <c r="B13" s="50" t="n">
        <f aca="false">Hypotheses!B8</f>
        <v>0</v>
      </c>
      <c r="C13" s="50" t="n">
        <f aca="false">Hypotheses!C8</f>
        <v>0</v>
      </c>
      <c r="D13" s="50" t="n">
        <f aca="false">Hypotheses!D8</f>
        <v>0</v>
      </c>
      <c r="E13" s="50" t="n">
        <f aca="false">Hypotheses!E8</f>
        <v>100</v>
      </c>
      <c r="F13" s="50" t="n">
        <f aca="false">Hypotheses!F8</f>
        <v>400</v>
      </c>
      <c r="G13" s="51" t="n">
        <f aca="false">Hypotheses!G8</f>
        <v>900</v>
      </c>
    </row>
    <row r="14" customFormat="false" ht="15" hidden="false" customHeight="true" outlineLevel="0" collapsed="false">
      <c r="A14" s="21" t="s">
        <v>143</v>
      </c>
      <c r="B14" s="48" t="n">
        <f aca="false">IF(Revenus!B9&gt;0,(Revenus!B5+Revenus!B6)/Revenus!B9,0)</f>
        <v>0</v>
      </c>
      <c r="C14" s="48" t="n">
        <f aca="false">IF(Revenus!C9&gt;0,(Revenus!C5+Revenus!C6)/Revenus!C9,0)</f>
        <v>0</v>
      </c>
      <c r="D14" s="48" t="n">
        <f aca="false">IF(Revenus!D9&gt;0,(Revenus!D5+Revenus!D6)/Revenus!D9,0)</f>
        <v>0</v>
      </c>
      <c r="E14" s="48" t="n">
        <f aca="false">IF(Revenus!E9&gt;0,(Revenus!E5+Revenus!E6)/Revenus!E9,0)</f>
        <v>0.675</v>
      </c>
      <c r="F14" s="48" t="n">
        <f aca="false">IF(Revenus!F9&gt;0,(Revenus!F5+Revenus!F6)/Revenus!F9,0)</f>
        <v>0.768115942028986</v>
      </c>
      <c r="G14" s="49" t="n">
        <f aca="false">IF(Revenus!G9&gt;0,(Revenus!G5+Revenus!G6)/Revenus!G9,0)</f>
        <v>0.794952681388013</v>
      </c>
    </row>
    <row r="16" customFormat="false" ht="15" hidden="false" customHeight="true" outlineLevel="0" collapsed="false">
      <c r="A16" s="4" t="s">
        <v>144</v>
      </c>
    </row>
    <row r="17" customFormat="false" ht="15" hidden="false" customHeight="true" outlineLevel="0" collapsed="false">
      <c r="A17" s="5" t="s">
        <v>120</v>
      </c>
      <c r="B17" s="28" t="n">
        <f aca="false">'Couts &amp; PL'!B12</f>
        <v>-355400</v>
      </c>
      <c r="C17" s="28" t="n">
        <f aca="false">'Couts &amp; PL'!C12</f>
        <v>-785175</v>
      </c>
      <c r="D17" s="28" t="n">
        <f aca="false">'Couts &amp; PL'!D12</f>
        <v>-1085850</v>
      </c>
      <c r="E17" s="28" t="n">
        <f aca="false">'Couts &amp; PL'!E12</f>
        <v>-534350</v>
      </c>
      <c r="F17" s="28" t="n">
        <f aca="false">'Couts &amp; PL'!F12</f>
        <v>338850</v>
      </c>
      <c r="G17" s="29" t="n">
        <f aca="false">'Couts &amp; PL'!G12</f>
        <v>1573850</v>
      </c>
    </row>
    <row r="18" customFormat="false" ht="15" hidden="false" customHeight="true" outlineLevel="0" collapsed="false">
      <c r="A18" s="21" t="s">
        <v>145</v>
      </c>
      <c r="B18" s="52" t="n">
        <f aca="false">'Couts &amp; PL'!B14</f>
        <v>-115900</v>
      </c>
      <c r="C18" s="52" t="n">
        <f aca="false">'Couts &amp; PL'!C14</f>
        <v>-354175</v>
      </c>
      <c r="D18" s="52" t="n">
        <f aca="false">'Couts &amp; PL'!D14</f>
        <v>-378850</v>
      </c>
      <c r="E18" s="52" t="n">
        <f aca="false">'Couts &amp; PL'!E14</f>
        <v>-388850</v>
      </c>
      <c r="F18" s="52" t="n">
        <f aca="false">'Couts &amp; PL'!F14</f>
        <v>433350</v>
      </c>
      <c r="G18" s="53" t="n">
        <f aca="false">'Couts &amp; PL'!G14</f>
        <v>1647650</v>
      </c>
    </row>
    <row r="19" customFormat="false" ht="15" hidden="false" customHeight="true" outlineLevel="0" collapsed="false">
      <c r="A19" s="21" t="s">
        <v>146</v>
      </c>
      <c r="B19" s="52" t="n">
        <f aca="false">Tresorerie!B12</f>
        <v>2554100</v>
      </c>
      <c r="C19" s="52" t="n">
        <f aca="false">Tresorerie!C12</f>
        <v>2179925</v>
      </c>
      <c r="D19" s="52" t="n">
        <f aca="false">Tresorerie!D12</f>
        <v>1771075</v>
      </c>
      <c r="E19" s="52" t="n">
        <f aca="false">Tresorerie!E12</f>
        <v>1357225</v>
      </c>
      <c r="F19" s="52" t="n">
        <f aca="false">Tresorerie!F12</f>
        <v>1775575</v>
      </c>
      <c r="G19" s="53" t="n">
        <f aca="false">Tresorerie!G12</f>
        <v>3413225</v>
      </c>
    </row>
    <row r="20" customFormat="false" ht="15" hidden="false" customHeight="true" outlineLevel="0" collapsed="false">
      <c r="A20" s="5" t="s">
        <v>133</v>
      </c>
      <c r="B20" s="54" t="n">
        <f aca="false">Tresorerie!B15</f>
        <v>99</v>
      </c>
      <c r="C20" s="54" t="n">
        <f aca="false">Tresorerie!C15</f>
        <v>81.9114050912006</v>
      </c>
      <c r="D20" s="54" t="n">
        <f aca="false">Tresorerie!D15</f>
        <v>63.9821450409686</v>
      </c>
      <c r="E20" s="54" t="n">
        <f aca="false">Tresorerie!E15</f>
        <v>51.3541138093512</v>
      </c>
      <c r="F20" s="54" t="n">
        <f aca="false">Tresorerie!F15</f>
        <v>99</v>
      </c>
      <c r="G20" s="55" t="n">
        <f aca="false">Tresorerie!G15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2" t="s">
        <v>147</v>
      </c>
    </row>
    <row r="4" customFormat="false" ht="15" hidden="false" customHeight="true" outlineLevel="0" collapsed="false">
      <c r="A4" s="56" t="s">
        <v>148</v>
      </c>
    </row>
    <row r="5" customFormat="false" ht="15" hidden="false" customHeight="true" outlineLevel="0" collapsed="false">
      <c r="A5" s="56" t="s">
        <v>149</v>
      </c>
    </row>
    <row r="7" customFormat="false" ht="15" hidden="false" customHeight="true" outlineLevel="0" collapsed="false">
      <c r="A7" s="4" t="s">
        <v>150</v>
      </c>
    </row>
    <row r="8" customFormat="false" ht="15" hidden="false" customHeight="true" outlineLevel="0" collapsed="false">
      <c r="A8" s="56" t="s">
        <v>151</v>
      </c>
    </row>
    <row r="10" customFormat="false" ht="15" hidden="false" customHeight="true" outlineLevel="0" collapsed="false">
      <c r="A10" s="4" t="s">
        <v>152</v>
      </c>
    </row>
    <row r="12" customFormat="false" ht="15" hidden="false" customHeight="true" outlineLevel="0" collapsed="false">
      <c r="A12" s="4" t="s">
        <v>153</v>
      </c>
    </row>
    <row r="13" customFormat="false" ht="15" hidden="false" customHeight="true" outlineLevel="0" collapsed="false">
      <c r="A13" s="56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2026-04-22T19:15:28Z</dcterms:created>
  <dc:creator>openpyxl</dc:creator>
  <dc:description/>
  <dc:language>en-US</dc:language>
  <cp:lastModifiedBy/>
  <dcterms:modified xsi:type="dcterms:W3CDTF">2026-04-22T19:20:51Z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